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narendra.sahu\Documents\Dubai boot camp\"/>
    </mc:Choice>
  </mc:AlternateContent>
  <bookViews>
    <workbookView xWindow="0" yWindow="0" windowWidth="23040" windowHeight="8832"/>
  </bookViews>
  <sheets>
    <sheet name="Bullet - STG1" sheetId="2" r:id="rId1"/>
    <sheet name="Bullet - STG2" sheetId="1" r:id="rId2"/>
    <sheet name="Amortizing - STG1" sheetId="5" r:id="rId3"/>
    <sheet name="Amortizing - STG2" sheetId="3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5" i="5" l="1"/>
  <c r="J3" i="5"/>
  <c r="J2" i="5"/>
  <c r="N50" i="5"/>
  <c r="N36" i="5"/>
  <c r="N37" i="5"/>
  <c r="N38" i="5"/>
  <c r="N39" i="5"/>
  <c r="N40" i="5"/>
  <c r="N41" i="5"/>
  <c r="N42" i="5"/>
  <c r="N43" i="5"/>
  <c r="N44" i="5"/>
  <c r="N45" i="5"/>
  <c r="N46" i="5"/>
  <c r="N47" i="5"/>
  <c r="N48" i="5"/>
  <c r="B16" i="5"/>
  <c r="I16" i="5"/>
  <c r="J16" i="5" s="1"/>
  <c r="B17" i="5"/>
  <c r="I17" i="5"/>
  <c r="L17" i="5" s="1"/>
  <c r="J17" i="5"/>
  <c r="B18" i="5"/>
  <c r="I18" i="5"/>
  <c r="J18" i="5" s="1"/>
  <c r="L18" i="5"/>
  <c r="B19" i="5"/>
  <c r="I19" i="5"/>
  <c r="L19" i="5"/>
  <c r="B20" i="5"/>
  <c r="I20" i="5"/>
  <c r="J20" i="5" s="1"/>
  <c r="B21" i="5"/>
  <c r="I21" i="5"/>
  <c r="L21" i="5" s="1"/>
  <c r="J21" i="5"/>
  <c r="B22" i="5"/>
  <c r="I22" i="5"/>
  <c r="J22" i="5" s="1"/>
  <c r="L22" i="5"/>
  <c r="B23" i="5"/>
  <c r="I23" i="5"/>
  <c r="L23" i="5"/>
  <c r="B24" i="5"/>
  <c r="I24" i="5"/>
  <c r="J24" i="5" s="1"/>
  <c r="B25" i="5"/>
  <c r="I25" i="5"/>
  <c r="L25" i="5" s="1"/>
  <c r="J25" i="5"/>
  <c r="B26" i="5"/>
  <c r="I26" i="5"/>
  <c r="J26" i="5" s="1"/>
  <c r="L26" i="5"/>
  <c r="B27" i="5"/>
  <c r="I27" i="5"/>
  <c r="L27" i="5"/>
  <c r="B28" i="5"/>
  <c r="I28" i="5"/>
  <c r="B29" i="5"/>
  <c r="C30" i="5" s="1"/>
  <c r="I29" i="5"/>
  <c r="L29" i="5" s="1"/>
  <c r="J29" i="5"/>
  <c r="B30" i="5"/>
  <c r="I30" i="5"/>
  <c r="J30" i="5" s="1"/>
  <c r="L30" i="5"/>
  <c r="B31" i="5"/>
  <c r="I31" i="5"/>
  <c r="L31" i="5"/>
  <c r="B32" i="5"/>
  <c r="I32" i="5"/>
  <c r="B33" i="5"/>
  <c r="I33" i="5"/>
  <c r="L33" i="5" s="1"/>
  <c r="J33" i="5"/>
  <c r="B34" i="5"/>
  <c r="I34" i="5"/>
  <c r="J34" i="5" s="1"/>
  <c r="L34" i="5"/>
  <c r="I48" i="5"/>
  <c r="D48" i="5"/>
  <c r="B48" i="5"/>
  <c r="E48" i="5" s="1"/>
  <c r="G48" i="5" s="1"/>
  <c r="I47" i="5"/>
  <c r="L47" i="5" s="1"/>
  <c r="B47" i="5"/>
  <c r="I46" i="5"/>
  <c r="B46" i="5"/>
  <c r="I45" i="5"/>
  <c r="L45" i="5" s="1"/>
  <c r="B45" i="5"/>
  <c r="I44" i="5"/>
  <c r="L44" i="5" s="1"/>
  <c r="B44" i="5"/>
  <c r="I43" i="5"/>
  <c r="L43" i="5" s="1"/>
  <c r="B43" i="5"/>
  <c r="I42" i="5"/>
  <c r="L42" i="5" s="1"/>
  <c r="B42" i="5"/>
  <c r="I41" i="5"/>
  <c r="B41" i="5"/>
  <c r="I40" i="5"/>
  <c r="B40" i="5"/>
  <c r="L39" i="5"/>
  <c r="I39" i="5"/>
  <c r="B39" i="5"/>
  <c r="I38" i="5"/>
  <c r="L38" i="5" s="1"/>
  <c r="B38" i="5"/>
  <c r="I37" i="5"/>
  <c r="B37" i="5"/>
  <c r="J36" i="5"/>
  <c r="I36" i="5"/>
  <c r="L36" i="5" s="1"/>
  <c r="B36" i="5"/>
  <c r="J35" i="5"/>
  <c r="I35" i="5"/>
  <c r="L35" i="5" s="1"/>
  <c r="B35" i="5"/>
  <c r="C15" i="5" s="1"/>
  <c r="K15" i="5"/>
  <c r="J6" i="5"/>
  <c r="C15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16" i="3"/>
  <c r="F17" i="3"/>
  <c r="F18" i="3"/>
  <c r="F19" i="3"/>
  <c r="F20" i="3"/>
  <c r="F21" i="3"/>
  <c r="F22" i="3"/>
  <c r="F23" i="3"/>
  <c r="F15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16" i="3"/>
  <c r="D48" i="3"/>
  <c r="D47" i="3" s="1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16" i="3"/>
  <c r="I48" i="3"/>
  <c r="B48" i="3"/>
  <c r="I47" i="3"/>
  <c r="B47" i="3"/>
  <c r="I46" i="3"/>
  <c r="B46" i="3"/>
  <c r="I45" i="3"/>
  <c r="B45" i="3"/>
  <c r="I44" i="3"/>
  <c r="B44" i="3"/>
  <c r="I43" i="3"/>
  <c r="B43" i="3"/>
  <c r="I42" i="3"/>
  <c r="B42" i="3"/>
  <c r="L41" i="3"/>
  <c r="I41" i="3"/>
  <c r="B41" i="3"/>
  <c r="L40" i="3"/>
  <c r="J40" i="3"/>
  <c r="I40" i="3"/>
  <c r="B40" i="3"/>
  <c r="L39" i="3"/>
  <c r="J39" i="3"/>
  <c r="I39" i="3"/>
  <c r="B39" i="3"/>
  <c r="L38" i="3"/>
  <c r="I38" i="3"/>
  <c r="J38" i="3" s="1"/>
  <c r="B38" i="3"/>
  <c r="L37" i="3"/>
  <c r="I37" i="3"/>
  <c r="J37" i="3" s="1"/>
  <c r="B37" i="3"/>
  <c r="L36" i="3"/>
  <c r="I36" i="3"/>
  <c r="J36" i="3" s="1"/>
  <c r="B36" i="3"/>
  <c r="I35" i="3"/>
  <c r="B35" i="3"/>
  <c r="I34" i="3"/>
  <c r="B34" i="3"/>
  <c r="I33" i="3"/>
  <c r="B33" i="3"/>
  <c r="I32" i="3"/>
  <c r="L32" i="3" s="1"/>
  <c r="B32" i="3"/>
  <c r="I31" i="3"/>
  <c r="L31" i="3" s="1"/>
  <c r="B31" i="3"/>
  <c r="I30" i="3"/>
  <c r="L30" i="3" s="1"/>
  <c r="B30" i="3"/>
  <c r="L29" i="3"/>
  <c r="I29" i="3"/>
  <c r="B29" i="3"/>
  <c r="L28" i="3"/>
  <c r="J28" i="3"/>
  <c r="I28" i="3"/>
  <c r="B28" i="3"/>
  <c r="L27" i="3"/>
  <c r="J27" i="3"/>
  <c r="I27" i="3"/>
  <c r="B27" i="3"/>
  <c r="I26" i="3"/>
  <c r="J26" i="3" s="1"/>
  <c r="B26" i="3"/>
  <c r="I25" i="3"/>
  <c r="B25" i="3"/>
  <c r="I24" i="3"/>
  <c r="B24" i="3"/>
  <c r="J23" i="3"/>
  <c r="I23" i="3"/>
  <c r="L23" i="3" s="1"/>
  <c r="B23" i="3"/>
  <c r="I22" i="3"/>
  <c r="L22" i="3" s="1"/>
  <c r="B22" i="3"/>
  <c r="J21" i="3"/>
  <c r="I21" i="3"/>
  <c r="L21" i="3" s="1"/>
  <c r="B21" i="3"/>
  <c r="I20" i="3"/>
  <c r="B20" i="3"/>
  <c r="L19" i="3"/>
  <c r="I19" i="3"/>
  <c r="B19" i="3"/>
  <c r="I18" i="3"/>
  <c r="B18" i="3"/>
  <c r="L17" i="3"/>
  <c r="I17" i="3"/>
  <c r="B17" i="3"/>
  <c r="L16" i="3"/>
  <c r="J16" i="3"/>
  <c r="I16" i="3"/>
  <c r="B16" i="3"/>
  <c r="K15" i="3"/>
  <c r="J6" i="3"/>
  <c r="C34" i="5" l="1"/>
  <c r="J32" i="5"/>
  <c r="J31" i="5"/>
  <c r="L32" i="5"/>
  <c r="C17" i="5"/>
  <c r="J40" i="5"/>
  <c r="L40" i="5"/>
  <c r="C20" i="5"/>
  <c r="J28" i="5"/>
  <c r="J27" i="5"/>
  <c r="L28" i="5"/>
  <c r="C26" i="5"/>
  <c r="C28" i="5"/>
  <c r="C22" i="5"/>
  <c r="C18" i="5"/>
  <c r="J39" i="5"/>
  <c r="C31" i="5"/>
  <c r="C27" i="5"/>
  <c r="C23" i="5"/>
  <c r="C19" i="5"/>
  <c r="C32" i="5"/>
  <c r="L24" i="5"/>
  <c r="C24" i="5"/>
  <c r="J23" i="5"/>
  <c r="L20" i="5"/>
  <c r="J19" i="5"/>
  <c r="L16" i="5"/>
  <c r="J8" i="5" s="1"/>
  <c r="C16" i="5"/>
  <c r="C33" i="5"/>
  <c r="C29" i="5"/>
  <c r="C25" i="5"/>
  <c r="C21" i="5"/>
  <c r="J44" i="5"/>
  <c r="J41" i="5"/>
  <c r="J37" i="5"/>
  <c r="C41" i="5"/>
  <c r="C45" i="5"/>
  <c r="C37" i="5"/>
  <c r="C43" i="5"/>
  <c r="C44" i="5"/>
  <c r="L46" i="5"/>
  <c r="J46" i="5"/>
  <c r="F47" i="5"/>
  <c r="C39" i="5"/>
  <c r="C40" i="5"/>
  <c r="L41" i="5"/>
  <c r="J42" i="5"/>
  <c r="J43" i="5"/>
  <c r="J45" i="5"/>
  <c r="H48" i="5"/>
  <c r="C46" i="5"/>
  <c r="C42" i="5"/>
  <c r="C38" i="5"/>
  <c r="C47" i="5"/>
  <c r="D47" i="5" s="1"/>
  <c r="C35" i="5"/>
  <c r="C36" i="5"/>
  <c r="L37" i="5"/>
  <c r="J38" i="5"/>
  <c r="J47" i="5"/>
  <c r="L48" i="5"/>
  <c r="J48" i="5"/>
  <c r="D46" i="3"/>
  <c r="L18" i="3"/>
  <c r="J18" i="3"/>
  <c r="J5" i="3" s="1"/>
  <c r="J17" i="3"/>
  <c r="L43" i="3"/>
  <c r="J43" i="3"/>
  <c r="L20" i="3"/>
  <c r="J8" i="3" s="1"/>
  <c r="J20" i="3"/>
  <c r="J25" i="3"/>
  <c r="L25" i="3"/>
  <c r="J19" i="3"/>
  <c r="L42" i="3"/>
  <c r="J41" i="3"/>
  <c r="J42" i="3"/>
  <c r="L44" i="3"/>
  <c r="J44" i="3"/>
  <c r="L45" i="3"/>
  <c r="J45" i="3"/>
  <c r="L46" i="3"/>
  <c r="J46" i="3"/>
  <c r="L47" i="3"/>
  <c r="J47" i="3"/>
  <c r="L48" i="3"/>
  <c r="J48" i="3"/>
  <c r="J22" i="3"/>
  <c r="J24" i="3"/>
  <c r="J29" i="3"/>
  <c r="J30" i="3"/>
  <c r="L24" i="3"/>
  <c r="L26" i="3"/>
  <c r="J31" i="3"/>
  <c r="J32" i="3"/>
  <c r="L33" i="3"/>
  <c r="J33" i="3"/>
  <c r="L34" i="3"/>
  <c r="J34" i="3"/>
  <c r="L35" i="3"/>
  <c r="J35" i="3"/>
  <c r="G48" i="3"/>
  <c r="H48" i="3" s="1"/>
  <c r="G28" i="2"/>
  <c r="J28" i="2" s="1"/>
  <c r="B28" i="2"/>
  <c r="C28" i="2" s="1"/>
  <c r="G27" i="2"/>
  <c r="J27" i="2" s="1"/>
  <c r="B27" i="2"/>
  <c r="C27" i="2" s="1"/>
  <c r="G26" i="2"/>
  <c r="J26" i="2" s="1"/>
  <c r="B26" i="2"/>
  <c r="C26" i="2" s="1"/>
  <c r="G25" i="2"/>
  <c r="J25" i="2" s="1"/>
  <c r="B25" i="2"/>
  <c r="C25" i="2" s="1"/>
  <c r="G24" i="2"/>
  <c r="B24" i="2"/>
  <c r="C24" i="2" s="1"/>
  <c r="G23" i="2"/>
  <c r="J23" i="2" s="1"/>
  <c r="B23" i="2"/>
  <c r="C23" i="2" s="1"/>
  <c r="G22" i="2"/>
  <c r="B22" i="2"/>
  <c r="C22" i="2" s="1"/>
  <c r="G21" i="2"/>
  <c r="J21" i="2" s="1"/>
  <c r="B21" i="2"/>
  <c r="C21" i="2" s="1"/>
  <c r="G20" i="2"/>
  <c r="J20" i="2" s="1"/>
  <c r="B20" i="2"/>
  <c r="C20" i="2" s="1"/>
  <c r="G19" i="2"/>
  <c r="J19" i="2" s="1"/>
  <c r="B19" i="2"/>
  <c r="C19" i="2" s="1"/>
  <c r="G18" i="2"/>
  <c r="J18" i="2" s="1"/>
  <c r="B18" i="2"/>
  <c r="C18" i="2" s="1"/>
  <c r="G17" i="2"/>
  <c r="J17" i="2" s="1"/>
  <c r="B17" i="2"/>
  <c r="C17" i="2" s="1"/>
  <c r="G16" i="2"/>
  <c r="J16" i="2" s="1"/>
  <c r="B16" i="2"/>
  <c r="C16" i="2" s="1"/>
  <c r="C15" i="2"/>
  <c r="H6" i="2"/>
  <c r="H2" i="2"/>
  <c r="D46" i="5" l="1"/>
  <c r="E47" i="5"/>
  <c r="M48" i="5"/>
  <c r="D45" i="3"/>
  <c r="G47" i="3"/>
  <c r="H47" i="3" s="1"/>
  <c r="M48" i="3"/>
  <c r="H22" i="2"/>
  <c r="H24" i="2"/>
  <c r="D19" i="2"/>
  <c r="E28" i="2"/>
  <c r="F28" i="2" s="1"/>
  <c r="D25" i="2"/>
  <c r="D22" i="2"/>
  <c r="H19" i="2"/>
  <c r="H20" i="2"/>
  <c r="H21" i="2"/>
  <c r="J22" i="2"/>
  <c r="H8" i="2" s="1"/>
  <c r="H23" i="2"/>
  <c r="J24" i="2"/>
  <c r="H25" i="2"/>
  <c r="H26" i="2"/>
  <c r="H27" i="2"/>
  <c r="H28" i="2"/>
  <c r="D16" i="2"/>
  <c r="H16" i="2"/>
  <c r="H17" i="2"/>
  <c r="H5" i="2" s="1"/>
  <c r="H18" i="2"/>
  <c r="H6" i="1"/>
  <c r="H2" i="1"/>
  <c r="B48" i="1"/>
  <c r="B40" i="1"/>
  <c r="B41" i="1"/>
  <c r="B42" i="1"/>
  <c r="B43" i="1"/>
  <c r="B44" i="1"/>
  <c r="B45" i="1"/>
  <c r="B46" i="1"/>
  <c r="B47" i="1"/>
  <c r="F46" i="5" l="1"/>
  <c r="G47" i="5"/>
  <c r="E46" i="5"/>
  <c r="F45" i="5" s="1"/>
  <c r="D45" i="5"/>
  <c r="D44" i="3"/>
  <c r="G46" i="3"/>
  <c r="H46" i="3" s="1"/>
  <c r="M47" i="3"/>
  <c r="E27" i="2"/>
  <c r="E26" i="2" s="1"/>
  <c r="K28" i="2"/>
  <c r="F27" i="2"/>
  <c r="K27" i="2" s="1"/>
  <c r="G17" i="1"/>
  <c r="J17" i="1" s="1"/>
  <c r="G18" i="1"/>
  <c r="G19" i="1"/>
  <c r="J19" i="1" s="1"/>
  <c r="G20" i="1"/>
  <c r="J20" i="1" s="1"/>
  <c r="G21" i="1"/>
  <c r="J21" i="1" s="1"/>
  <c r="G22" i="1"/>
  <c r="G23" i="1"/>
  <c r="J23" i="1" s="1"/>
  <c r="G24" i="1"/>
  <c r="J24" i="1" s="1"/>
  <c r="G25" i="1"/>
  <c r="G26" i="1"/>
  <c r="J26" i="1" s="1"/>
  <c r="G27" i="1"/>
  <c r="G28" i="1"/>
  <c r="J28" i="1" s="1"/>
  <c r="G29" i="1"/>
  <c r="J29" i="1" s="1"/>
  <c r="G30" i="1"/>
  <c r="J30" i="1" s="1"/>
  <c r="G31" i="1"/>
  <c r="G32" i="1"/>
  <c r="J32" i="1" s="1"/>
  <c r="G33" i="1"/>
  <c r="G34" i="1"/>
  <c r="J34" i="1" s="1"/>
  <c r="G35" i="1"/>
  <c r="G36" i="1"/>
  <c r="J36" i="1" s="1"/>
  <c r="G37" i="1"/>
  <c r="J37" i="1" s="1"/>
  <c r="G38" i="1"/>
  <c r="J38" i="1" s="1"/>
  <c r="G39" i="1"/>
  <c r="G40" i="1"/>
  <c r="J40" i="1" s="1"/>
  <c r="G41" i="1"/>
  <c r="G42" i="1"/>
  <c r="J42" i="1" s="1"/>
  <c r="G43" i="1"/>
  <c r="G44" i="1"/>
  <c r="J44" i="1" s="1"/>
  <c r="G45" i="1"/>
  <c r="J45" i="1" s="1"/>
  <c r="G46" i="1"/>
  <c r="J46" i="1" s="1"/>
  <c r="G47" i="1"/>
  <c r="G48" i="1"/>
  <c r="J48" i="1" s="1"/>
  <c r="G16" i="1"/>
  <c r="J16" i="1" s="1"/>
  <c r="B17" i="1"/>
  <c r="C17" i="1" s="1"/>
  <c r="B18" i="1"/>
  <c r="C18" i="1" s="1"/>
  <c r="D15" i="1" s="1"/>
  <c r="B19" i="1"/>
  <c r="C19" i="1" s="1"/>
  <c r="B20" i="1"/>
  <c r="C20" i="1" s="1"/>
  <c r="B21" i="1"/>
  <c r="C21" i="1" s="1"/>
  <c r="B22" i="1"/>
  <c r="C22" i="1" s="1"/>
  <c r="B23" i="1"/>
  <c r="C23" i="1" s="1"/>
  <c r="B24" i="1"/>
  <c r="C24" i="1" s="1"/>
  <c r="B25" i="1"/>
  <c r="C25" i="1" s="1"/>
  <c r="B26" i="1"/>
  <c r="C26" i="1" s="1"/>
  <c r="B27" i="1"/>
  <c r="C27" i="1" s="1"/>
  <c r="D24" i="1" s="1"/>
  <c r="B28" i="1"/>
  <c r="C28" i="1" s="1"/>
  <c r="B29" i="1"/>
  <c r="C29" i="1" s="1"/>
  <c r="B30" i="1"/>
  <c r="C30" i="1" s="1"/>
  <c r="B31" i="1"/>
  <c r="C31" i="1" s="1"/>
  <c r="B32" i="1"/>
  <c r="C32" i="1" s="1"/>
  <c r="B33" i="1"/>
  <c r="C33" i="1" s="1"/>
  <c r="B34" i="1"/>
  <c r="C34" i="1" s="1"/>
  <c r="B35" i="1"/>
  <c r="C35" i="1" s="1"/>
  <c r="B36" i="1"/>
  <c r="C36" i="1" s="1"/>
  <c r="B37" i="1"/>
  <c r="C37" i="1" s="1"/>
  <c r="B38" i="1"/>
  <c r="C38" i="1" s="1"/>
  <c r="B39" i="1"/>
  <c r="C39" i="1" s="1"/>
  <c r="D36" i="1" s="1"/>
  <c r="C40" i="1"/>
  <c r="C41" i="1"/>
  <c r="C42" i="1"/>
  <c r="C43" i="1"/>
  <c r="C44" i="1"/>
  <c r="C45" i="1"/>
  <c r="C46" i="1"/>
  <c r="C47" i="1"/>
  <c r="C48" i="1"/>
  <c r="B16" i="1"/>
  <c r="C16" i="1" s="1"/>
  <c r="G46" i="5" l="1"/>
  <c r="H47" i="5"/>
  <c r="M47" i="5" s="1"/>
  <c r="E45" i="5"/>
  <c r="F44" i="5" s="1"/>
  <c r="D44" i="5"/>
  <c r="D43" i="3"/>
  <c r="G45" i="3"/>
  <c r="H45" i="3" s="1"/>
  <c r="M46" i="3"/>
  <c r="F26" i="2"/>
  <c r="K26" i="2" s="1"/>
  <c r="E25" i="2"/>
  <c r="D33" i="1"/>
  <c r="D21" i="1"/>
  <c r="D45" i="1"/>
  <c r="E48" i="1"/>
  <c r="D39" i="1"/>
  <c r="D27" i="1"/>
  <c r="D42" i="1"/>
  <c r="D30" i="1"/>
  <c r="D18" i="1"/>
  <c r="H48" i="1"/>
  <c r="H47" i="1"/>
  <c r="H43" i="1"/>
  <c r="H39" i="1"/>
  <c r="H35" i="1"/>
  <c r="H31" i="1"/>
  <c r="H27" i="1"/>
  <c r="H28" i="1"/>
  <c r="H23" i="1"/>
  <c r="J47" i="1"/>
  <c r="J39" i="1"/>
  <c r="J31" i="1"/>
  <c r="H22" i="1"/>
  <c r="H18" i="1"/>
  <c r="H19" i="1"/>
  <c r="H45" i="1"/>
  <c r="H41" i="1"/>
  <c r="H37" i="1"/>
  <c r="H33" i="1"/>
  <c r="H29" i="1"/>
  <c r="H25" i="1"/>
  <c r="H36" i="1"/>
  <c r="J43" i="1"/>
  <c r="J35" i="1"/>
  <c r="J27" i="1"/>
  <c r="H16" i="1"/>
  <c r="H32" i="1"/>
  <c r="J41" i="1"/>
  <c r="J33" i="1"/>
  <c r="J25" i="1"/>
  <c r="H21" i="1"/>
  <c r="H17" i="1"/>
  <c r="H34" i="1"/>
  <c r="H30" i="1"/>
  <c r="H26" i="1"/>
  <c r="H46" i="1"/>
  <c r="H42" i="1"/>
  <c r="H38" i="1"/>
  <c r="H24" i="1"/>
  <c r="H20" i="1"/>
  <c r="J22" i="1"/>
  <c r="J18" i="1"/>
  <c r="H8" i="1" s="1"/>
  <c r="H44" i="1"/>
  <c r="H40" i="1"/>
  <c r="G45" i="5" l="1"/>
  <c r="H46" i="5"/>
  <c r="M46" i="5" s="1"/>
  <c r="D43" i="5"/>
  <c r="E44" i="5"/>
  <c r="F43" i="5" s="1"/>
  <c r="D42" i="3"/>
  <c r="G44" i="3"/>
  <c r="H44" i="3" s="1"/>
  <c r="M45" i="3"/>
  <c r="F25" i="2"/>
  <c r="K25" i="2" s="1"/>
  <c r="E24" i="2"/>
  <c r="H5" i="1"/>
  <c r="I15" i="1"/>
  <c r="D42" i="5" l="1"/>
  <c r="E43" i="5"/>
  <c r="F42" i="5" s="1"/>
  <c r="G44" i="5"/>
  <c r="H45" i="5"/>
  <c r="M45" i="5" s="1"/>
  <c r="D41" i="3"/>
  <c r="M44" i="3"/>
  <c r="G43" i="3"/>
  <c r="H43" i="3" s="1"/>
  <c r="F24" i="2"/>
  <c r="K24" i="2" s="1"/>
  <c r="E23" i="2"/>
  <c r="F48" i="1"/>
  <c r="K48" i="1" s="1"/>
  <c r="E47" i="1"/>
  <c r="D41" i="5" l="1"/>
  <c r="E42" i="5"/>
  <c r="F41" i="5" s="1"/>
  <c r="G43" i="5"/>
  <c r="H44" i="5"/>
  <c r="M44" i="5" s="1"/>
  <c r="D40" i="3"/>
  <c r="M43" i="3"/>
  <c r="G42" i="3"/>
  <c r="H42" i="3" s="1"/>
  <c r="F23" i="2"/>
  <c r="K23" i="2" s="1"/>
  <c r="E22" i="2"/>
  <c r="F47" i="1"/>
  <c r="K47" i="1" s="1"/>
  <c r="E46" i="1"/>
  <c r="D40" i="5" l="1"/>
  <c r="E41" i="5"/>
  <c r="F40" i="5" s="1"/>
  <c r="G42" i="5"/>
  <c r="H43" i="5"/>
  <c r="M43" i="5" s="1"/>
  <c r="D39" i="3"/>
  <c r="M42" i="3"/>
  <c r="G41" i="3"/>
  <c r="H41" i="3" s="1"/>
  <c r="E21" i="2"/>
  <c r="F22" i="2"/>
  <c r="K22" i="2" s="1"/>
  <c r="E45" i="1"/>
  <c r="F46" i="1"/>
  <c r="K46" i="1" s="1"/>
  <c r="D39" i="5" l="1"/>
  <c r="E40" i="5"/>
  <c r="F39" i="5" s="1"/>
  <c r="G41" i="5"/>
  <c r="H42" i="5"/>
  <c r="M42" i="5" s="1"/>
  <c r="D38" i="3"/>
  <c r="M41" i="3"/>
  <c r="G40" i="3"/>
  <c r="H40" i="3" s="1"/>
  <c r="E20" i="2"/>
  <c r="F21" i="2"/>
  <c r="K21" i="2" s="1"/>
  <c r="F45" i="1"/>
  <c r="K45" i="1" s="1"/>
  <c r="E44" i="1"/>
  <c r="D38" i="5" l="1"/>
  <c r="E39" i="5"/>
  <c r="F38" i="5" s="1"/>
  <c r="G40" i="5"/>
  <c r="H41" i="5"/>
  <c r="M41" i="5" s="1"/>
  <c r="D37" i="3"/>
  <c r="M40" i="3"/>
  <c r="G39" i="3"/>
  <c r="H39" i="3" s="1"/>
  <c r="E19" i="2"/>
  <c r="F20" i="2"/>
  <c r="K20" i="2" s="1"/>
  <c r="E43" i="1"/>
  <c r="F44" i="1"/>
  <c r="K44" i="1" s="1"/>
  <c r="D37" i="5" l="1"/>
  <c r="E38" i="5"/>
  <c r="F37" i="5" s="1"/>
  <c r="G39" i="5"/>
  <c r="H40" i="5"/>
  <c r="M40" i="5" s="1"/>
  <c r="D36" i="3"/>
  <c r="M39" i="3"/>
  <c r="G38" i="3"/>
  <c r="H38" i="3" s="1"/>
  <c r="E18" i="2"/>
  <c r="E17" i="2" s="1"/>
  <c r="F19" i="2"/>
  <c r="K19" i="2" s="1"/>
  <c r="E42" i="1"/>
  <c r="F43" i="1"/>
  <c r="K43" i="1" s="1"/>
  <c r="E37" i="5" l="1"/>
  <c r="F36" i="5" s="1"/>
  <c r="D36" i="5"/>
  <c r="G38" i="5"/>
  <c r="H39" i="5"/>
  <c r="M39" i="5" s="1"/>
  <c r="D35" i="3"/>
  <c r="M38" i="3"/>
  <c r="G37" i="3"/>
  <c r="H37" i="3" s="1"/>
  <c r="F18" i="2"/>
  <c r="K18" i="2" s="1"/>
  <c r="F42" i="1"/>
  <c r="K42" i="1" s="1"/>
  <c r="E41" i="1"/>
  <c r="G37" i="5" l="1"/>
  <c r="H38" i="5"/>
  <c r="M38" i="5" s="1"/>
  <c r="D35" i="5"/>
  <c r="D34" i="5" s="1"/>
  <c r="E36" i="5"/>
  <c r="F35" i="5" s="1"/>
  <c r="D34" i="3"/>
  <c r="G36" i="3"/>
  <c r="H36" i="3" s="1"/>
  <c r="M37" i="3"/>
  <c r="F17" i="2"/>
  <c r="K17" i="2" s="1"/>
  <c r="E16" i="2"/>
  <c r="H3" i="2" s="1"/>
  <c r="E40" i="1"/>
  <c r="F41" i="1"/>
  <c r="K41" i="1" s="1"/>
  <c r="D33" i="5" l="1"/>
  <c r="E34" i="5"/>
  <c r="F33" i="5" s="1"/>
  <c r="E35" i="5"/>
  <c r="F34" i="5" s="1"/>
  <c r="G36" i="5"/>
  <c r="H37" i="5"/>
  <c r="M37" i="5" s="1"/>
  <c r="D33" i="3"/>
  <c r="G35" i="3"/>
  <c r="H35" i="3" s="1"/>
  <c r="M36" i="3"/>
  <c r="F16" i="2"/>
  <c r="K16" i="2" s="1"/>
  <c r="E39" i="1"/>
  <c r="F40" i="1"/>
  <c r="K40" i="1" s="1"/>
  <c r="D32" i="5" l="1"/>
  <c r="E33" i="5"/>
  <c r="F32" i="5" s="1"/>
  <c r="G35" i="5"/>
  <c r="G34" i="5" s="1"/>
  <c r="H36" i="5"/>
  <c r="M36" i="5" s="1"/>
  <c r="D32" i="3"/>
  <c r="G34" i="3"/>
  <c r="H34" i="3" s="1"/>
  <c r="M35" i="3"/>
  <c r="K15" i="2"/>
  <c r="E38" i="1"/>
  <c r="F39" i="1"/>
  <c r="K39" i="1" s="1"/>
  <c r="G33" i="5" l="1"/>
  <c r="H34" i="5"/>
  <c r="M34" i="5" s="1"/>
  <c r="E32" i="5"/>
  <c r="F31" i="5" s="1"/>
  <c r="D31" i="5"/>
  <c r="H35" i="5"/>
  <c r="M35" i="5" s="1"/>
  <c r="D31" i="3"/>
  <c r="G33" i="3"/>
  <c r="H33" i="3" s="1"/>
  <c r="M34" i="3"/>
  <c r="E37" i="1"/>
  <c r="F38" i="1"/>
  <c r="K38" i="1" s="1"/>
  <c r="D30" i="5" l="1"/>
  <c r="E31" i="5"/>
  <c r="F30" i="5" s="1"/>
  <c r="G32" i="5"/>
  <c r="H33" i="5"/>
  <c r="M33" i="5" s="1"/>
  <c r="D30" i="3"/>
  <c r="G32" i="3"/>
  <c r="H32" i="3" s="1"/>
  <c r="M33" i="3"/>
  <c r="E36" i="1"/>
  <c r="F37" i="1"/>
  <c r="K37" i="1" s="1"/>
  <c r="G31" i="5" l="1"/>
  <c r="H32" i="5"/>
  <c r="M32" i="5" s="1"/>
  <c r="D29" i="5"/>
  <c r="E30" i="5"/>
  <c r="F29" i="5" s="1"/>
  <c r="D29" i="3"/>
  <c r="M32" i="3"/>
  <c r="G31" i="3"/>
  <c r="H31" i="3" s="1"/>
  <c r="E35" i="1"/>
  <c r="F36" i="1"/>
  <c r="K36" i="1" s="1"/>
  <c r="D28" i="5" l="1"/>
  <c r="E29" i="5"/>
  <c r="F28" i="5" s="1"/>
  <c r="G30" i="5"/>
  <c r="H31" i="5"/>
  <c r="M31" i="5" s="1"/>
  <c r="D28" i="3"/>
  <c r="M31" i="3"/>
  <c r="G30" i="3"/>
  <c r="H30" i="3" s="1"/>
  <c r="E34" i="1"/>
  <c r="F35" i="1"/>
  <c r="K35" i="1" s="1"/>
  <c r="G29" i="5" l="1"/>
  <c r="H30" i="5"/>
  <c r="M30" i="5" s="1"/>
  <c r="D27" i="5"/>
  <c r="E28" i="5"/>
  <c r="F27" i="5" s="1"/>
  <c r="D27" i="3"/>
  <c r="M30" i="3"/>
  <c r="G29" i="3"/>
  <c r="H29" i="3" s="1"/>
  <c r="F34" i="1"/>
  <c r="K34" i="1" s="1"/>
  <c r="E33" i="1"/>
  <c r="D26" i="5" l="1"/>
  <c r="E27" i="5"/>
  <c r="F26" i="5" s="1"/>
  <c r="G28" i="5"/>
  <c r="H29" i="5"/>
  <c r="M29" i="5" s="1"/>
  <c r="D26" i="3"/>
  <c r="G28" i="3"/>
  <c r="H28" i="3" s="1"/>
  <c r="M29" i="3"/>
  <c r="F33" i="1"/>
  <c r="K33" i="1" s="1"/>
  <c r="E32" i="1"/>
  <c r="G27" i="5" l="1"/>
  <c r="H28" i="5"/>
  <c r="M28" i="5" s="1"/>
  <c r="D25" i="5"/>
  <c r="E26" i="5"/>
  <c r="F25" i="5" s="1"/>
  <c r="D25" i="3"/>
  <c r="G27" i="3"/>
  <c r="H27" i="3" s="1"/>
  <c r="M28" i="3"/>
  <c r="E31" i="1"/>
  <c r="F32" i="1"/>
  <c r="K32" i="1" s="1"/>
  <c r="D24" i="5" l="1"/>
  <c r="E25" i="5"/>
  <c r="F24" i="5" s="1"/>
  <c r="G26" i="5"/>
  <c r="H27" i="5"/>
  <c r="M27" i="5" s="1"/>
  <c r="D24" i="3"/>
  <c r="G26" i="3"/>
  <c r="H26" i="3" s="1"/>
  <c r="M27" i="3"/>
  <c r="E30" i="1"/>
  <c r="F31" i="1"/>
  <c r="K31" i="1" s="1"/>
  <c r="D23" i="5" l="1"/>
  <c r="E24" i="5"/>
  <c r="F23" i="5" s="1"/>
  <c r="G25" i="5"/>
  <c r="H26" i="5"/>
  <c r="M26" i="5" s="1"/>
  <c r="D23" i="3"/>
  <c r="G25" i="3"/>
  <c r="H25" i="3" s="1"/>
  <c r="M26" i="3"/>
  <c r="E29" i="1"/>
  <c r="F30" i="1"/>
  <c r="K30" i="1" s="1"/>
  <c r="G24" i="5" l="1"/>
  <c r="H25" i="5"/>
  <c r="M25" i="5" s="1"/>
  <c r="D22" i="5"/>
  <c r="E23" i="5"/>
  <c r="F22" i="5" s="1"/>
  <c r="D22" i="3"/>
  <c r="M25" i="3"/>
  <c r="G24" i="3"/>
  <c r="H24" i="3" s="1"/>
  <c r="E28" i="1"/>
  <c r="F29" i="1"/>
  <c r="K29" i="1" s="1"/>
  <c r="D21" i="5" l="1"/>
  <c r="E22" i="5"/>
  <c r="F21" i="5" s="1"/>
  <c r="G23" i="5"/>
  <c r="H24" i="5"/>
  <c r="M24" i="5" s="1"/>
  <c r="D21" i="3"/>
  <c r="G23" i="3"/>
  <c r="H23" i="3" s="1"/>
  <c r="M24" i="3"/>
  <c r="E27" i="1"/>
  <c r="F28" i="1"/>
  <c r="K28" i="1" s="1"/>
  <c r="G22" i="5" l="1"/>
  <c r="H23" i="5"/>
  <c r="M23" i="5" s="1"/>
  <c r="D20" i="5"/>
  <c r="E21" i="5"/>
  <c r="F20" i="5" s="1"/>
  <c r="D20" i="3"/>
  <c r="G22" i="3"/>
  <c r="H22" i="3" s="1"/>
  <c r="M23" i="3"/>
  <c r="E26" i="1"/>
  <c r="F27" i="1"/>
  <c r="K27" i="1" s="1"/>
  <c r="D19" i="5" l="1"/>
  <c r="E20" i="5"/>
  <c r="F19" i="5" s="1"/>
  <c r="G21" i="5"/>
  <c r="H22" i="5"/>
  <c r="M22" i="5" s="1"/>
  <c r="D19" i="3"/>
  <c r="G21" i="3"/>
  <c r="H21" i="3" s="1"/>
  <c r="M22" i="3"/>
  <c r="E25" i="1"/>
  <c r="F26" i="1"/>
  <c r="K26" i="1" s="1"/>
  <c r="G20" i="5" l="1"/>
  <c r="H21" i="5"/>
  <c r="M21" i="5" s="1"/>
  <c r="D18" i="5"/>
  <c r="E19" i="5"/>
  <c r="F18" i="5" s="1"/>
  <c r="D18" i="3"/>
  <c r="G20" i="3"/>
  <c r="H20" i="3" s="1"/>
  <c r="M21" i="3"/>
  <c r="E24" i="1"/>
  <c r="F25" i="1"/>
  <c r="K25" i="1" s="1"/>
  <c r="D17" i="5" l="1"/>
  <c r="E18" i="5"/>
  <c r="F17" i="5" s="1"/>
  <c r="G19" i="5"/>
  <c r="H20" i="5"/>
  <c r="M20" i="5" s="1"/>
  <c r="D17" i="3"/>
  <c r="M20" i="3"/>
  <c r="G19" i="3"/>
  <c r="H19" i="3" s="1"/>
  <c r="E23" i="1"/>
  <c r="F24" i="1"/>
  <c r="K24" i="1" s="1"/>
  <c r="D16" i="5" l="1"/>
  <c r="E17" i="5"/>
  <c r="F16" i="5" s="1"/>
  <c r="G18" i="5"/>
  <c r="H19" i="5"/>
  <c r="M19" i="5" s="1"/>
  <c r="D16" i="3"/>
  <c r="M19" i="3"/>
  <c r="G18" i="3"/>
  <c r="H18" i="3" s="1"/>
  <c r="E22" i="1"/>
  <c r="F23" i="1"/>
  <c r="K23" i="1" s="1"/>
  <c r="G17" i="5" l="1"/>
  <c r="H18" i="5"/>
  <c r="M18" i="5" s="1"/>
  <c r="E16" i="5"/>
  <c r="J2" i="3"/>
  <c r="M18" i="3"/>
  <c r="G17" i="3"/>
  <c r="H17" i="3" s="1"/>
  <c r="E21" i="1"/>
  <c r="F22" i="1"/>
  <c r="K22" i="1" s="1"/>
  <c r="G16" i="5" l="1"/>
  <c r="H16" i="5" s="1"/>
  <c r="M16" i="5" s="1"/>
  <c r="H17" i="5"/>
  <c r="M17" i="5" s="1"/>
  <c r="F15" i="5"/>
  <c r="M17" i="3"/>
  <c r="G16" i="3"/>
  <c r="E20" i="1"/>
  <c r="F21" i="1"/>
  <c r="K21" i="1" s="1"/>
  <c r="J3" i="3" l="1"/>
  <c r="J4" i="3" s="1"/>
  <c r="J7" i="3" s="1"/>
  <c r="J9" i="3" s="1"/>
  <c r="H16" i="3"/>
  <c r="M16" i="3" s="1"/>
  <c r="M50" i="3" s="1"/>
  <c r="K30" i="2"/>
  <c r="H4" i="2"/>
  <c r="H7" i="2" s="1"/>
  <c r="H9" i="2" s="1"/>
  <c r="E19" i="1"/>
  <c r="F20" i="1"/>
  <c r="K20" i="1" s="1"/>
  <c r="J4" i="5" l="1"/>
  <c r="J7" i="5" s="1"/>
  <c r="J9" i="5" s="1"/>
  <c r="M50" i="5"/>
  <c r="E18" i="1"/>
  <c r="F19" i="1"/>
  <c r="K19" i="1" s="1"/>
  <c r="E17" i="1" l="1"/>
  <c r="F18" i="1"/>
  <c r="K18" i="1" s="1"/>
  <c r="E16" i="1" l="1"/>
  <c r="F17" i="1"/>
  <c r="K17" i="1" s="1"/>
  <c r="F16" i="1" l="1"/>
  <c r="K16" i="1" s="1"/>
  <c r="H3" i="1"/>
  <c r="H4" i="1" s="1"/>
  <c r="H7" i="1" s="1"/>
  <c r="H9" i="1" s="1"/>
  <c r="K50" i="1"/>
</calcChain>
</file>

<file path=xl/sharedStrings.xml><?xml version="1.0" encoding="utf-8"?>
<sst xmlns="http://schemas.openxmlformats.org/spreadsheetml/2006/main" count="265" uniqueCount="71">
  <si>
    <t>Unique ID</t>
  </si>
  <si>
    <t>801219-RPT_SECUR-FI_KOREAOIL-27MAR2020-H-RPT</t>
  </si>
  <si>
    <t>Valuation Date</t>
  </si>
  <si>
    <t>Expiry Date</t>
  </si>
  <si>
    <t>Initial rating</t>
  </si>
  <si>
    <t>Current rating</t>
  </si>
  <si>
    <t>DPD</t>
  </si>
  <si>
    <t>Watchlist</t>
  </si>
  <si>
    <t>Rescheduling</t>
  </si>
  <si>
    <t>Collateral</t>
  </si>
  <si>
    <t>No</t>
  </si>
  <si>
    <t>Year 1</t>
  </si>
  <si>
    <t>Year 2</t>
  </si>
  <si>
    <t>Year 3</t>
  </si>
  <si>
    <t>LGD</t>
  </si>
  <si>
    <t>(No collateral)</t>
  </si>
  <si>
    <t>Date</t>
  </si>
  <si>
    <t>Total</t>
  </si>
  <si>
    <t>Numerical Rating</t>
  </si>
  <si>
    <t>4-</t>
  </si>
  <si>
    <t>5+</t>
  </si>
  <si>
    <t>5-</t>
  </si>
  <si>
    <t>6+</t>
  </si>
  <si>
    <t>Principal  Freq</t>
  </si>
  <si>
    <t>Interest  Freq</t>
  </si>
  <si>
    <t xml:space="preserve"> Exposure</t>
  </si>
  <si>
    <t>Bullet</t>
  </si>
  <si>
    <t>Quarterly</t>
  </si>
  <si>
    <t>Interest Rate</t>
  </si>
  <si>
    <t>ORR/Year</t>
  </si>
  <si>
    <t>TTC PD   --------------------&gt;      Vasicek Formula</t>
  </si>
  <si>
    <t>----------------&gt;  PIT PD</t>
  </si>
  <si>
    <t>Marginal PIT PD (Rating 13)</t>
  </si>
  <si>
    <r>
      <rPr>
        <b/>
        <sz val="10"/>
        <color theme="1"/>
        <rFont val="Calibri"/>
        <family val="2"/>
        <scheme val="minor"/>
      </rPr>
      <t>Stage 2</t>
    </r>
    <r>
      <rPr>
        <sz val="10"/>
        <color theme="1"/>
        <rFont val="Calibri"/>
        <family val="2"/>
        <scheme val="minor"/>
      </rPr>
      <t xml:space="preserve"> - On the basis of notch downgrade --&gt; from 4 to 13</t>
    </r>
  </si>
  <si>
    <t>Marginal TTC PD</t>
  </si>
  <si>
    <t>Marginal PIT PD</t>
  </si>
  <si>
    <r>
      <t xml:space="preserve">Z-CCI factor
</t>
    </r>
    <r>
      <rPr>
        <b/>
        <sz val="8"/>
        <color theme="1"/>
        <rFont val="Calibri"/>
        <family val="2"/>
      </rPr>
      <t>ρ-correlation</t>
    </r>
  </si>
  <si>
    <t>LGD
(d)</t>
  </si>
  <si>
    <t>Discount factor
(e )</t>
  </si>
  <si>
    <t>Days
of
discounting</t>
  </si>
  <si>
    <t>Interest
Payment
in Month</t>
  </si>
  <si>
    <t>Accrued
Interest
in Month</t>
  </si>
  <si>
    <t>Outstanding Interest
EAD</t>
  </si>
  <si>
    <t>Total EAD
(Princ+Int)
(b)</t>
  </si>
  <si>
    <t>Days
Between
Dates</t>
  </si>
  <si>
    <t>Marginal
Monthly PD
(c )</t>
  </si>
  <si>
    <t xml:space="preserve"> </t>
  </si>
  <si>
    <t>ECL
= b*c*d*e</t>
  </si>
  <si>
    <t>Principal</t>
  </si>
  <si>
    <t>Ave Interest</t>
  </si>
  <si>
    <t>EAD</t>
  </si>
  <si>
    <t>Cum PD</t>
  </si>
  <si>
    <t>ECL</t>
  </si>
  <si>
    <t>Ave DCF</t>
  </si>
  <si>
    <t>Discounted ECL</t>
  </si>
  <si>
    <t>EASY PROOF</t>
  </si>
  <si>
    <t>Interest Accruals/Cashflows (Monthly)</t>
  </si>
  <si>
    <t>12 M ECL</t>
  </si>
  <si>
    <t>Repayment</t>
  </si>
  <si>
    <t>Principal EAD (a)</t>
  </si>
  <si>
    <t>Outstanding Interest
EAD (b)</t>
  </si>
  <si>
    <t xml:space="preserve">Total EAD ( C) =
(a+b)
</t>
  </si>
  <si>
    <t>Marginal
Monthly PD
(d )</t>
  </si>
  <si>
    <t>LGD
(e)</t>
  </si>
  <si>
    <t>Discount factor
(f )</t>
  </si>
  <si>
    <t>ECL
= c*d*e*f</t>
  </si>
  <si>
    <t>Monthly</t>
  </si>
  <si>
    <r>
      <rPr>
        <b/>
        <sz val="10"/>
        <color theme="1"/>
        <rFont val="Calibri"/>
        <family val="2"/>
        <scheme val="minor"/>
      </rPr>
      <t>Stage 1</t>
    </r>
    <r>
      <rPr>
        <sz val="10"/>
        <color theme="1"/>
        <rFont val="Calibri"/>
        <family val="2"/>
        <scheme val="minor"/>
      </rPr>
      <t xml:space="preserve"> analysis</t>
    </r>
  </si>
  <si>
    <r>
      <rPr>
        <b/>
        <sz val="10"/>
        <color theme="1"/>
        <rFont val="Calibri"/>
        <family val="2"/>
        <scheme val="minor"/>
      </rPr>
      <t>Stage 2</t>
    </r>
    <r>
      <rPr>
        <sz val="10"/>
        <color theme="1"/>
        <rFont val="Calibri"/>
        <family val="2"/>
        <scheme val="minor"/>
      </rPr>
      <t xml:space="preserve"> analysis</t>
    </r>
  </si>
  <si>
    <t>12-M ECL</t>
  </si>
  <si>
    <t>1 year indicator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</si>
</sst>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(* #,##0.00_);_(* \(#,##0.00\);_(* &quot;-&quot;??_);_(@_)"/>
    <numFmt numFmtId="164" formatCode="_(* #,##0_);_(* \(#,##0\);_(* &quot;-&quot;??_);_(@_)"/>
    <numFmt numFmtId="165" formatCode="0.000%"/>
    <numFmt numFmtId="166" formatCode="_(* #,##0.0000_);_(* \(#,##0.0000\);_(* &quot;-&quot;??_);_(@_)"/>
    <numFmt numFmtId="167" formatCode="_(* #,##0.000_);_(* \(#,##0.000\);_(* &quot;-&quot;??_);_(@_)"/>
    <numFmt numFmtId="168" formatCode="[$-409]d\-mmm\-yy;@"/>
    <numFmt numFmtId="169" formatCode="0.00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EYInterstate Light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7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2" borderId="1">
      <alignment horizontal="center" vertical="center" wrapText="1"/>
    </xf>
  </cellStyleXfs>
  <cellXfs count="111">
    <xf numFmtId="0" fontId="0" fillId="0" borderId="0" xfId="0"/>
    <xf numFmtId="0" fontId="5" fillId="0" borderId="0" xfId="0" applyFont="1"/>
    <xf numFmtId="0" fontId="6" fillId="0" borderId="0" xfId="0" applyFont="1"/>
    <xf numFmtId="0" fontId="5" fillId="0" borderId="4" xfId="0" applyFont="1" applyBorder="1"/>
    <xf numFmtId="9" fontId="5" fillId="0" borderId="8" xfId="0" applyNumberFormat="1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6" xfId="0" applyFont="1" applyBorder="1"/>
    <xf numFmtId="9" fontId="5" fillId="0" borderId="0" xfId="0" applyNumberFormat="1" applyFont="1" applyBorder="1" applyAlignment="1">
      <alignment horizontal="center"/>
    </xf>
    <xf numFmtId="164" fontId="5" fillId="0" borderId="0" xfId="1" applyNumberFormat="1" applyFont="1" applyBorder="1" applyAlignment="1">
      <alignment horizontal="center"/>
    </xf>
    <xf numFmtId="1" fontId="5" fillId="0" borderId="11" xfId="0" applyNumberFormat="1" applyFont="1" applyBorder="1"/>
    <xf numFmtId="0" fontId="5" fillId="0" borderId="11" xfId="0" applyFont="1" applyBorder="1"/>
    <xf numFmtId="164" fontId="4" fillId="0" borderId="11" xfId="1" applyNumberFormat="1" applyFont="1" applyBorder="1" applyAlignment="1">
      <alignment horizontal="center"/>
    </xf>
    <xf numFmtId="1" fontId="6" fillId="0" borderId="0" xfId="0" applyNumberFormat="1" applyFont="1" applyBorder="1" applyAlignment="1">
      <alignment horizontal="center"/>
    </xf>
    <xf numFmtId="0" fontId="6" fillId="0" borderId="0" xfId="0" applyFont="1" applyBorder="1"/>
    <xf numFmtId="1" fontId="6" fillId="0" borderId="0" xfId="0" applyNumberFormat="1" applyFont="1" applyBorder="1"/>
    <xf numFmtId="164" fontId="7" fillId="0" borderId="0" xfId="1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165" fontId="6" fillId="0" borderId="0" xfId="2" applyNumberFormat="1" applyFont="1" applyAlignment="1">
      <alignment horizontal="center"/>
    </xf>
    <xf numFmtId="164" fontId="5" fillId="0" borderId="0" xfId="1" applyNumberFormat="1" applyFont="1" applyBorder="1" applyAlignment="1">
      <alignment horizontal="center" wrapText="1"/>
    </xf>
    <xf numFmtId="0" fontId="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166" fontId="5" fillId="0" borderId="0" xfId="1" applyNumberFormat="1" applyFont="1" applyBorder="1" applyAlignment="1">
      <alignment horizontal="center"/>
    </xf>
    <xf numFmtId="164" fontId="5" fillId="0" borderId="11" xfId="1" applyNumberFormat="1" applyFont="1" applyBorder="1" applyAlignment="1">
      <alignment horizontal="center"/>
    </xf>
    <xf numFmtId="164" fontId="5" fillId="0" borderId="11" xfId="1" applyNumberFormat="1" applyFont="1" applyBorder="1"/>
    <xf numFmtId="0" fontId="8" fillId="0" borderId="0" xfId="0" quotePrefix="1" applyFont="1" applyAlignment="1">
      <alignment vertical="center"/>
    </xf>
    <xf numFmtId="0" fontId="6" fillId="0" borderId="5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165" fontId="6" fillId="0" borderId="0" xfId="2" applyNumberFormat="1" applyFont="1" applyBorder="1" applyAlignment="1">
      <alignment horizontal="center"/>
    </xf>
    <xf numFmtId="165" fontId="6" fillId="0" borderId="5" xfId="2" applyNumberFormat="1" applyFont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165" fontId="6" fillId="3" borderId="0" xfId="2" applyNumberFormat="1" applyFont="1" applyFill="1" applyBorder="1" applyAlignment="1">
      <alignment horizontal="center"/>
    </xf>
    <xf numFmtId="165" fontId="6" fillId="0" borderId="0" xfId="2" applyNumberFormat="1" applyFont="1" applyFill="1" applyBorder="1" applyAlignment="1">
      <alignment horizontal="center"/>
    </xf>
    <xf numFmtId="0" fontId="6" fillId="0" borderId="6" xfId="0" applyFont="1" applyBorder="1" applyAlignment="1">
      <alignment horizontal="center"/>
    </xf>
    <xf numFmtId="165" fontId="6" fillId="0" borderId="11" xfId="2" applyNumberFormat="1" applyFont="1" applyBorder="1" applyAlignment="1">
      <alignment horizontal="center"/>
    </xf>
    <xf numFmtId="165" fontId="6" fillId="0" borderId="7" xfId="2" applyNumberFormat="1" applyFont="1" applyBorder="1" applyAlignment="1">
      <alignment horizontal="center"/>
    </xf>
    <xf numFmtId="0" fontId="6" fillId="0" borderId="2" xfId="0" applyFont="1" applyBorder="1"/>
    <xf numFmtId="0" fontId="6" fillId="0" borderId="10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13" xfId="0" applyFont="1" applyBorder="1"/>
    <xf numFmtId="0" fontId="6" fillId="0" borderId="14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165" fontId="5" fillId="0" borderId="5" xfId="0" applyNumberFormat="1" applyFont="1" applyBorder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4" fillId="5" borderId="13" xfId="0" applyFont="1" applyFill="1" applyBorder="1"/>
    <xf numFmtId="0" fontId="4" fillId="5" borderId="15" xfId="0" applyFont="1" applyFill="1" applyBorder="1"/>
    <xf numFmtId="0" fontId="4" fillId="5" borderId="12" xfId="0" applyFont="1" applyFill="1" applyBorder="1" applyAlignment="1">
      <alignment horizontal="center"/>
    </xf>
    <xf numFmtId="0" fontId="5" fillId="0" borderId="0" xfId="0" applyFont="1" applyBorder="1"/>
    <xf numFmtId="0" fontId="5" fillId="0" borderId="5" xfId="0" applyFont="1" applyBorder="1"/>
    <xf numFmtId="0" fontId="5" fillId="0" borderId="7" xfId="0" applyFont="1" applyBorder="1"/>
    <xf numFmtId="0" fontId="4" fillId="0" borderId="4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10" fontId="5" fillId="4" borderId="4" xfId="2" applyNumberFormat="1" applyFont="1" applyFill="1" applyBorder="1" applyAlignment="1">
      <alignment horizontal="center"/>
    </xf>
    <xf numFmtId="0" fontId="5" fillId="4" borderId="0" xfId="0" applyFont="1" applyFill="1" applyBorder="1" applyAlignment="1">
      <alignment horizontal="center"/>
    </xf>
    <xf numFmtId="0" fontId="5" fillId="4" borderId="5" xfId="0" applyFont="1" applyFill="1" applyBorder="1" applyAlignment="1">
      <alignment horizontal="center"/>
    </xf>
    <xf numFmtId="164" fontId="5" fillId="4" borderId="0" xfId="1" applyNumberFormat="1" applyFont="1" applyFill="1" applyBorder="1" applyAlignment="1">
      <alignment horizontal="center"/>
    </xf>
    <xf numFmtId="165" fontId="5" fillId="0" borderId="0" xfId="2" applyNumberFormat="1" applyFont="1" applyBorder="1" applyAlignment="1">
      <alignment horizontal="center"/>
    </xf>
    <xf numFmtId="0" fontId="4" fillId="5" borderId="10" xfId="0" applyFont="1" applyFill="1" applyBorder="1" applyAlignment="1">
      <alignment horizontal="center" wrapText="1"/>
    </xf>
    <xf numFmtId="0" fontId="4" fillId="5" borderId="3" xfId="0" applyFont="1" applyFill="1" applyBorder="1" applyAlignment="1">
      <alignment horizontal="center" wrapText="1"/>
    </xf>
    <xf numFmtId="0" fontId="0" fillId="0" borderId="0" xfId="0" applyBorder="1"/>
    <xf numFmtId="0" fontId="0" fillId="0" borderId="5" xfId="0" applyBorder="1"/>
    <xf numFmtId="165" fontId="0" fillId="0" borderId="0" xfId="2" applyNumberFormat="1" applyFont="1" applyBorder="1"/>
    <xf numFmtId="0" fontId="0" fillId="0" borderId="11" xfId="0" applyBorder="1"/>
    <xf numFmtId="0" fontId="4" fillId="5" borderId="10" xfId="0" applyFont="1" applyFill="1" applyBorder="1" applyAlignment="1">
      <alignment horizontal="center" vertical="center" wrapText="1"/>
    </xf>
    <xf numFmtId="164" fontId="5" fillId="0" borderId="0" xfId="1" applyNumberFormat="1" applyFont="1" applyBorder="1"/>
    <xf numFmtId="0" fontId="9" fillId="0" borderId="0" xfId="0" applyFont="1" applyAlignment="1">
      <alignment vertical="center" wrapText="1"/>
    </xf>
    <xf numFmtId="0" fontId="4" fillId="5" borderId="2" xfId="0" applyFont="1" applyFill="1" applyBorder="1" applyAlignment="1">
      <alignment horizontal="center" vertical="center"/>
    </xf>
    <xf numFmtId="9" fontId="5" fillId="0" borderId="0" xfId="2" applyFont="1" applyBorder="1" applyAlignment="1">
      <alignment horizontal="center"/>
    </xf>
    <xf numFmtId="43" fontId="5" fillId="0" borderId="0" xfId="1" applyFont="1" applyBorder="1" applyAlignment="1">
      <alignment horizontal="center"/>
    </xf>
    <xf numFmtId="167" fontId="5" fillId="0" borderId="0" xfId="0" applyNumberFormat="1" applyFont="1" applyBorder="1"/>
    <xf numFmtId="164" fontId="5" fillId="0" borderId="5" xfId="1" applyNumberFormat="1" applyFont="1" applyBorder="1"/>
    <xf numFmtId="164" fontId="5" fillId="0" borderId="0" xfId="0" applyNumberFormat="1" applyFont="1"/>
    <xf numFmtId="168" fontId="5" fillId="0" borderId="4" xfId="0" applyNumberFormat="1" applyFont="1" applyBorder="1" applyAlignment="1">
      <alignment horizontal="center"/>
    </xf>
    <xf numFmtId="164" fontId="4" fillId="6" borderId="13" xfId="1" applyNumberFormat="1" applyFont="1" applyFill="1" applyBorder="1" applyAlignment="1">
      <alignment horizontal="center"/>
    </xf>
    <xf numFmtId="0" fontId="0" fillId="6" borderId="14" xfId="0" applyFill="1" applyBorder="1"/>
    <xf numFmtId="164" fontId="2" fillId="6" borderId="15" xfId="1" applyNumberFormat="1" applyFont="1" applyFill="1" applyBorder="1"/>
    <xf numFmtId="168" fontId="5" fillId="4" borderId="4" xfId="0" applyNumberFormat="1" applyFont="1" applyFill="1" applyBorder="1" applyAlignment="1">
      <alignment horizontal="center"/>
    </xf>
    <xf numFmtId="168" fontId="5" fillId="4" borderId="0" xfId="0" applyNumberFormat="1" applyFont="1" applyFill="1" applyBorder="1" applyAlignment="1">
      <alignment horizontal="center"/>
    </xf>
    <xf numFmtId="164" fontId="7" fillId="0" borderId="4" xfId="0" applyNumberFormat="1" applyFont="1" applyBorder="1"/>
    <xf numFmtId="164" fontId="7" fillId="0" borderId="16" xfId="0" applyNumberFormat="1" applyFont="1" applyBorder="1"/>
    <xf numFmtId="165" fontId="7" fillId="0" borderId="4" xfId="0" applyNumberFormat="1" applyFont="1" applyBorder="1"/>
    <xf numFmtId="9" fontId="7" fillId="0" borderId="16" xfId="0" applyNumberFormat="1" applyFont="1" applyBorder="1"/>
    <xf numFmtId="164" fontId="7" fillId="0" borderId="4" xfId="1" applyNumberFormat="1" applyFont="1" applyBorder="1"/>
    <xf numFmtId="167" fontId="7" fillId="0" borderId="16" xfId="0" applyNumberFormat="1" applyFont="1" applyBorder="1"/>
    <xf numFmtId="0" fontId="7" fillId="0" borderId="5" xfId="0" applyFont="1" applyBorder="1" applyAlignment="1">
      <alignment horizontal="center"/>
    </xf>
    <xf numFmtId="0" fontId="4" fillId="8" borderId="2" xfId="0" applyFont="1" applyFill="1" applyBorder="1"/>
    <xf numFmtId="164" fontId="7" fillId="8" borderId="6" xfId="1" applyNumberFormat="1" applyFont="1" applyFill="1" applyBorder="1"/>
    <xf numFmtId="0" fontId="7" fillId="8" borderId="7" xfId="0" applyFont="1" applyFill="1" applyBorder="1" applyAlignment="1">
      <alignment horizontal="center"/>
    </xf>
    <xf numFmtId="165" fontId="5" fillId="0" borderId="0" xfId="0" applyNumberFormat="1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5" fillId="0" borderId="0" xfId="0" applyNumberFormat="1" applyFont="1" applyBorder="1" applyAlignment="1">
      <alignment horizontal="center"/>
    </xf>
    <xf numFmtId="169" fontId="5" fillId="0" borderId="0" xfId="0" applyNumberFormat="1" applyFont="1" applyBorder="1" applyAlignment="1">
      <alignment horizontal="center"/>
    </xf>
    <xf numFmtId="15" fontId="0" fillId="0" borderId="0" xfId="0" applyNumberFormat="1"/>
    <xf numFmtId="43" fontId="0" fillId="0" borderId="5" xfId="1" applyFont="1" applyBorder="1"/>
    <xf numFmtId="164" fontId="0" fillId="0" borderId="5" xfId="0" applyNumberFormat="1" applyBorder="1"/>
    <xf numFmtId="0" fontId="4" fillId="6" borderId="10" xfId="0" applyFont="1" applyFill="1" applyBorder="1" applyAlignment="1">
      <alignment horizontal="center"/>
    </xf>
    <xf numFmtId="0" fontId="4" fillId="6" borderId="3" xfId="0" applyFont="1" applyFill="1" applyBorder="1" applyAlignment="1">
      <alignment horizontal="center"/>
    </xf>
    <xf numFmtId="0" fontId="7" fillId="8" borderId="13" xfId="0" applyFont="1" applyFill="1" applyBorder="1" applyAlignment="1">
      <alignment horizontal="center"/>
    </xf>
    <xf numFmtId="0" fontId="7" fillId="8" borderId="15" xfId="0" applyFont="1" applyFill="1" applyBorder="1" applyAlignment="1">
      <alignment horizontal="center"/>
    </xf>
    <xf numFmtId="0" fontId="4" fillId="7" borderId="13" xfId="0" applyFont="1" applyFill="1" applyBorder="1" applyAlignment="1">
      <alignment horizontal="center"/>
    </xf>
    <xf numFmtId="0" fontId="4" fillId="7" borderId="14" xfId="0" applyFont="1" applyFill="1" applyBorder="1" applyAlignment="1">
      <alignment horizontal="center"/>
    </xf>
    <xf numFmtId="0" fontId="4" fillId="7" borderId="15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10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</cellXfs>
  <cellStyles count="4">
    <cellStyle name="Comma" xfId="1" builtinId="3"/>
    <cellStyle name="Normal" xfId="0" builtinId="0"/>
    <cellStyle name="Percent" xfId="2" builtinId="5"/>
    <cellStyle name="Re-referenced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320040</xdr:colOff>
      <xdr:row>39</xdr:row>
      <xdr:rowOff>38100</xdr:rowOff>
    </xdr:from>
    <xdr:ext cx="2773680" cy="5181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/>
            <xdr:cNvSpPr txBox="1"/>
          </xdr:nvSpPr>
          <xdr:spPr>
            <a:xfrm>
              <a:off x="2895600" y="10881360"/>
              <a:ext cx="2773680" cy="518160"/>
            </a:xfrm>
            <a:prstGeom prst="rect">
              <a:avLst/>
            </a:prstGeom>
            <a:noFill/>
            <a:ln>
              <a:noFill/>
            </a:ln>
            <a:effectLst/>
          </xdr:spPr>
          <xdr:txBody>
            <a:bodyPr vertOverflow="clip" horzOverflow="clip" wrap="square" lIns="0" tIns="0" rIns="0" bIns="0" rtlCol="0" anchor="t">
              <a:no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kumimoji="0" lang="en-US" sz="1800" b="0" i="1" u="none" strike="noStrike" kern="0" cap="none" spc="0" normalizeH="0" baseline="0" noProof="0">
                        <a:ln>
                          <a:noFill/>
                        </a:ln>
                        <a:solidFill>
                          <a:sysClr val="windowText" lastClr="000000"/>
                        </a:solidFill>
                        <a:effectLst/>
                        <a:uLnTx/>
                        <a:uFillTx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𝑃𝐷</m:t>
                    </m:r>
                    <m:d>
                      <m:dPr>
                        <m:ctrlPr>
                          <a:rPr kumimoji="0" lang="en-US" sz="1800" b="0" i="1" u="none" strike="noStrike" kern="0" cap="none" spc="0" normalizeH="0" baseline="0" noProof="0">
                            <a:ln>
                              <a:noFill/>
                            </a:ln>
                            <a:solidFill>
                              <a:sysClr val="windowText" lastClr="000000"/>
                            </a:solidFill>
                            <a:effectLst/>
                            <a:uLnTx/>
                            <a:uFillTx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r>
                          <a:rPr kumimoji="0" lang="en-US" sz="1800" b="0" i="1" u="none" strike="noStrike" kern="0" cap="none" spc="0" normalizeH="0" baseline="0" noProof="0">
                            <a:ln>
                              <a:noFill/>
                            </a:ln>
                            <a:solidFill>
                              <a:sysClr val="windowText" lastClr="000000"/>
                            </a:solidFill>
                            <a:effectLst/>
                            <a:uLnTx/>
                            <a:uFillTx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𝑦</m:t>
                        </m:r>
                      </m:e>
                    </m:d>
                    <m:r>
                      <a:rPr kumimoji="0" lang="en-US" sz="1800" b="0" i="1" u="none" strike="noStrike" kern="0" cap="none" spc="0" normalizeH="0" baseline="0" noProof="0">
                        <a:ln>
                          <a:noFill/>
                        </a:ln>
                        <a:solidFill>
                          <a:sysClr val="windowText" lastClr="000000"/>
                        </a:solidFill>
                        <a:effectLst/>
                        <a:uLnTx/>
                        <a:uFillTx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 ∅</m:t>
                    </m:r>
                    <m:d>
                      <m:dPr>
                        <m:ctrlPr>
                          <a:rPr kumimoji="0" lang="en-US" sz="1800" b="0" i="1" u="none" strike="noStrike" kern="0" cap="none" spc="0" normalizeH="0" baseline="0" noProof="0">
                            <a:ln>
                              <a:noFill/>
                            </a:ln>
                            <a:solidFill>
                              <a:sysClr val="windowText" lastClr="000000"/>
                            </a:solidFill>
                            <a:effectLst/>
                            <a:uLnTx/>
                            <a:uFillTx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box>
                          <m:boxPr>
                            <m:ctrlPr>
                              <a:rPr kumimoji="0" lang="en-US" sz="1800" b="0" i="1" u="none" strike="noStrike" kern="0" cap="none" spc="0" normalizeH="0" baseline="0" noProof="0">
                                <a:ln>
                                  <a:noFill/>
                                </a:ln>
                                <a:solidFill>
                                  <a:sysClr val="windowText" lastClr="000000"/>
                                </a:solidFill>
                                <a:effectLst/>
                                <a:uLnTx/>
                                <a:uFillTx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boxPr>
                          <m:e>
                            <m:argPr>
                              <m:argSz m:val="-1"/>
                            </m:argPr>
                            <m:f>
                              <m:fPr>
                                <m:ctrlPr>
                                  <a:rPr kumimoji="0" lang="en-US" sz="1800" b="0" i="1" u="none" strike="noStrike" kern="0" cap="none" spc="0" normalizeH="0" baseline="0" noProof="0">
                                    <a:ln>
                                      <a:noFill/>
                                    </a:ln>
                                    <a:solidFill>
                                      <a:sysClr val="windowText" lastClr="000000"/>
                                    </a:solidFill>
                                    <a:effectLst/>
                                    <a:uLnTx/>
                                    <a:uFillTx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sSup>
                                  <m:sSupPr>
                                    <m:ctrlPr>
                                      <a:rPr kumimoji="0" lang="en-US" sz="1800" b="0" i="1" u="none" strike="noStrike" kern="0" cap="none" spc="0" normalizeH="0" baseline="0" noProof="0">
                                        <a:ln>
                                          <a:noFill/>
                                        </a:ln>
                                        <a:solidFill>
                                          <a:sysClr val="windowText" lastClr="000000"/>
                                        </a:solidFill>
                                        <a:effectLst/>
                                        <a:uLnTx/>
                                        <a:uFillTx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pPr>
                                  <m:e>
                                    <m:r>
                                      <a:rPr kumimoji="0" lang="en-US" sz="1800" b="0" i="1" u="none" strike="noStrike" kern="0" cap="none" spc="0" normalizeH="0" baseline="0" noProof="0">
                                        <a:ln>
                                          <a:noFill/>
                                        </a:ln>
                                        <a:solidFill>
                                          <a:sysClr val="windowText" lastClr="000000"/>
                                        </a:solidFill>
                                        <a:effectLst/>
                                        <a:uLnTx/>
                                        <a:uFillTx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∅</m:t>
                                    </m:r>
                                  </m:e>
                                  <m:sup>
                                    <m:r>
                                      <a:rPr kumimoji="0" lang="en-US" sz="1800" b="0" i="1" u="none" strike="noStrike" kern="0" cap="none" spc="0" normalizeH="0" baseline="0" noProof="0">
                                        <a:ln>
                                          <a:noFill/>
                                        </a:ln>
                                        <a:solidFill>
                                          <a:sysClr val="windowText" lastClr="000000"/>
                                        </a:solidFill>
                                        <a:effectLst/>
                                        <a:uLnTx/>
                                        <a:uFillTx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−1</m:t>
                                    </m:r>
                                  </m:sup>
                                </m:sSup>
                                <m:d>
                                  <m:dPr>
                                    <m:ctrlPr>
                                      <a:rPr kumimoji="0" lang="en-US" sz="1800" b="0" i="1" u="none" strike="noStrike" kern="0" cap="none" spc="0" normalizeH="0" baseline="0" noProof="0">
                                        <a:ln>
                                          <a:noFill/>
                                        </a:ln>
                                        <a:solidFill>
                                          <a:sysClr val="windowText" lastClr="000000"/>
                                        </a:solidFill>
                                        <a:effectLst/>
                                        <a:uLnTx/>
                                        <a:uFillTx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dPr>
                                  <m:e>
                                    <m:r>
                                      <a:rPr kumimoji="0" lang="en-US" sz="1800" b="0" i="1" u="none" strike="noStrike" kern="0" cap="none" spc="0" normalizeH="0" baseline="0" noProof="0">
                                        <a:ln>
                                          <a:noFill/>
                                        </a:ln>
                                        <a:solidFill>
                                          <a:sysClr val="windowText" lastClr="000000"/>
                                        </a:solidFill>
                                        <a:effectLst/>
                                        <a:uLnTx/>
                                        <a:uFillTx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𝑃𝐷</m:t>
                                    </m:r>
                                  </m:e>
                                </m:d>
                                <m:r>
                                  <a:rPr kumimoji="0" lang="en-US" sz="1800" b="0" i="1" u="none" strike="noStrike" kern="0" cap="none" spc="0" normalizeH="0" baseline="0" noProof="0">
                                    <a:ln>
                                      <a:noFill/>
                                    </a:ln>
                                    <a:solidFill>
                                      <a:sysClr val="windowText" lastClr="000000"/>
                                    </a:solidFill>
                                    <a:effectLst/>
                                    <a:uLnTx/>
                                    <a:uFillTx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−</m:t>
                                </m:r>
                                <m:rad>
                                  <m:radPr>
                                    <m:degHide m:val="on"/>
                                    <m:ctrlPr>
                                      <a:rPr kumimoji="0" lang="en-US" sz="1800" b="0" i="1" u="none" strike="noStrike" kern="0" cap="none" spc="0" normalizeH="0" baseline="0" noProof="0">
                                        <a:ln>
                                          <a:noFill/>
                                        </a:ln>
                                        <a:solidFill>
                                          <a:sysClr val="windowText" lastClr="000000"/>
                                        </a:solidFill>
                                        <a:effectLst/>
                                        <a:uLnTx/>
                                        <a:uFillTx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radPr>
                                  <m:deg/>
                                  <m:e>
                                    <m:r>
                                      <a:rPr kumimoji="0" lang="en-US" sz="1800" b="0" i="1" u="none" strike="noStrike" kern="0" cap="none" spc="0" normalizeH="0" baseline="0" noProof="0">
                                        <a:ln>
                                          <a:noFill/>
                                        </a:ln>
                                        <a:solidFill>
                                          <a:sysClr val="windowText" lastClr="000000"/>
                                        </a:solidFill>
                                        <a:effectLst/>
                                        <a:uLnTx/>
                                        <a:uFillTx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𝜌</m:t>
                                    </m:r>
                                  </m:e>
                                </m:rad>
                                <m:r>
                                  <a:rPr kumimoji="0" lang="en-US" sz="1800" b="0" i="1" u="none" strike="noStrike" kern="0" cap="none" spc="0" normalizeH="0" baseline="0" noProof="0">
                                    <a:ln>
                                      <a:noFill/>
                                    </a:ln>
                                    <a:solidFill>
                                      <a:sysClr val="windowText" lastClr="000000"/>
                                    </a:solidFill>
                                    <a:effectLst/>
                                    <a:uLnTx/>
                                    <a:uFillTx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∗</m:t>
                                </m:r>
                                <m:r>
                                  <a:rPr kumimoji="0" lang="en-US" sz="1800" b="0" i="1" u="none" strike="noStrike" kern="0" cap="none" spc="0" normalizeH="0" baseline="0" noProof="0">
                                    <a:ln>
                                      <a:noFill/>
                                    </a:ln>
                                    <a:solidFill>
                                      <a:sysClr val="windowText" lastClr="000000"/>
                                    </a:solidFill>
                                    <a:effectLst/>
                                    <a:uLnTx/>
                                    <a:uFillTx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𝑍</m:t>
                                </m:r>
                              </m:num>
                              <m:den>
                                <m:rad>
                                  <m:radPr>
                                    <m:degHide m:val="on"/>
                                    <m:ctrlPr>
                                      <a:rPr kumimoji="0" lang="en-US" sz="1800" b="0" i="1" u="none" strike="noStrike" kern="0" cap="none" spc="0" normalizeH="0" baseline="0" noProof="0">
                                        <a:ln>
                                          <a:noFill/>
                                        </a:ln>
                                        <a:solidFill>
                                          <a:sysClr val="windowText" lastClr="000000"/>
                                        </a:solidFill>
                                        <a:effectLst/>
                                        <a:uLnTx/>
                                        <a:uFillTx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radPr>
                                  <m:deg/>
                                  <m:e>
                                    <m:r>
                                      <a:rPr kumimoji="0" lang="en-US" sz="1800" b="0" i="1" u="none" strike="noStrike" kern="0" cap="none" spc="0" normalizeH="0" baseline="0" noProof="0">
                                        <a:ln>
                                          <a:noFill/>
                                        </a:ln>
                                        <a:solidFill>
                                          <a:sysClr val="windowText" lastClr="000000"/>
                                        </a:solidFill>
                                        <a:effectLst/>
                                        <a:uLnTx/>
                                        <a:uFillTx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1−</m:t>
                                    </m:r>
                                    <m:r>
                                      <a:rPr kumimoji="0" lang="en-US" sz="1800" b="0" i="1" u="none" strike="noStrike" kern="0" cap="none" spc="0" normalizeH="0" baseline="0" noProof="0">
                                        <a:ln>
                                          <a:noFill/>
                                        </a:ln>
                                        <a:solidFill>
                                          <a:sysClr val="windowText" lastClr="000000"/>
                                        </a:solidFill>
                                        <a:effectLst/>
                                        <a:uLnTx/>
                                        <a:uFillTx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𝜌</m:t>
                                    </m:r>
                                  </m:e>
                                </m:rad>
                              </m:den>
                            </m:f>
                          </m:e>
                        </m:box>
                      </m:e>
                    </m:d>
                  </m:oMath>
                </m:oMathPara>
              </a14:m>
              <a:endParaRPr kumimoji="0" lang="en-IN" sz="18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2" name="TextBox 1"/>
            <xdr:cNvSpPr txBox="1"/>
          </xdr:nvSpPr>
          <xdr:spPr>
            <a:xfrm>
              <a:off x="2895600" y="10881360"/>
              <a:ext cx="2773680" cy="518160"/>
            </a:xfrm>
            <a:prstGeom prst="rect">
              <a:avLst/>
            </a:prstGeom>
            <a:noFill/>
            <a:ln>
              <a:noFill/>
            </a:ln>
            <a:effectLst/>
          </xdr:spPr>
          <xdr:txBody>
            <a:bodyPr vertOverflow="clip" horzOverflow="clip" wrap="square" lIns="0" tIns="0" rIns="0" bIns="0" rtlCol="0" anchor="t">
              <a:no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US" sz="1800" b="0" i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𝑃𝐷(𝑦)= ∅(□(64&amp;(∅^(−1) (𝑃𝐷)−√𝜌∗𝑍)/√(1−𝜌)))</a:t>
              </a:r>
              <a:endParaRPr kumimoji="0" lang="en-IN" sz="18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+mn-ea"/>
                <a:cs typeface="+mn-cs"/>
              </a:endParaRPr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320040</xdr:colOff>
      <xdr:row>59</xdr:row>
      <xdr:rowOff>38100</xdr:rowOff>
    </xdr:from>
    <xdr:ext cx="2773680" cy="5181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/>
            <xdr:cNvSpPr txBox="1"/>
          </xdr:nvSpPr>
          <xdr:spPr>
            <a:xfrm>
              <a:off x="2872740" y="10035540"/>
              <a:ext cx="2773680" cy="518160"/>
            </a:xfrm>
            <a:prstGeom prst="rect">
              <a:avLst/>
            </a:prstGeom>
            <a:noFill/>
            <a:ln>
              <a:noFill/>
            </a:ln>
            <a:effectLst/>
          </xdr:spPr>
          <xdr:txBody>
            <a:bodyPr vertOverflow="clip" horzOverflow="clip" wrap="square" lIns="0" tIns="0" rIns="0" bIns="0" rtlCol="0" anchor="t">
              <a:no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kumimoji="0" lang="en-US" sz="1800" b="0" i="1" u="none" strike="noStrike" kern="0" cap="none" spc="0" normalizeH="0" baseline="0" noProof="0">
                        <a:ln>
                          <a:noFill/>
                        </a:ln>
                        <a:solidFill>
                          <a:sysClr val="windowText" lastClr="000000"/>
                        </a:solidFill>
                        <a:effectLst/>
                        <a:uLnTx/>
                        <a:uFillTx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𝑃𝐷</m:t>
                    </m:r>
                    <m:d>
                      <m:dPr>
                        <m:ctrlPr>
                          <a:rPr kumimoji="0" lang="en-US" sz="1800" b="0" i="1" u="none" strike="noStrike" kern="0" cap="none" spc="0" normalizeH="0" baseline="0" noProof="0">
                            <a:ln>
                              <a:noFill/>
                            </a:ln>
                            <a:solidFill>
                              <a:sysClr val="windowText" lastClr="000000"/>
                            </a:solidFill>
                            <a:effectLst/>
                            <a:uLnTx/>
                            <a:uFillTx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r>
                          <a:rPr kumimoji="0" lang="en-US" sz="1800" b="0" i="1" u="none" strike="noStrike" kern="0" cap="none" spc="0" normalizeH="0" baseline="0" noProof="0">
                            <a:ln>
                              <a:noFill/>
                            </a:ln>
                            <a:solidFill>
                              <a:sysClr val="windowText" lastClr="000000"/>
                            </a:solidFill>
                            <a:effectLst/>
                            <a:uLnTx/>
                            <a:uFillTx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𝑦</m:t>
                        </m:r>
                      </m:e>
                    </m:d>
                    <m:r>
                      <a:rPr kumimoji="0" lang="en-US" sz="1800" b="0" i="1" u="none" strike="noStrike" kern="0" cap="none" spc="0" normalizeH="0" baseline="0" noProof="0">
                        <a:ln>
                          <a:noFill/>
                        </a:ln>
                        <a:solidFill>
                          <a:sysClr val="windowText" lastClr="000000"/>
                        </a:solidFill>
                        <a:effectLst/>
                        <a:uLnTx/>
                        <a:uFillTx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 ∅</m:t>
                    </m:r>
                    <m:d>
                      <m:dPr>
                        <m:ctrlPr>
                          <a:rPr kumimoji="0" lang="en-US" sz="1800" b="0" i="1" u="none" strike="noStrike" kern="0" cap="none" spc="0" normalizeH="0" baseline="0" noProof="0">
                            <a:ln>
                              <a:noFill/>
                            </a:ln>
                            <a:solidFill>
                              <a:sysClr val="windowText" lastClr="000000"/>
                            </a:solidFill>
                            <a:effectLst/>
                            <a:uLnTx/>
                            <a:uFillTx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box>
                          <m:boxPr>
                            <m:ctrlPr>
                              <a:rPr kumimoji="0" lang="en-US" sz="1800" b="0" i="1" u="none" strike="noStrike" kern="0" cap="none" spc="0" normalizeH="0" baseline="0" noProof="0">
                                <a:ln>
                                  <a:noFill/>
                                </a:ln>
                                <a:solidFill>
                                  <a:sysClr val="windowText" lastClr="000000"/>
                                </a:solidFill>
                                <a:effectLst/>
                                <a:uLnTx/>
                                <a:uFillTx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boxPr>
                          <m:e>
                            <m:argPr>
                              <m:argSz m:val="-1"/>
                            </m:argPr>
                            <m:f>
                              <m:fPr>
                                <m:ctrlPr>
                                  <a:rPr kumimoji="0" lang="en-US" sz="1800" b="0" i="1" u="none" strike="noStrike" kern="0" cap="none" spc="0" normalizeH="0" baseline="0" noProof="0">
                                    <a:ln>
                                      <a:noFill/>
                                    </a:ln>
                                    <a:solidFill>
                                      <a:sysClr val="windowText" lastClr="000000"/>
                                    </a:solidFill>
                                    <a:effectLst/>
                                    <a:uLnTx/>
                                    <a:uFillTx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sSup>
                                  <m:sSupPr>
                                    <m:ctrlPr>
                                      <a:rPr kumimoji="0" lang="en-US" sz="1800" b="0" i="1" u="none" strike="noStrike" kern="0" cap="none" spc="0" normalizeH="0" baseline="0" noProof="0">
                                        <a:ln>
                                          <a:noFill/>
                                        </a:ln>
                                        <a:solidFill>
                                          <a:sysClr val="windowText" lastClr="000000"/>
                                        </a:solidFill>
                                        <a:effectLst/>
                                        <a:uLnTx/>
                                        <a:uFillTx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pPr>
                                  <m:e>
                                    <m:r>
                                      <a:rPr kumimoji="0" lang="en-US" sz="1800" b="0" i="1" u="none" strike="noStrike" kern="0" cap="none" spc="0" normalizeH="0" baseline="0" noProof="0">
                                        <a:ln>
                                          <a:noFill/>
                                        </a:ln>
                                        <a:solidFill>
                                          <a:sysClr val="windowText" lastClr="000000"/>
                                        </a:solidFill>
                                        <a:effectLst/>
                                        <a:uLnTx/>
                                        <a:uFillTx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∅</m:t>
                                    </m:r>
                                  </m:e>
                                  <m:sup>
                                    <m:r>
                                      <a:rPr kumimoji="0" lang="en-US" sz="1800" b="0" i="1" u="none" strike="noStrike" kern="0" cap="none" spc="0" normalizeH="0" baseline="0" noProof="0">
                                        <a:ln>
                                          <a:noFill/>
                                        </a:ln>
                                        <a:solidFill>
                                          <a:sysClr val="windowText" lastClr="000000"/>
                                        </a:solidFill>
                                        <a:effectLst/>
                                        <a:uLnTx/>
                                        <a:uFillTx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−1</m:t>
                                    </m:r>
                                  </m:sup>
                                </m:sSup>
                                <m:d>
                                  <m:dPr>
                                    <m:ctrlPr>
                                      <a:rPr kumimoji="0" lang="en-US" sz="1800" b="0" i="1" u="none" strike="noStrike" kern="0" cap="none" spc="0" normalizeH="0" baseline="0" noProof="0">
                                        <a:ln>
                                          <a:noFill/>
                                        </a:ln>
                                        <a:solidFill>
                                          <a:sysClr val="windowText" lastClr="000000"/>
                                        </a:solidFill>
                                        <a:effectLst/>
                                        <a:uLnTx/>
                                        <a:uFillTx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dPr>
                                  <m:e>
                                    <m:r>
                                      <a:rPr kumimoji="0" lang="en-US" sz="1800" b="0" i="1" u="none" strike="noStrike" kern="0" cap="none" spc="0" normalizeH="0" baseline="0" noProof="0">
                                        <a:ln>
                                          <a:noFill/>
                                        </a:ln>
                                        <a:solidFill>
                                          <a:sysClr val="windowText" lastClr="000000"/>
                                        </a:solidFill>
                                        <a:effectLst/>
                                        <a:uLnTx/>
                                        <a:uFillTx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𝑃𝐷</m:t>
                                    </m:r>
                                  </m:e>
                                </m:d>
                                <m:r>
                                  <a:rPr kumimoji="0" lang="en-US" sz="1800" b="0" i="1" u="none" strike="noStrike" kern="0" cap="none" spc="0" normalizeH="0" baseline="0" noProof="0">
                                    <a:ln>
                                      <a:noFill/>
                                    </a:ln>
                                    <a:solidFill>
                                      <a:sysClr val="windowText" lastClr="000000"/>
                                    </a:solidFill>
                                    <a:effectLst/>
                                    <a:uLnTx/>
                                    <a:uFillTx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−</m:t>
                                </m:r>
                                <m:rad>
                                  <m:radPr>
                                    <m:degHide m:val="on"/>
                                    <m:ctrlPr>
                                      <a:rPr kumimoji="0" lang="en-US" sz="1800" b="0" i="1" u="none" strike="noStrike" kern="0" cap="none" spc="0" normalizeH="0" baseline="0" noProof="0">
                                        <a:ln>
                                          <a:noFill/>
                                        </a:ln>
                                        <a:solidFill>
                                          <a:sysClr val="windowText" lastClr="000000"/>
                                        </a:solidFill>
                                        <a:effectLst/>
                                        <a:uLnTx/>
                                        <a:uFillTx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radPr>
                                  <m:deg/>
                                  <m:e>
                                    <m:r>
                                      <a:rPr kumimoji="0" lang="en-US" sz="1800" b="0" i="1" u="none" strike="noStrike" kern="0" cap="none" spc="0" normalizeH="0" baseline="0" noProof="0">
                                        <a:ln>
                                          <a:noFill/>
                                        </a:ln>
                                        <a:solidFill>
                                          <a:sysClr val="windowText" lastClr="000000"/>
                                        </a:solidFill>
                                        <a:effectLst/>
                                        <a:uLnTx/>
                                        <a:uFillTx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𝜌</m:t>
                                    </m:r>
                                  </m:e>
                                </m:rad>
                                <m:r>
                                  <a:rPr kumimoji="0" lang="en-US" sz="1800" b="0" i="1" u="none" strike="noStrike" kern="0" cap="none" spc="0" normalizeH="0" baseline="0" noProof="0">
                                    <a:ln>
                                      <a:noFill/>
                                    </a:ln>
                                    <a:solidFill>
                                      <a:sysClr val="windowText" lastClr="000000"/>
                                    </a:solidFill>
                                    <a:effectLst/>
                                    <a:uLnTx/>
                                    <a:uFillTx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∗</m:t>
                                </m:r>
                                <m:r>
                                  <a:rPr kumimoji="0" lang="en-US" sz="1800" b="0" i="1" u="none" strike="noStrike" kern="0" cap="none" spc="0" normalizeH="0" baseline="0" noProof="0">
                                    <a:ln>
                                      <a:noFill/>
                                    </a:ln>
                                    <a:solidFill>
                                      <a:sysClr val="windowText" lastClr="000000"/>
                                    </a:solidFill>
                                    <a:effectLst/>
                                    <a:uLnTx/>
                                    <a:uFillTx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𝑍</m:t>
                                </m:r>
                              </m:num>
                              <m:den>
                                <m:rad>
                                  <m:radPr>
                                    <m:degHide m:val="on"/>
                                    <m:ctrlPr>
                                      <a:rPr kumimoji="0" lang="en-US" sz="1800" b="0" i="1" u="none" strike="noStrike" kern="0" cap="none" spc="0" normalizeH="0" baseline="0" noProof="0">
                                        <a:ln>
                                          <a:noFill/>
                                        </a:ln>
                                        <a:solidFill>
                                          <a:sysClr val="windowText" lastClr="000000"/>
                                        </a:solidFill>
                                        <a:effectLst/>
                                        <a:uLnTx/>
                                        <a:uFillTx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radPr>
                                  <m:deg/>
                                  <m:e>
                                    <m:r>
                                      <a:rPr kumimoji="0" lang="en-US" sz="1800" b="0" i="1" u="none" strike="noStrike" kern="0" cap="none" spc="0" normalizeH="0" baseline="0" noProof="0">
                                        <a:ln>
                                          <a:noFill/>
                                        </a:ln>
                                        <a:solidFill>
                                          <a:sysClr val="windowText" lastClr="000000"/>
                                        </a:solidFill>
                                        <a:effectLst/>
                                        <a:uLnTx/>
                                        <a:uFillTx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1−</m:t>
                                    </m:r>
                                    <m:r>
                                      <a:rPr kumimoji="0" lang="en-US" sz="1800" b="0" i="1" u="none" strike="noStrike" kern="0" cap="none" spc="0" normalizeH="0" baseline="0" noProof="0">
                                        <a:ln>
                                          <a:noFill/>
                                        </a:ln>
                                        <a:solidFill>
                                          <a:sysClr val="windowText" lastClr="000000"/>
                                        </a:solidFill>
                                        <a:effectLst/>
                                        <a:uLnTx/>
                                        <a:uFillTx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𝜌</m:t>
                                    </m:r>
                                  </m:e>
                                </m:rad>
                              </m:den>
                            </m:f>
                          </m:e>
                        </m:box>
                      </m:e>
                    </m:d>
                  </m:oMath>
                </m:oMathPara>
              </a14:m>
              <a:endParaRPr kumimoji="0" lang="en-IN" sz="18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5" name="TextBox 4"/>
            <xdr:cNvSpPr txBox="1"/>
          </xdr:nvSpPr>
          <xdr:spPr>
            <a:xfrm>
              <a:off x="2872740" y="10035540"/>
              <a:ext cx="2773680" cy="518160"/>
            </a:xfrm>
            <a:prstGeom prst="rect">
              <a:avLst/>
            </a:prstGeom>
            <a:noFill/>
            <a:ln>
              <a:noFill/>
            </a:ln>
            <a:effectLst/>
          </xdr:spPr>
          <xdr:txBody>
            <a:bodyPr vertOverflow="clip" horzOverflow="clip" wrap="square" lIns="0" tIns="0" rIns="0" bIns="0" rtlCol="0" anchor="t">
              <a:no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US" sz="1800" b="0" i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𝑃𝐷(𝑦)= ∅(□(64&amp;(∅^(−1) (𝑃𝐷)−√𝜌∗𝑍)/√(1−𝜌)))</a:t>
              </a:r>
              <a:endParaRPr kumimoji="0" lang="en-IN" sz="18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+mn-ea"/>
                <a:cs typeface="+mn-cs"/>
              </a:endParaRPr>
            </a:p>
          </xdr:txBody>
        </xdr:sp>
      </mc:Fallback>
    </mc:AlternateContent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320040</xdr:colOff>
      <xdr:row>59</xdr:row>
      <xdr:rowOff>38100</xdr:rowOff>
    </xdr:from>
    <xdr:ext cx="2773680" cy="5181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/>
            <xdr:cNvSpPr txBox="1"/>
          </xdr:nvSpPr>
          <xdr:spPr>
            <a:xfrm>
              <a:off x="4640580" y="11460480"/>
              <a:ext cx="2773680" cy="518160"/>
            </a:xfrm>
            <a:prstGeom prst="rect">
              <a:avLst/>
            </a:prstGeom>
            <a:noFill/>
            <a:ln>
              <a:noFill/>
            </a:ln>
            <a:effectLst/>
          </xdr:spPr>
          <xdr:txBody>
            <a:bodyPr vertOverflow="clip" horzOverflow="clip" wrap="square" lIns="0" tIns="0" rIns="0" bIns="0" rtlCol="0" anchor="t">
              <a:no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kumimoji="0" lang="en-US" sz="1800" b="0" i="1" u="none" strike="noStrike" kern="0" cap="none" spc="0" normalizeH="0" baseline="0" noProof="0">
                        <a:ln>
                          <a:noFill/>
                        </a:ln>
                        <a:solidFill>
                          <a:sysClr val="windowText" lastClr="000000"/>
                        </a:solidFill>
                        <a:effectLst/>
                        <a:uLnTx/>
                        <a:uFillTx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𝑃𝐷</m:t>
                    </m:r>
                    <m:d>
                      <m:dPr>
                        <m:ctrlPr>
                          <a:rPr kumimoji="0" lang="en-US" sz="1800" b="0" i="1" u="none" strike="noStrike" kern="0" cap="none" spc="0" normalizeH="0" baseline="0" noProof="0">
                            <a:ln>
                              <a:noFill/>
                            </a:ln>
                            <a:solidFill>
                              <a:sysClr val="windowText" lastClr="000000"/>
                            </a:solidFill>
                            <a:effectLst/>
                            <a:uLnTx/>
                            <a:uFillTx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r>
                          <a:rPr kumimoji="0" lang="en-US" sz="1800" b="0" i="1" u="none" strike="noStrike" kern="0" cap="none" spc="0" normalizeH="0" baseline="0" noProof="0">
                            <a:ln>
                              <a:noFill/>
                            </a:ln>
                            <a:solidFill>
                              <a:sysClr val="windowText" lastClr="000000"/>
                            </a:solidFill>
                            <a:effectLst/>
                            <a:uLnTx/>
                            <a:uFillTx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𝑦</m:t>
                        </m:r>
                      </m:e>
                    </m:d>
                    <m:r>
                      <a:rPr kumimoji="0" lang="en-US" sz="1800" b="0" i="1" u="none" strike="noStrike" kern="0" cap="none" spc="0" normalizeH="0" baseline="0" noProof="0">
                        <a:ln>
                          <a:noFill/>
                        </a:ln>
                        <a:solidFill>
                          <a:sysClr val="windowText" lastClr="000000"/>
                        </a:solidFill>
                        <a:effectLst/>
                        <a:uLnTx/>
                        <a:uFillTx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 ∅</m:t>
                    </m:r>
                    <m:d>
                      <m:dPr>
                        <m:ctrlPr>
                          <a:rPr kumimoji="0" lang="en-US" sz="1800" b="0" i="1" u="none" strike="noStrike" kern="0" cap="none" spc="0" normalizeH="0" baseline="0" noProof="0">
                            <a:ln>
                              <a:noFill/>
                            </a:ln>
                            <a:solidFill>
                              <a:sysClr val="windowText" lastClr="000000"/>
                            </a:solidFill>
                            <a:effectLst/>
                            <a:uLnTx/>
                            <a:uFillTx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box>
                          <m:boxPr>
                            <m:ctrlPr>
                              <a:rPr kumimoji="0" lang="en-US" sz="1800" b="0" i="1" u="none" strike="noStrike" kern="0" cap="none" spc="0" normalizeH="0" baseline="0" noProof="0">
                                <a:ln>
                                  <a:noFill/>
                                </a:ln>
                                <a:solidFill>
                                  <a:sysClr val="windowText" lastClr="000000"/>
                                </a:solidFill>
                                <a:effectLst/>
                                <a:uLnTx/>
                                <a:uFillTx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boxPr>
                          <m:e>
                            <m:argPr>
                              <m:argSz m:val="-1"/>
                            </m:argPr>
                            <m:f>
                              <m:fPr>
                                <m:ctrlPr>
                                  <a:rPr kumimoji="0" lang="en-US" sz="1800" b="0" i="1" u="none" strike="noStrike" kern="0" cap="none" spc="0" normalizeH="0" baseline="0" noProof="0">
                                    <a:ln>
                                      <a:noFill/>
                                    </a:ln>
                                    <a:solidFill>
                                      <a:sysClr val="windowText" lastClr="000000"/>
                                    </a:solidFill>
                                    <a:effectLst/>
                                    <a:uLnTx/>
                                    <a:uFillTx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sSup>
                                  <m:sSupPr>
                                    <m:ctrlPr>
                                      <a:rPr kumimoji="0" lang="en-US" sz="1800" b="0" i="1" u="none" strike="noStrike" kern="0" cap="none" spc="0" normalizeH="0" baseline="0" noProof="0">
                                        <a:ln>
                                          <a:noFill/>
                                        </a:ln>
                                        <a:solidFill>
                                          <a:sysClr val="windowText" lastClr="000000"/>
                                        </a:solidFill>
                                        <a:effectLst/>
                                        <a:uLnTx/>
                                        <a:uFillTx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pPr>
                                  <m:e>
                                    <m:r>
                                      <a:rPr kumimoji="0" lang="en-US" sz="1800" b="0" i="1" u="none" strike="noStrike" kern="0" cap="none" spc="0" normalizeH="0" baseline="0" noProof="0">
                                        <a:ln>
                                          <a:noFill/>
                                        </a:ln>
                                        <a:solidFill>
                                          <a:sysClr val="windowText" lastClr="000000"/>
                                        </a:solidFill>
                                        <a:effectLst/>
                                        <a:uLnTx/>
                                        <a:uFillTx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∅</m:t>
                                    </m:r>
                                  </m:e>
                                  <m:sup>
                                    <m:r>
                                      <a:rPr kumimoji="0" lang="en-US" sz="1800" b="0" i="1" u="none" strike="noStrike" kern="0" cap="none" spc="0" normalizeH="0" baseline="0" noProof="0">
                                        <a:ln>
                                          <a:noFill/>
                                        </a:ln>
                                        <a:solidFill>
                                          <a:sysClr val="windowText" lastClr="000000"/>
                                        </a:solidFill>
                                        <a:effectLst/>
                                        <a:uLnTx/>
                                        <a:uFillTx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−1</m:t>
                                    </m:r>
                                  </m:sup>
                                </m:sSup>
                                <m:d>
                                  <m:dPr>
                                    <m:ctrlPr>
                                      <a:rPr kumimoji="0" lang="en-US" sz="1800" b="0" i="1" u="none" strike="noStrike" kern="0" cap="none" spc="0" normalizeH="0" baseline="0" noProof="0">
                                        <a:ln>
                                          <a:noFill/>
                                        </a:ln>
                                        <a:solidFill>
                                          <a:sysClr val="windowText" lastClr="000000"/>
                                        </a:solidFill>
                                        <a:effectLst/>
                                        <a:uLnTx/>
                                        <a:uFillTx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dPr>
                                  <m:e>
                                    <m:r>
                                      <a:rPr kumimoji="0" lang="en-US" sz="1800" b="0" i="1" u="none" strike="noStrike" kern="0" cap="none" spc="0" normalizeH="0" baseline="0" noProof="0">
                                        <a:ln>
                                          <a:noFill/>
                                        </a:ln>
                                        <a:solidFill>
                                          <a:sysClr val="windowText" lastClr="000000"/>
                                        </a:solidFill>
                                        <a:effectLst/>
                                        <a:uLnTx/>
                                        <a:uFillTx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𝑃𝐷</m:t>
                                    </m:r>
                                  </m:e>
                                </m:d>
                                <m:r>
                                  <a:rPr kumimoji="0" lang="en-US" sz="1800" b="0" i="1" u="none" strike="noStrike" kern="0" cap="none" spc="0" normalizeH="0" baseline="0" noProof="0">
                                    <a:ln>
                                      <a:noFill/>
                                    </a:ln>
                                    <a:solidFill>
                                      <a:sysClr val="windowText" lastClr="000000"/>
                                    </a:solidFill>
                                    <a:effectLst/>
                                    <a:uLnTx/>
                                    <a:uFillTx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−</m:t>
                                </m:r>
                                <m:rad>
                                  <m:radPr>
                                    <m:degHide m:val="on"/>
                                    <m:ctrlPr>
                                      <a:rPr kumimoji="0" lang="en-US" sz="1800" b="0" i="1" u="none" strike="noStrike" kern="0" cap="none" spc="0" normalizeH="0" baseline="0" noProof="0">
                                        <a:ln>
                                          <a:noFill/>
                                        </a:ln>
                                        <a:solidFill>
                                          <a:sysClr val="windowText" lastClr="000000"/>
                                        </a:solidFill>
                                        <a:effectLst/>
                                        <a:uLnTx/>
                                        <a:uFillTx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radPr>
                                  <m:deg/>
                                  <m:e>
                                    <m:r>
                                      <a:rPr kumimoji="0" lang="en-US" sz="1800" b="0" i="1" u="none" strike="noStrike" kern="0" cap="none" spc="0" normalizeH="0" baseline="0" noProof="0">
                                        <a:ln>
                                          <a:noFill/>
                                        </a:ln>
                                        <a:solidFill>
                                          <a:sysClr val="windowText" lastClr="000000"/>
                                        </a:solidFill>
                                        <a:effectLst/>
                                        <a:uLnTx/>
                                        <a:uFillTx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𝜌</m:t>
                                    </m:r>
                                  </m:e>
                                </m:rad>
                                <m:r>
                                  <a:rPr kumimoji="0" lang="en-US" sz="1800" b="0" i="1" u="none" strike="noStrike" kern="0" cap="none" spc="0" normalizeH="0" baseline="0" noProof="0">
                                    <a:ln>
                                      <a:noFill/>
                                    </a:ln>
                                    <a:solidFill>
                                      <a:sysClr val="windowText" lastClr="000000"/>
                                    </a:solidFill>
                                    <a:effectLst/>
                                    <a:uLnTx/>
                                    <a:uFillTx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∗</m:t>
                                </m:r>
                                <m:r>
                                  <a:rPr kumimoji="0" lang="en-US" sz="1800" b="0" i="1" u="none" strike="noStrike" kern="0" cap="none" spc="0" normalizeH="0" baseline="0" noProof="0">
                                    <a:ln>
                                      <a:noFill/>
                                    </a:ln>
                                    <a:solidFill>
                                      <a:sysClr val="windowText" lastClr="000000"/>
                                    </a:solidFill>
                                    <a:effectLst/>
                                    <a:uLnTx/>
                                    <a:uFillTx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𝑍</m:t>
                                </m:r>
                              </m:num>
                              <m:den>
                                <m:rad>
                                  <m:radPr>
                                    <m:degHide m:val="on"/>
                                    <m:ctrlPr>
                                      <a:rPr kumimoji="0" lang="en-US" sz="1800" b="0" i="1" u="none" strike="noStrike" kern="0" cap="none" spc="0" normalizeH="0" baseline="0" noProof="0">
                                        <a:ln>
                                          <a:noFill/>
                                        </a:ln>
                                        <a:solidFill>
                                          <a:sysClr val="windowText" lastClr="000000"/>
                                        </a:solidFill>
                                        <a:effectLst/>
                                        <a:uLnTx/>
                                        <a:uFillTx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radPr>
                                  <m:deg/>
                                  <m:e>
                                    <m:r>
                                      <a:rPr kumimoji="0" lang="en-US" sz="1800" b="0" i="1" u="none" strike="noStrike" kern="0" cap="none" spc="0" normalizeH="0" baseline="0" noProof="0">
                                        <a:ln>
                                          <a:noFill/>
                                        </a:ln>
                                        <a:solidFill>
                                          <a:sysClr val="windowText" lastClr="000000"/>
                                        </a:solidFill>
                                        <a:effectLst/>
                                        <a:uLnTx/>
                                        <a:uFillTx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1−</m:t>
                                    </m:r>
                                    <m:r>
                                      <a:rPr kumimoji="0" lang="en-US" sz="1800" b="0" i="1" u="none" strike="noStrike" kern="0" cap="none" spc="0" normalizeH="0" baseline="0" noProof="0">
                                        <a:ln>
                                          <a:noFill/>
                                        </a:ln>
                                        <a:solidFill>
                                          <a:sysClr val="windowText" lastClr="000000"/>
                                        </a:solidFill>
                                        <a:effectLst/>
                                        <a:uLnTx/>
                                        <a:uFillTx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𝜌</m:t>
                                    </m:r>
                                  </m:e>
                                </m:rad>
                              </m:den>
                            </m:f>
                          </m:e>
                        </m:box>
                      </m:e>
                    </m:d>
                  </m:oMath>
                </m:oMathPara>
              </a14:m>
              <a:endParaRPr kumimoji="0" lang="en-IN" sz="18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2" name="TextBox 1"/>
            <xdr:cNvSpPr txBox="1"/>
          </xdr:nvSpPr>
          <xdr:spPr>
            <a:xfrm>
              <a:off x="4640580" y="11460480"/>
              <a:ext cx="2773680" cy="518160"/>
            </a:xfrm>
            <a:prstGeom prst="rect">
              <a:avLst/>
            </a:prstGeom>
            <a:noFill/>
            <a:ln>
              <a:noFill/>
            </a:ln>
            <a:effectLst/>
          </xdr:spPr>
          <xdr:txBody>
            <a:bodyPr vertOverflow="clip" horzOverflow="clip" wrap="square" lIns="0" tIns="0" rIns="0" bIns="0" rtlCol="0" anchor="t">
              <a:no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US" sz="1800" b="0" i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𝑃𝐷(𝑦)= ∅(□(64&amp;(∅^(−1) (𝑃𝐷)−√𝜌∗𝑍)/√(1−𝜌)))</a:t>
              </a:r>
              <a:endParaRPr kumimoji="0" lang="en-IN" sz="18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+mn-ea"/>
                <a:cs typeface="+mn-cs"/>
              </a:endParaRPr>
            </a:p>
          </xdr:txBody>
        </xdr:sp>
      </mc:Fallback>
    </mc:AlternateContent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320040</xdr:colOff>
      <xdr:row>59</xdr:row>
      <xdr:rowOff>38100</xdr:rowOff>
    </xdr:from>
    <xdr:ext cx="2773680" cy="5181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/>
            <xdr:cNvSpPr txBox="1"/>
          </xdr:nvSpPr>
          <xdr:spPr>
            <a:xfrm>
              <a:off x="2895600" y="10881360"/>
              <a:ext cx="2773680" cy="518160"/>
            </a:xfrm>
            <a:prstGeom prst="rect">
              <a:avLst/>
            </a:prstGeom>
            <a:noFill/>
            <a:ln>
              <a:noFill/>
            </a:ln>
            <a:effectLst/>
          </xdr:spPr>
          <xdr:txBody>
            <a:bodyPr vertOverflow="clip" horzOverflow="clip" wrap="square" lIns="0" tIns="0" rIns="0" bIns="0" rtlCol="0" anchor="t">
              <a:no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kumimoji="0" lang="en-US" sz="1800" b="0" i="1" u="none" strike="noStrike" kern="0" cap="none" spc="0" normalizeH="0" baseline="0" noProof="0">
                        <a:ln>
                          <a:noFill/>
                        </a:ln>
                        <a:solidFill>
                          <a:sysClr val="windowText" lastClr="000000"/>
                        </a:solidFill>
                        <a:effectLst/>
                        <a:uLnTx/>
                        <a:uFillTx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𝑃𝐷</m:t>
                    </m:r>
                    <m:d>
                      <m:dPr>
                        <m:ctrlPr>
                          <a:rPr kumimoji="0" lang="en-US" sz="1800" b="0" i="1" u="none" strike="noStrike" kern="0" cap="none" spc="0" normalizeH="0" baseline="0" noProof="0">
                            <a:ln>
                              <a:noFill/>
                            </a:ln>
                            <a:solidFill>
                              <a:sysClr val="windowText" lastClr="000000"/>
                            </a:solidFill>
                            <a:effectLst/>
                            <a:uLnTx/>
                            <a:uFillTx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r>
                          <a:rPr kumimoji="0" lang="en-US" sz="1800" b="0" i="1" u="none" strike="noStrike" kern="0" cap="none" spc="0" normalizeH="0" baseline="0" noProof="0">
                            <a:ln>
                              <a:noFill/>
                            </a:ln>
                            <a:solidFill>
                              <a:sysClr val="windowText" lastClr="000000"/>
                            </a:solidFill>
                            <a:effectLst/>
                            <a:uLnTx/>
                            <a:uFillTx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𝑦</m:t>
                        </m:r>
                      </m:e>
                    </m:d>
                    <m:r>
                      <a:rPr kumimoji="0" lang="en-US" sz="1800" b="0" i="1" u="none" strike="noStrike" kern="0" cap="none" spc="0" normalizeH="0" baseline="0" noProof="0">
                        <a:ln>
                          <a:noFill/>
                        </a:ln>
                        <a:solidFill>
                          <a:sysClr val="windowText" lastClr="000000"/>
                        </a:solidFill>
                        <a:effectLst/>
                        <a:uLnTx/>
                        <a:uFillTx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 ∅</m:t>
                    </m:r>
                    <m:d>
                      <m:dPr>
                        <m:ctrlPr>
                          <a:rPr kumimoji="0" lang="en-US" sz="1800" b="0" i="1" u="none" strike="noStrike" kern="0" cap="none" spc="0" normalizeH="0" baseline="0" noProof="0">
                            <a:ln>
                              <a:noFill/>
                            </a:ln>
                            <a:solidFill>
                              <a:sysClr val="windowText" lastClr="000000"/>
                            </a:solidFill>
                            <a:effectLst/>
                            <a:uLnTx/>
                            <a:uFillTx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box>
                          <m:boxPr>
                            <m:ctrlPr>
                              <a:rPr kumimoji="0" lang="en-US" sz="1800" b="0" i="1" u="none" strike="noStrike" kern="0" cap="none" spc="0" normalizeH="0" baseline="0" noProof="0">
                                <a:ln>
                                  <a:noFill/>
                                </a:ln>
                                <a:solidFill>
                                  <a:sysClr val="windowText" lastClr="000000"/>
                                </a:solidFill>
                                <a:effectLst/>
                                <a:uLnTx/>
                                <a:uFillTx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boxPr>
                          <m:e>
                            <m:argPr>
                              <m:argSz m:val="-1"/>
                            </m:argPr>
                            <m:f>
                              <m:fPr>
                                <m:ctrlPr>
                                  <a:rPr kumimoji="0" lang="en-US" sz="1800" b="0" i="1" u="none" strike="noStrike" kern="0" cap="none" spc="0" normalizeH="0" baseline="0" noProof="0">
                                    <a:ln>
                                      <a:noFill/>
                                    </a:ln>
                                    <a:solidFill>
                                      <a:sysClr val="windowText" lastClr="000000"/>
                                    </a:solidFill>
                                    <a:effectLst/>
                                    <a:uLnTx/>
                                    <a:uFillTx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sSup>
                                  <m:sSupPr>
                                    <m:ctrlPr>
                                      <a:rPr kumimoji="0" lang="en-US" sz="1800" b="0" i="1" u="none" strike="noStrike" kern="0" cap="none" spc="0" normalizeH="0" baseline="0" noProof="0">
                                        <a:ln>
                                          <a:noFill/>
                                        </a:ln>
                                        <a:solidFill>
                                          <a:sysClr val="windowText" lastClr="000000"/>
                                        </a:solidFill>
                                        <a:effectLst/>
                                        <a:uLnTx/>
                                        <a:uFillTx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pPr>
                                  <m:e>
                                    <m:r>
                                      <a:rPr kumimoji="0" lang="en-US" sz="1800" b="0" i="1" u="none" strike="noStrike" kern="0" cap="none" spc="0" normalizeH="0" baseline="0" noProof="0">
                                        <a:ln>
                                          <a:noFill/>
                                        </a:ln>
                                        <a:solidFill>
                                          <a:sysClr val="windowText" lastClr="000000"/>
                                        </a:solidFill>
                                        <a:effectLst/>
                                        <a:uLnTx/>
                                        <a:uFillTx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∅</m:t>
                                    </m:r>
                                  </m:e>
                                  <m:sup>
                                    <m:r>
                                      <a:rPr kumimoji="0" lang="en-US" sz="1800" b="0" i="1" u="none" strike="noStrike" kern="0" cap="none" spc="0" normalizeH="0" baseline="0" noProof="0">
                                        <a:ln>
                                          <a:noFill/>
                                        </a:ln>
                                        <a:solidFill>
                                          <a:sysClr val="windowText" lastClr="000000"/>
                                        </a:solidFill>
                                        <a:effectLst/>
                                        <a:uLnTx/>
                                        <a:uFillTx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−1</m:t>
                                    </m:r>
                                  </m:sup>
                                </m:sSup>
                                <m:d>
                                  <m:dPr>
                                    <m:ctrlPr>
                                      <a:rPr kumimoji="0" lang="en-US" sz="1800" b="0" i="1" u="none" strike="noStrike" kern="0" cap="none" spc="0" normalizeH="0" baseline="0" noProof="0">
                                        <a:ln>
                                          <a:noFill/>
                                        </a:ln>
                                        <a:solidFill>
                                          <a:sysClr val="windowText" lastClr="000000"/>
                                        </a:solidFill>
                                        <a:effectLst/>
                                        <a:uLnTx/>
                                        <a:uFillTx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dPr>
                                  <m:e>
                                    <m:r>
                                      <a:rPr kumimoji="0" lang="en-US" sz="1800" b="0" i="1" u="none" strike="noStrike" kern="0" cap="none" spc="0" normalizeH="0" baseline="0" noProof="0">
                                        <a:ln>
                                          <a:noFill/>
                                        </a:ln>
                                        <a:solidFill>
                                          <a:sysClr val="windowText" lastClr="000000"/>
                                        </a:solidFill>
                                        <a:effectLst/>
                                        <a:uLnTx/>
                                        <a:uFillTx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𝑃𝐷</m:t>
                                    </m:r>
                                  </m:e>
                                </m:d>
                                <m:r>
                                  <a:rPr kumimoji="0" lang="en-US" sz="1800" b="0" i="1" u="none" strike="noStrike" kern="0" cap="none" spc="0" normalizeH="0" baseline="0" noProof="0">
                                    <a:ln>
                                      <a:noFill/>
                                    </a:ln>
                                    <a:solidFill>
                                      <a:sysClr val="windowText" lastClr="000000"/>
                                    </a:solidFill>
                                    <a:effectLst/>
                                    <a:uLnTx/>
                                    <a:uFillTx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−</m:t>
                                </m:r>
                                <m:rad>
                                  <m:radPr>
                                    <m:degHide m:val="on"/>
                                    <m:ctrlPr>
                                      <a:rPr kumimoji="0" lang="en-US" sz="1800" b="0" i="1" u="none" strike="noStrike" kern="0" cap="none" spc="0" normalizeH="0" baseline="0" noProof="0">
                                        <a:ln>
                                          <a:noFill/>
                                        </a:ln>
                                        <a:solidFill>
                                          <a:sysClr val="windowText" lastClr="000000"/>
                                        </a:solidFill>
                                        <a:effectLst/>
                                        <a:uLnTx/>
                                        <a:uFillTx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radPr>
                                  <m:deg/>
                                  <m:e>
                                    <m:r>
                                      <a:rPr kumimoji="0" lang="en-US" sz="1800" b="0" i="1" u="none" strike="noStrike" kern="0" cap="none" spc="0" normalizeH="0" baseline="0" noProof="0">
                                        <a:ln>
                                          <a:noFill/>
                                        </a:ln>
                                        <a:solidFill>
                                          <a:sysClr val="windowText" lastClr="000000"/>
                                        </a:solidFill>
                                        <a:effectLst/>
                                        <a:uLnTx/>
                                        <a:uFillTx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𝜌</m:t>
                                    </m:r>
                                  </m:e>
                                </m:rad>
                                <m:r>
                                  <a:rPr kumimoji="0" lang="en-US" sz="1800" b="0" i="1" u="none" strike="noStrike" kern="0" cap="none" spc="0" normalizeH="0" baseline="0" noProof="0">
                                    <a:ln>
                                      <a:noFill/>
                                    </a:ln>
                                    <a:solidFill>
                                      <a:sysClr val="windowText" lastClr="000000"/>
                                    </a:solidFill>
                                    <a:effectLst/>
                                    <a:uLnTx/>
                                    <a:uFillTx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∗</m:t>
                                </m:r>
                                <m:r>
                                  <a:rPr kumimoji="0" lang="en-US" sz="1800" b="0" i="1" u="none" strike="noStrike" kern="0" cap="none" spc="0" normalizeH="0" baseline="0" noProof="0">
                                    <a:ln>
                                      <a:noFill/>
                                    </a:ln>
                                    <a:solidFill>
                                      <a:sysClr val="windowText" lastClr="000000"/>
                                    </a:solidFill>
                                    <a:effectLst/>
                                    <a:uLnTx/>
                                    <a:uFillTx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𝑍</m:t>
                                </m:r>
                              </m:num>
                              <m:den>
                                <m:rad>
                                  <m:radPr>
                                    <m:degHide m:val="on"/>
                                    <m:ctrlPr>
                                      <a:rPr kumimoji="0" lang="en-US" sz="1800" b="0" i="1" u="none" strike="noStrike" kern="0" cap="none" spc="0" normalizeH="0" baseline="0" noProof="0">
                                        <a:ln>
                                          <a:noFill/>
                                        </a:ln>
                                        <a:solidFill>
                                          <a:sysClr val="windowText" lastClr="000000"/>
                                        </a:solidFill>
                                        <a:effectLst/>
                                        <a:uLnTx/>
                                        <a:uFillTx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radPr>
                                  <m:deg/>
                                  <m:e>
                                    <m:r>
                                      <a:rPr kumimoji="0" lang="en-US" sz="1800" b="0" i="1" u="none" strike="noStrike" kern="0" cap="none" spc="0" normalizeH="0" baseline="0" noProof="0">
                                        <a:ln>
                                          <a:noFill/>
                                        </a:ln>
                                        <a:solidFill>
                                          <a:sysClr val="windowText" lastClr="000000"/>
                                        </a:solidFill>
                                        <a:effectLst/>
                                        <a:uLnTx/>
                                        <a:uFillTx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1−</m:t>
                                    </m:r>
                                    <m:r>
                                      <a:rPr kumimoji="0" lang="en-US" sz="1800" b="0" i="1" u="none" strike="noStrike" kern="0" cap="none" spc="0" normalizeH="0" baseline="0" noProof="0">
                                        <a:ln>
                                          <a:noFill/>
                                        </a:ln>
                                        <a:solidFill>
                                          <a:sysClr val="windowText" lastClr="000000"/>
                                        </a:solidFill>
                                        <a:effectLst/>
                                        <a:uLnTx/>
                                        <a:uFillTx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𝜌</m:t>
                                    </m:r>
                                  </m:e>
                                </m:rad>
                              </m:den>
                            </m:f>
                          </m:e>
                        </m:box>
                      </m:e>
                    </m:d>
                  </m:oMath>
                </m:oMathPara>
              </a14:m>
              <a:endParaRPr kumimoji="0" lang="en-IN" sz="18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4" name="TextBox 3"/>
            <xdr:cNvSpPr txBox="1"/>
          </xdr:nvSpPr>
          <xdr:spPr>
            <a:xfrm>
              <a:off x="2895600" y="10881360"/>
              <a:ext cx="2773680" cy="518160"/>
            </a:xfrm>
            <a:prstGeom prst="rect">
              <a:avLst/>
            </a:prstGeom>
            <a:noFill/>
            <a:ln>
              <a:noFill/>
            </a:ln>
            <a:effectLst/>
          </xdr:spPr>
          <xdr:txBody>
            <a:bodyPr vertOverflow="clip" horzOverflow="clip" wrap="square" lIns="0" tIns="0" rIns="0" bIns="0" rtlCol="0" anchor="t">
              <a:no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US" sz="1800" b="0" i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𝑃𝐷(𝑦)= ∅(□(64&amp;(∅^(−1) (𝑃𝐷)−√𝜌∗𝑍)/√(1−𝜌)))</a:t>
              </a:r>
              <a:endParaRPr kumimoji="0" lang="en-IN" sz="18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+mn-ea"/>
                <a:cs typeface="+mn-cs"/>
              </a:endParaRPr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M48"/>
  <sheetViews>
    <sheetView tabSelected="1" workbookViewId="0">
      <selection activeCell="A7" sqref="A7"/>
    </sheetView>
  </sheetViews>
  <sheetFormatPr defaultRowHeight="14.4" x14ac:dyDescent="0.3"/>
  <cols>
    <col min="1" max="1" width="12.44140625" customWidth="1"/>
    <col min="2" max="2" width="11.109375" customWidth="1"/>
    <col min="3" max="3" width="14" customWidth="1"/>
    <col min="4" max="4" width="12.44140625" customWidth="1"/>
    <col min="5" max="5" width="11.21875" customWidth="1"/>
    <col min="6" max="6" width="11.109375" customWidth="1"/>
    <col min="7" max="7" width="11.21875" customWidth="1"/>
    <col min="8" max="8" width="10.88671875" customWidth="1"/>
    <col min="9" max="9" width="11.109375" customWidth="1"/>
    <col min="10" max="10" width="8.77734375" customWidth="1"/>
    <col min="11" max="11" width="9.33203125" bestFit="1" customWidth="1"/>
    <col min="12" max="12" width="9.44140625" customWidth="1"/>
  </cols>
  <sheetData>
    <row r="1" spans="1:11" ht="15" thickBot="1" x14ac:dyDescent="0.35">
      <c r="A1" s="87" t="s">
        <v>0</v>
      </c>
      <c r="B1" s="98" t="s">
        <v>1</v>
      </c>
      <c r="C1" s="98"/>
      <c r="D1" s="98"/>
      <c r="E1" s="98"/>
      <c r="F1" s="99"/>
      <c r="G1" s="2"/>
      <c r="H1" s="100" t="s">
        <v>55</v>
      </c>
      <c r="I1" s="101"/>
      <c r="J1" s="2"/>
    </row>
    <row r="2" spans="1:11" x14ac:dyDescent="0.3">
      <c r="A2" s="51" t="s">
        <v>2</v>
      </c>
      <c r="B2" s="52" t="s">
        <v>3</v>
      </c>
      <c r="C2" s="52" t="s">
        <v>23</v>
      </c>
      <c r="D2" s="52" t="s">
        <v>24</v>
      </c>
      <c r="E2" s="52" t="s">
        <v>25</v>
      </c>
      <c r="F2" s="53" t="s">
        <v>9</v>
      </c>
      <c r="G2" s="2"/>
      <c r="H2" s="80">
        <f>E3</f>
        <v>25483500</v>
      </c>
      <c r="I2" s="86" t="s">
        <v>48</v>
      </c>
      <c r="J2" s="2"/>
    </row>
    <row r="3" spans="1:11" x14ac:dyDescent="0.3">
      <c r="A3" s="78">
        <v>42916</v>
      </c>
      <c r="B3" s="79">
        <v>43917</v>
      </c>
      <c r="C3" s="55" t="s">
        <v>26</v>
      </c>
      <c r="D3" s="55" t="s">
        <v>27</v>
      </c>
      <c r="E3" s="57">
        <v>25483500</v>
      </c>
      <c r="F3" s="56">
        <v>0</v>
      </c>
      <c r="G3" s="2"/>
      <c r="H3" s="81">
        <f>AVERAGE(E15:E28)</f>
        <v>23394.336354056901</v>
      </c>
      <c r="I3" s="86" t="s">
        <v>49</v>
      </c>
      <c r="J3" s="2"/>
    </row>
    <row r="4" spans="1:11" x14ac:dyDescent="0.3">
      <c r="A4" s="51" t="s">
        <v>28</v>
      </c>
      <c r="B4" s="52" t="s">
        <v>4</v>
      </c>
      <c r="C4" s="52" t="s">
        <v>5</v>
      </c>
      <c r="D4" s="52" t="s">
        <v>6</v>
      </c>
      <c r="E4" s="52" t="s">
        <v>7</v>
      </c>
      <c r="F4" s="53" t="s">
        <v>8</v>
      </c>
      <c r="G4" s="2"/>
      <c r="H4" s="80">
        <f>H2+H3</f>
        <v>25506894.336354058</v>
      </c>
      <c r="I4" s="86" t="s">
        <v>50</v>
      </c>
      <c r="J4" s="2"/>
    </row>
    <row r="5" spans="1:11" x14ac:dyDescent="0.3">
      <c r="A5" s="54">
        <v>6.0000000000000001E-3</v>
      </c>
      <c r="B5" s="55">
        <v>4</v>
      </c>
      <c r="C5" s="55">
        <v>13</v>
      </c>
      <c r="D5" s="55">
        <v>0</v>
      </c>
      <c r="E5" s="55" t="s">
        <v>10</v>
      </c>
      <c r="F5" s="56" t="s">
        <v>10</v>
      </c>
      <c r="G5" s="2"/>
      <c r="H5" s="82">
        <f>SUM(H15:H28)</f>
        <v>2.045759904734501E-2</v>
      </c>
      <c r="I5" s="86" t="s">
        <v>51</v>
      </c>
    </row>
    <row r="6" spans="1:11" ht="15" thickBot="1" x14ac:dyDescent="0.35">
      <c r="A6" s="6" t="s">
        <v>67</v>
      </c>
      <c r="B6" s="10"/>
      <c r="C6" s="10"/>
      <c r="D6" s="10"/>
      <c r="E6" s="10"/>
      <c r="F6" s="50"/>
      <c r="G6" s="2"/>
      <c r="H6" s="83">
        <f>D9</f>
        <v>0.5</v>
      </c>
      <c r="I6" s="86" t="s">
        <v>14</v>
      </c>
      <c r="J6" s="2"/>
    </row>
    <row r="7" spans="1:11" ht="15" thickBot="1" x14ac:dyDescent="0.35">
      <c r="A7" s="1"/>
      <c r="B7" s="1"/>
      <c r="C7" s="1"/>
      <c r="D7" s="1"/>
      <c r="E7" s="1"/>
      <c r="F7" s="1"/>
      <c r="G7" s="2"/>
      <c r="H7" s="84">
        <f>H4*H5*H6</f>
        <v>260904.90863806329</v>
      </c>
      <c r="I7" s="86" t="s">
        <v>57</v>
      </c>
      <c r="J7" s="2"/>
    </row>
    <row r="8" spans="1:11" ht="15" thickBot="1" x14ac:dyDescent="0.35">
      <c r="A8" s="45" t="s">
        <v>32</v>
      </c>
      <c r="B8" s="46"/>
      <c r="C8" s="1"/>
      <c r="D8" s="47" t="s">
        <v>14</v>
      </c>
      <c r="E8" s="1"/>
      <c r="F8" s="1"/>
      <c r="G8" s="2"/>
      <c r="H8" s="85">
        <f>AVERAGE(J15:J28)</f>
        <v>0.99655006332924323</v>
      </c>
      <c r="I8" s="86" t="s">
        <v>53</v>
      </c>
      <c r="J8" s="2"/>
    </row>
    <row r="9" spans="1:11" ht="15" thickBot="1" x14ac:dyDescent="0.35">
      <c r="A9" s="3" t="s">
        <v>11</v>
      </c>
      <c r="B9" s="43">
        <v>2.0230000000000001E-2</v>
      </c>
      <c r="C9" s="1"/>
      <c r="D9" s="4">
        <v>0.5</v>
      </c>
      <c r="E9" s="1"/>
      <c r="F9" s="1"/>
      <c r="G9" s="2"/>
      <c r="H9" s="88">
        <f>H7*H8</f>
        <v>260004.8032261724</v>
      </c>
      <c r="I9" s="89" t="s">
        <v>54</v>
      </c>
      <c r="J9" s="2"/>
    </row>
    <row r="10" spans="1:11" ht="15" thickBot="1" x14ac:dyDescent="0.35">
      <c r="A10" s="3" t="s">
        <v>12</v>
      </c>
      <c r="B10" s="43">
        <v>2.4670000000000001E-2</v>
      </c>
      <c r="C10" s="1"/>
      <c r="D10" s="5" t="s">
        <v>15</v>
      </c>
      <c r="E10" s="1"/>
      <c r="F10" s="1"/>
      <c r="G10" s="2"/>
      <c r="H10" s="2"/>
      <c r="I10" s="2"/>
      <c r="J10" s="2"/>
    </row>
    <row r="11" spans="1:11" ht="15" thickBot="1" x14ac:dyDescent="0.35">
      <c r="A11" s="6" t="s">
        <v>13</v>
      </c>
      <c r="B11" s="44">
        <v>2.8049999999999999E-2</v>
      </c>
      <c r="C11" s="1"/>
      <c r="D11" s="1"/>
      <c r="E11" s="1"/>
      <c r="F11" s="1"/>
      <c r="G11" s="2"/>
      <c r="H11" s="2"/>
      <c r="I11" s="2"/>
      <c r="J11" s="2"/>
    </row>
    <row r="12" spans="1:11" ht="15" thickBot="1" x14ac:dyDescent="0.35">
      <c r="A12" s="48"/>
      <c r="B12" s="48"/>
      <c r="C12" s="66"/>
      <c r="D12" s="102" t="s">
        <v>56</v>
      </c>
      <c r="E12" s="103"/>
      <c r="F12" s="103"/>
      <c r="G12" s="104"/>
      <c r="H12" s="2"/>
      <c r="I12" s="2"/>
      <c r="J12" s="2"/>
    </row>
    <row r="13" spans="1:11" ht="15" thickBot="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1" s="1" customFormat="1" ht="41.4" x14ac:dyDescent="0.3">
      <c r="A14" s="68" t="s">
        <v>16</v>
      </c>
      <c r="B14" s="59" t="s">
        <v>44</v>
      </c>
      <c r="C14" s="59" t="s">
        <v>41</v>
      </c>
      <c r="D14" s="59" t="s">
        <v>40</v>
      </c>
      <c r="E14" s="59" t="s">
        <v>42</v>
      </c>
      <c r="F14" s="65" t="s">
        <v>43</v>
      </c>
      <c r="G14" s="59" t="s">
        <v>39</v>
      </c>
      <c r="H14" s="59" t="s">
        <v>45</v>
      </c>
      <c r="I14" s="59" t="s">
        <v>37</v>
      </c>
      <c r="J14" s="59" t="s">
        <v>38</v>
      </c>
      <c r="K14" s="60" t="s">
        <v>47</v>
      </c>
    </row>
    <row r="15" spans="1:11" s="1" customFormat="1" ht="13.8" x14ac:dyDescent="0.3">
      <c r="A15" s="74">
        <v>43281</v>
      </c>
      <c r="B15" s="8"/>
      <c r="C15" s="8">
        <f t="shared" ref="C15:C28" si="0">B15*$E$3*$A$5/365*-1</f>
        <v>0</v>
      </c>
      <c r="D15" s="8"/>
      <c r="E15" s="66"/>
      <c r="F15" s="8"/>
      <c r="G15" s="8"/>
      <c r="H15" s="58"/>
      <c r="I15" s="69"/>
      <c r="J15" s="71"/>
      <c r="K15" s="72">
        <f t="shared" ref="K15:K28" si="1">F15*H15*I15*J15</f>
        <v>0</v>
      </c>
    </row>
    <row r="16" spans="1:11" s="1" customFormat="1" ht="13.8" x14ac:dyDescent="0.3">
      <c r="A16" s="74">
        <v>43278</v>
      </c>
      <c r="B16" s="8">
        <f t="shared" ref="B16:B28" si="2">A16-A15</f>
        <v>-3</v>
      </c>
      <c r="C16" s="8">
        <f t="shared" si="0"/>
        <v>1256.7205479452055</v>
      </c>
      <c r="D16" s="8">
        <f>C19+C18+C17</f>
        <v>38539.430136986302</v>
      </c>
      <c r="E16" s="66">
        <f t="shared" ref="E16:E27" si="3">E17+C16-D16</f>
        <v>1256.7205479452023</v>
      </c>
      <c r="F16" s="8">
        <f t="shared" ref="F16:F28" si="4">E16+$E$3</f>
        <v>25484756.720547944</v>
      </c>
      <c r="G16" s="8">
        <f t="shared" ref="G16:G28" si="5">A15-$A$3</f>
        <v>365</v>
      </c>
      <c r="H16" s="58">
        <f t="shared" ref="H16" si="6">1-POWER((1-$B$10),((G16-G17)/365))</f>
        <v>2.0528909279760033E-4</v>
      </c>
      <c r="I16" s="69">
        <v>0.5</v>
      </c>
      <c r="J16" s="71">
        <f t="shared" ref="J16:J28" si="7">1/(1+$A$5)^(G16/360)</f>
        <v>0.99395319992301434</v>
      </c>
      <c r="K16" s="72">
        <f t="shared" si="1"/>
        <v>2600.0536429245035</v>
      </c>
    </row>
    <row r="17" spans="1:13" s="1" customFormat="1" ht="13.8" x14ac:dyDescent="0.3">
      <c r="A17" s="74">
        <v>43247</v>
      </c>
      <c r="B17" s="8">
        <f t="shared" si="2"/>
        <v>-31</v>
      </c>
      <c r="C17" s="8">
        <f t="shared" si="0"/>
        <v>12986.112328767123</v>
      </c>
      <c r="D17" s="8"/>
      <c r="E17" s="66">
        <f>E18+C17-D17</f>
        <v>38539.430136986302</v>
      </c>
      <c r="F17" s="8">
        <f t="shared" si="4"/>
        <v>25522039.430136986</v>
      </c>
      <c r="G17" s="8">
        <f t="shared" si="5"/>
        <v>362</v>
      </c>
      <c r="H17" s="58">
        <f>1-POWER((1-$B$9),((G17-G18)/365))</f>
        <v>1.7342760213537867E-3</v>
      </c>
      <c r="I17" s="69">
        <v>0.5</v>
      </c>
      <c r="J17" s="71">
        <f t="shared" si="7"/>
        <v>0.99400275031877983</v>
      </c>
      <c r="K17" s="72">
        <f t="shared" si="1"/>
        <v>21998.404584530854</v>
      </c>
    </row>
    <row r="18" spans="1:13" s="1" customFormat="1" ht="13.8" x14ac:dyDescent="0.3">
      <c r="A18" s="74">
        <v>43217</v>
      </c>
      <c r="B18" s="8">
        <f t="shared" si="2"/>
        <v>-30</v>
      </c>
      <c r="C18" s="8">
        <f t="shared" si="0"/>
        <v>12567.205479452055</v>
      </c>
      <c r="D18" s="8"/>
      <c r="E18" s="66">
        <f t="shared" si="3"/>
        <v>25553.317808219177</v>
      </c>
      <c r="F18" s="8">
        <f t="shared" si="4"/>
        <v>25509053.317808218</v>
      </c>
      <c r="G18" s="8">
        <f t="shared" si="5"/>
        <v>331</v>
      </c>
      <c r="H18" s="58">
        <f t="shared" ref="H18:H27" si="8">1-POWER((1-$B$9),((G18-G19)/365))</f>
        <v>1.6783786082257279E-3</v>
      </c>
      <c r="I18" s="69">
        <v>0.5</v>
      </c>
      <c r="J18" s="71">
        <f t="shared" si="7"/>
        <v>0.99451491574012596</v>
      </c>
      <c r="K18" s="72">
        <f t="shared" si="1"/>
        <v>21289.505916612256</v>
      </c>
    </row>
    <row r="19" spans="1:13" s="1" customFormat="1" ht="13.8" x14ac:dyDescent="0.3">
      <c r="A19" s="74">
        <v>43186</v>
      </c>
      <c r="B19" s="8">
        <f t="shared" si="2"/>
        <v>-31</v>
      </c>
      <c r="C19" s="8">
        <f t="shared" si="0"/>
        <v>12986.112328767123</v>
      </c>
      <c r="D19" s="8">
        <f>C22+C21+C20</f>
        <v>37701.616438356163</v>
      </c>
      <c r="E19" s="66">
        <f t="shared" si="3"/>
        <v>12986.112328767122</v>
      </c>
      <c r="F19" s="8">
        <f t="shared" si="4"/>
        <v>25496486.112328768</v>
      </c>
      <c r="G19" s="8">
        <f t="shared" si="5"/>
        <v>301</v>
      </c>
      <c r="H19" s="58">
        <f t="shared" si="8"/>
        <v>1.7342760213537867E-3</v>
      </c>
      <c r="I19" s="69">
        <v>0.5</v>
      </c>
      <c r="J19" s="71">
        <f t="shared" si="7"/>
        <v>0.99501081095908295</v>
      </c>
      <c r="K19" s="72">
        <f t="shared" si="1"/>
        <v>21998.666404656651</v>
      </c>
    </row>
    <row r="20" spans="1:13" s="1" customFormat="1" ht="13.8" x14ac:dyDescent="0.3">
      <c r="A20" s="74">
        <v>43158</v>
      </c>
      <c r="B20" s="8">
        <f t="shared" si="2"/>
        <v>-28</v>
      </c>
      <c r="C20" s="8">
        <f t="shared" si="0"/>
        <v>11729.391780821918</v>
      </c>
      <c r="D20" s="8"/>
      <c r="E20" s="66">
        <f t="shared" si="3"/>
        <v>37701.616438356163</v>
      </c>
      <c r="F20" s="8">
        <f t="shared" si="4"/>
        <v>25521201.616438355</v>
      </c>
      <c r="G20" s="8">
        <f t="shared" si="5"/>
        <v>270</v>
      </c>
      <c r="H20" s="58">
        <f t="shared" si="8"/>
        <v>1.5665743919472952E-3</v>
      </c>
      <c r="I20" s="69">
        <v>0.5</v>
      </c>
      <c r="J20" s="71">
        <f t="shared" si="7"/>
        <v>0.99552349578925603</v>
      </c>
      <c r="K20" s="72">
        <f t="shared" si="1"/>
        <v>19900.943205925079</v>
      </c>
    </row>
    <row r="21" spans="1:13" s="1" customFormat="1" ht="13.8" x14ac:dyDescent="0.3">
      <c r="A21" s="74">
        <v>43127</v>
      </c>
      <c r="B21" s="8">
        <f t="shared" si="2"/>
        <v>-31</v>
      </c>
      <c r="C21" s="8">
        <f t="shared" si="0"/>
        <v>12986.112328767123</v>
      </c>
      <c r="D21" s="8"/>
      <c r="E21" s="66">
        <f t="shared" si="3"/>
        <v>25972.224657534243</v>
      </c>
      <c r="F21" s="8">
        <f t="shared" si="4"/>
        <v>25509472.224657536</v>
      </c>
      <c r="G21" s="8">
        <f t="shared" si="5"/>
        <v>242</v>
      </c>
      <c r="H21" s="58">
        <f t="shared" si="8"/>
        <v>1.7342760213537867E-3</v>
      </c>
      <c r="I21" s="69">
        <v>0.5</v>
      </c>
      <c r="J21" s="71">
        <f t="shared" si="7"/>
        <v>0.99598679300900472</v>
      </c>
      <c r="K21" s="72">
        <f t="shared" si="1"/>
        <v>22031.459924595751</v>
      </c>
    </row>
    <row r="22" spans="1:13" s="1" customFormat="1" ht="13.8" x14ac:dyDescent="0.3">
      <c r="A22" s="74">
        <v>43096</v>
      </c>
      <c r="B22" s="8">
        <f t="shared" si="2"/>
        <v>-31</v>
      </c>
      <c r="C22" s="8">
        <f t="shared" si="0"/>
        <v>12986.112328767123</v>
      </c>
      <c r="D22" s="8">
        <f>C25+C24+C23</f>
        <v>38120.52328767124</v>
      </c>
      <c r="E22" s="66">
        <f t="shared" si="3"/>
        <v>12986.112328767122</v>
      </c>
      <c r="F22" s="8">
        <f t="shared" si="4"/>
        <v>25496486.112328768</v>
      </c>
      <c r="G22" s="8">
        <f t="shared" si="5"/>
        <v>211</v>
      </c>
      <c r="H22" s="58">
        <f t="shared" si="8"/>
        <v>1.7342760213537867E-3</v>
      </c>
      <c r="I22" s="69">
        <v>0.5</v>
      </c>
      <c r="J22" s="71">
        <f t="shared" si="7"/>
        <v>0.99649998071933354</v>
      </c>
      <c r="K22" s="72">
        <f t="shared" si="1"/>
        <v>22031.59041755665</v>
      </c>
    </row>
    <row r="23" spans="1:13" s="1" customFormat="1" ht="13.8" x14ac:dyDescent="0.3">
      <c r="A23" s="74">
        <v>43066</v>
      </c>
      <c r="B23" s="8">
        <f t="shared" si="2"/>
        <v>-30</v>
      </c>
      <c r="C23" s="8">
        <f t="shared" si="0"/>
        <v>12567.205479452055</v>
      </c>
      <c r="D23" s="8"/>
      <c r="E23" s="66">
        <f t="shared" si="3"/>
        <v>38120.52328767124</v>
      </c>
      <c r="F23" s="8">
        <f t="shared" si="4"/>
        <v>25521620.523287673</v>
      </c>
      <c r="G23" s="8">
        <f t="shared" si="5"/>
        <v>180</v>
      </c>
      <c r="H23" s="58">
        <f t="shared" si="8"/>
        <v>1.6783786082257279E-3</v>
      </c>
      <c r="I23" s="69">
        <v>0.5</v>
      </c>
      <c r="J23" s="71">
        <f t="shared" si="7"/>
        <v>0.99701343285247179</v>
      </c>
      <c r="K23" s="72">
        <f t="shared" si="1"/>
        <v>21353.506251597872</v>
      </c>
    </row>
    <row r="24" spans="1:13" s="1" customFormat="1" ht="13.8" x14ac:dyDescent="0.3">
      <c r="A24" s="74">
        <v>43035</v>
      </c>
      <c r="B24" s="8">
        <f t="shared" si="2"/>
        <v>-31</v>
      </c>
      <c r="C24" s="8">
        <f t="shared" si="0"/>
        <v>12986.112328767123</v>
      </c>
      <c r="D24" s="8"/>
      <c r="E24" s="66">
        <f t="shared" si="3"/>
        <v>25553.317808219181</v>
      </c>
      <c r="F24" s="8">
        <f t="shared" si="4"/>
        <v>25509053.317808218</v>
      </c>
      <c r="G24" s="8">
        <f t="shared" si="5"/>
        <v>150</v>
      </c>
      <c r="H24" s="58">
        <f t="shared" si="8"/>
        <v>1.7342760213537867E-3</v>
      </c>
      <c r="I24" s="69">
        <v>0.5</v>
      </c>
      <c r="J24" s="71">
        <f t="shared" si="7"/>
        <v>0.99751057390763598</v>
      </c>
      <c r="K24" s="72">
        <f t="shared" si="1"/>
        <v>22064.803967344025</v>
      </c>
    </row>
    <row r="25" spans="1:13" s="1" customFormat="1" ht="13.8" x14ac:dyDescent="0.3">
      <c r="A25" s="74">
        <v>43005</v>
      </c>
      <c r="B25" s="8">
        <f t="shared" si="2"/>
        <v>-30</v>
      </c>
      <c r="C25" s="8">
        <f t="shared" si="0"/>
        <v>12567.205479452055</v>
      </c>
      <c r="D25" s="8">
        <f>C28+C27+C26</f>
        <v>37282.709589041093</v>
      </c>
      <c r="E25" s="66">
        <f t="shared" si="3"/>
        <v>12567.205479452059</v>
      </c>
      <c r="F25" s="8">
        <f t="shared" si="4"/>
        <v>25496067.205479451</v>
      </c>
      <c r="G25" s="8">
        <f t="shared" si="5"/>
        <v>119</v>
      </c>
      <c r="H25" s="58">
        <f t="shared" si="8"/>
        <v>1.6783786082257279E-3</v>
      </c>
      <c r="I25" s="69">
        <v>0.5</v>
      </c>
      <c r="J25" s="71">
        <f t="shared" si="7"/>
        <v>0.9980245467545108</v>
      </c>
      <c r="K25" s="72">
        <f t="shared" si="1"/>
        <v>21353.760045009269</v>
      </c>
      <c r="M25" s="73"/>
    </row>
    <row r="26" spans="1:13" s="1" customFormat="1" ht="13.8" x14ac:dyDescent="0.3">
      <c r="A26" s="74">
        <v>42974</v>
      </c>
      <c r="B26" s="8">
        <f t="shared" si="2"/>
        <v>-31</v>
      </c>
      <c r="C26" s="8">
        <f t="shared" si="0"/>
        <v>12986.112328767123</v>
      </c>
      <c r="D26" s="8"/>
      <c r="E26" s="66">
        <f t="shared" si="3"/>
        <v>37282.709589041093</v>
      </c>
      <c r="F26" s="8">
        <f t="shared" si="4"/>
        <v>25520782.709589042</v>
      </c>
      <c r="G26" s="8">
        <f t="shared" si="5"/>
        <v>89</v>
      </c>
      <c r="H26" s="58">
        <f t="shared" si="8"/>
        <v>1.7342760213537867E-3</v>
      </c>
      <c r="I26" s="69">
        <v>0.5</v>
      </c>
      <c r="J26" s="71">
        <f t="shared" si="7"/>
        <v>0.99852219198165049</v>
      </c>
      <c r="K26" s="72">
        <f t="shared" si="1"/>
        <v>22097.336798043973</v>
      </c>
      <c r="M26" s="73"/>
    </row>
    <row r="27" spans="1:13" s="1" customFormat="1" ht="13.8" x14ac:dyDescent="0.3">
      <c r="A27" s="74">
        <v>42943</v>
      </c>
      <c r="B27" s="8">
        <f t="shared" si="2"/>
        <v>-31</v>
      </c>
      <c r="C27" s="8">
        <f t="shared" si="0"/>
        <v>12986.112328767123</v>
      </c>
      <c r="D27" s="8"/>
      <c r="E27" s="66">
        <f t="shared" si="3"/>
        <v>24296.597260273971</v>
      </c>
      <c r="F27" s="8">
        <f t="shared" si="4"/>
        <v>25507796.597260274</v>
      </c>
      <c r="G27" s="8">
        <f t="shared" si="5"/>
        <v>58</v>
      </c>
      <c r="H27" s="58">
        <f t="shared" si="8"/>
        <v>1.7342760213537867E-3</v>
      </c>
      <c r="I27" s="69">
        <v>0.5</v>
      </c>
      <c r="J27" s="71">
        <f t="shared" si="7"/>
        <v>0.9990366860703398</v>
      </c>
      <c r="K27" s="72">
        <f t="shared" si="1"/>
        <v>22097.472669219846</v>
      </c>
      <c r="M27" s="73"/>
    </row>
    <row r="28" spans="1:13" s="1" customFormat="1" ht="13.8" x14ac:dyDescent="0.3">
      <c r="A28" s="74">
        <v>42916</v>
      </c>
      <c r="B28" s="8">
        <f t="shared" si="2"/>
        <v>-27</v>
      </c>
      <c r="C28" s="8">
        <f t="shared" si="0"/>
        <v>11310.48493150685</v>
      </c>
      <c r="D28" s="8"/>
      <c r="E28" s="66">
        <f>C28</f>
        <v>11310.48493150685</v>
      </c>
      <c r="F28" s="8">
        <f t="shared" si="4"/>
        <v>25494810.484931506</v>
      </c>
      <c r="G28" s="8">
        <f t="shared" si="5"/>
        <v>27</v>
      </c>
      <c r="H28" s="58">
        <f>1-POWER((1-$B$9),((G28-G29)/365))</f>
        <v>1.5106675884464238E-3</v>
      </c>
      <c r="I28" s="69">
        <v>0.5</v>
      </c>
      <c r="J28" s="71">
        <f t="shared" si="7"/>
        <v>0.99955144525495698</v>
      </c>
      <c r="K28" s="72">
        <f t="shared" si="1"/>
        <v>19248.454076621154</v>
      </c>
    </row>
    <row r="29" spans="1:13" ht="15" thickBot="1" x14ac:dyDescent="0.35">
      <c r="A29" s="3"/>
      <c r="B29" s="8"/>
      <c r="C29" s="8"/>
      <c r="D29" s="8"/>
      <c r="E29" s="63"/>
      <c r="F29" s="7"/>
      <c r="G29" s="8"/>
      <c r="H29" s="22"/>
      <c r="I29" s="8"/>
      <c r="J29" s="61"/>
      <c r="K29" s="62"/>
    </row>
    <row r="30" spans="1:13" ht="15" thickBot="1" x14ac:dyDescent="0.35">
      <c r="A30" s="6"/>
      <c r="B30" s="23"/>
      <c r="C30" s="24"/>
      <c r="D30" s="9"/>
      <c r="E30" s="10"/>
      <c r="F30" s="10"/>
      <c r="G30" s="64"/>
      <c r="H30" s="11"/>
      <c r="I30" s="75" t="s">
        <v>17</v>
      </c>
      <c r="J30" s="76"/>
      <c r="K30" s="77">
        <f>SUM(K15:K28)</f>
        <v>260065.95790463785</v>
      </c>
    </row>
    <row r="31" spans="1:13" ht="5.4" customHeight="1" thickBot="1" x14ac:dyDescent="0.35">
      <c r="A31" s="13"/>
      <c r="B31" s="12"/>
      <c r="C31" s="14"/>
      <c r="D31" s="14"/>
      <c r="E31" s="14"/>
      <c r="F31" s="13"/>
      <c r="G31" s="13"/>
      <c r="H31" s="15"/>
      <c r="I31" s="15"/>
      <c r="J31" s="15"/>
    </row>
    <row r="32" spans="1:13" ht="15" thickBot="1" x14ac:dyDescent="0.35">
      <c r="A32" s="105" t="s">
        <v>34</v>
      </c>
      <c r="B32" s="106"/>
      <c r="C32" s="106"/>
      <c r="D32" s="106"/>
      <c r="E32" s="106"/>
      <c r="F32" s="106"/>
      <c r="G32" s="106"/>
      <c r="H32" s="106"/>
      <c r="I32" s="106"/>
      <c r="J32" s="107"/>
    </row>
    <row r="33" spans="1:10" ht="15" thickBot="1" x14ac:dyDescent="0.35">
      <c r="A33" s="39" t="s">
        <v>18</v>
      </c>
      <c r="B33" s="41" t="s">
        <v>29</v>
      </c>
      <c r="C33" s="40">
        <v>1</v>
      </c>
      <c r="D33" s="40">
        <v>2</v>
      </c>
      <c r="E33" s="40">
        <v>3</v>
      </c>
      <c r="F33" s="40">
        <v>4</v>
      </c>
      <c r="G33" s="40">
        <v>5</v>
      </c>
      <c r="H33" s="40">
        <v>6</v>
      </c>
      <c r="I33" s="40">
        <v>7</v>
      </c>
      <c r="J33" s="41">
        <v>8</v>
      </c>
    </row>
    <row r="34" spans="1:10" x14ac:dyDescent="0.3">
      <c r="A34" s="27">
        <v>10</v>
      </c>
      <c r="B34" s="26" t="s">
        <v>19</v>
      </c>
      <c r="C34" s="28">
        <v>5.2900000000000004E-3</v>
      </c>
      <c r="D34" s="28">
        <v>6.202E-3</v>
      </c>
      <c r="E34" s="28">
        <v>7.1139999999999997E-3</v>
      </c>
      <c r="F34" s="28">
        <v>8.0260000000000001E-3</v>
      </c>
      <c r="G34" s="28">
        <v>8.9379999999999998E-3</v>
      </c>
      <c r="H34" s="28">
        <v>9.8499999999999994E-3</v>
      </c>
      <c r="I34" s="28">
        <v>1.0761999999999999E-2</v>
      </c>
      <c r="J34" s="29">
        <v>1.1673999999999999E-2</v>
      </c>
    </row>
    <row r="35" spans="1:10" x14ac:dyDescent="0.3">
      <c r="A35" s="27">
        <v>11</v>
      </c>
      <c r="B35" s="26" t="s">
        <v>20</v>
      </c>
      <c r="C35" s="28">
        <v>8.2199999999999999E-3</v>
      </c>
      <c r="D35" s="28">
        <v>9.4039999999999992E-3</v>
      </c>
      <c r="E35" s="28">
        <v>1.0588E-2</v>
      </c>
      <c r="F35" s="28">
        <v>1.1772000000000001E-2</v>
      </c>
      <c r="G35" s="28">
        <v>1.2956000000000002E-2</v>
      </c>
      <c r="H35" s="28">
        <v>1.4140000000000003E-2</v>
      </c>
      <c r="I35" s="28">
        <v>1.5324000000000004E-2</v>
      </c>
      <c r="J35" s="29">
        <v>1.6508000000000005E-2</v>
      </c>
    </row>
    <row r="36" spans="1:10" x14ac:dyDescent="0.3">
      <c r="A36" s="27">
        <v>12</v>
      </c>
      <c r="B36" s="26">
        <v>5</v>
      </c>
      <c r="C36" s="28">
        <v>1.278E-2</v>
      </c>
      <c r="D36" s="28">
        <v>1.404E-2</v>
      </c>
      <c r="E36" s="28">
        <v>1.5300000000000001E-2</v>
      </c>
      <c r="F36" s="28">
        <v>1.6560000000000002E-2</v>
      </c>
      <c r="G36" s="28">
        <v>1.7820000000000003E-2</v>
      </c>
      <c r="H36" s="28">
        <v>1.9080000000000003E-2</v>
      </c>
      <c r="I36" s="28">
        <v>2.0340000000000004E-2</v>
      </c>
      <c r="J36" s="29">
        <v>2.1600000000000005E-2</v>
      </c>
    </row>
    <row r="37" spans="1:10" x14ac:dyDescent="0.3">
      <c r="A37" s="30">
        <v>13</v>
      </c>
      <c r="B37" s="26" t="s">
        <v>21</v>
      </c>
      <c r="C37" s="31">
        <v>1.9869999999999999E-2</v>
      </c>
      <c r="D37" s="31">
        <v>2.1044E-2</v>
      </c>
      <c r="E37" s="31">
        <v>2.2218000000000002E-2</v>
      </c>
      <c r="F37" s="32">
        <v>2.3392000000000003E-2</v>
      </c>
      <c r="G37" s="28">
        <v>2.4566000000000004E-2</v>
      </c>
      <c r="H37" s="28">
        <v>2.5740000000000006E-2</v>
      </c>
      <c r="I37" s="28">
        <v>2.6914000000000007E-2</v>
      </c>
      <c r="J37" s="29">
        <v>2.8088000000000009E-2</v>
      </c>
    </row>
    <row r="38" spans="1:10" ht="15" thickBot="1" x14ac:dyDescent="0.35">
      <c r="A38" s="33">
        <v>14</v>
      </c>
      <c r="B38" s="42" t="s">
        <v>22</v>
      </c>
      <c r="C38" s="34">
        <v>3.0088E-2</v>
      </c>
      <c r="D38" s="34">
        <v>3.0662200000000001E-2</v>
      </c>
      <c r="E38" s="34">
        <v>3.1236400000000001E-2</v>
      </c>
      <c r="F38" s="34">
        <v>3.1810600000000001E-2</v>
      </c>
      <c r="G38" s="34">
        <v>3.2384799999999998E-2</v>
      </c>
      <c r="H38" s="34">
        <v>3.2958999999999995E-2</v>
      </c>
      <c r="I38" s="34">
        <v>3.3533199999999992E-2</v>
      </c>
      <c r="J38" s="35">
        <v>3.4107399999999989E-2</v>
      </c>
    </row>
    <row r="39" spans="1:10" ht="12.6" customHeight="1" x14ac:dyDescent="0.3">
      <c r="A39" s="16"/>
      <c r="B39" s="16"/>
      <c r="C39" s="17"/>
      <c r="D39" s="17"/>
      <c r="E39" s="17"/>
      <c r="F39" s="17"/>
      <c r="G39" s="17"/>
      <c r="H39" s="17"/>
      <c r="I39" s="17"/>
      <c r="J39" s="17"/>
    </row>
    <row r="40" spans="1:10" ht="46.8" customHeight="1" x14ac:dyDescent="0.3">
      <c r="A40" s="19" t="s">
        <v>30</v>
      </c>
      <c r="B40" s="20"/>
      <c r="C40" s="20"/>
      <c r="D40" s="20"/>
      <c r="E40" s="20"/>
      <c r="F40" s="20"/>
      <c r="G40" s="20"/>
      <c r="H40" s="25" t="s">
        <v>31</v>
      </c>
      <c r="I40" s="20"/>
      <c r="J40" s="67" t="s">
        <v>36</v>
      </c>
    </row>
    <row r="41" spans="1:10" ht="16.2" thickBot="1" x14ac:dyDescent="0.35">
      <c r="A41" s="19"/>
      <c r="B41" s="20"/>
      <c r="C41" s="20"/>
      <c r="D41" s="20"/>
      <c r="E41" s="20"/>
      <c r="F41" s="20"/>
      <c r="G41" s="20"/>
      <c r="H41" s="25"/>
      <c r="I41" s="20"/>
      <c r="J41" s="21"/>
    </row>
    <row r="42" spans="1:10" ht="14.4" customHeight="1" thickBot="1" x14ac:dyDescent="0.35">
      <c r="A42" s="108" t="s">
        <v>35</v>
      </c>
      <c r="B42" s="109"/>
      <c r="C42" s="109"/>
      <c r="D42" s="109"/>
      <c r="E42" s="109"/>
      <c r="F42" s="109"/>
      <c r="G42" s="109"/>
      <c r="H42" s="109"/>
      <c r="I42" s="109"/>
      <c r="J42" s="110"/>
    </row>
    <row r="43" spans="1:10" x14ac:dyDescent="0.3">
      <c r="A43" s="36" t="s">
        <v>18</v>
      </c>
      <c r="B43" s="38" t="s">
        <v>29</v>
      </c>
      <c r="C43" s="37">
        <v>1</v>
      </c>
      <c r="D43" s="37">
        <v>2</v>
      </c>
      <c r="E43" s="37">
        <v>3</v>
      </c>
      <c r="F43" s="37">
        <v>4</v>
      </c>
      <c r="G43" s="37">
        <v>5</v>
      </c>
      <c r="H43" s="37">
        <v>6</v>
      </c>
      <c r="I43" s="37">
        <v>7</v>
      </c>
      <c r="J43" s="38">
        <v>8</v>
      </c>
    </row>
    <row r="44" spans="1:10" x14ac:dyDescent="0.3">
      <c r="A44" s="27">
        <v>10</v>
      </c>
      <c r="B44" s="26" t="s">
        <v>19</v>
      </c>
      <c r="C44" s="28">
        <v>5.5654077203140884E-3</v>
      </c>
      <c r="D44" s="28">
        <v>7.7902919135762671E-3</v>
      </c>
      <c r="E44" s="28">
        <v>9.3322269188961283E-3</v>
      </c>
      <c r="F44" s="28">
        <v>1.0716537577692687E-2</v>
      </c>
      <c r="G44" s="28">
        <v>1.1962952438615294E-2</v>
      </c>
      <c r="H44" s="28">
        <v>1.3077855108163793E-2</v>
      </c>
      <c r="I44" s="28">
        <v>1.4062055295955153E-2</v>
      </c>
      <c r="J44" s="29">
        <v>1.49153520038152E-2</v>
      </c>
    </row>
    <row r="45" spans="1:10" x14ac:dyDescent="0.3">
      <c r="A45" s="27">
        <v>11</v>
      </c>
      <c r="B45" s="26" t="s">
        <v>20</v>
      </c>
      <c r="C45" s="28">
        <v>8.394544439343456E-3</v>
      </c>
      <c r="D45" s="28">
        <v>1.1158561310553691E-2</v>
      </c>
      <c r="E45" s="28">
        <v>1.338014773334993E-2</v>
      </c>
      <c r="F45" s="28">
        <v>1.5304164477063066E-2</v>
      </c>
      <c r="G45" s="28">
        <v>1.6928703772476166E-2</v>
      </c>
      <c r="H45" s="28">
        <v>1.8259521621808713E-2</v>
      </c>
      <c r="I45" s="28">
        <v>1.9309560593566168E-2</v>
      </c>
      <c r="J45" s="29">
        <v>2.0097748410887312E-2</v>
      </c>
    </row>
    <row r="46" spans="1:10" x14ac:dyDescent="0.3">
      <c r="A46" s="27">
        <v>12</v>
      </c>
      <c r="B46" s="26">
        <v>5</v>
      </c>
      <c r="C46" s="28">
        <v>1.3033275437460667E-2</v>
      </c>
      <c r="D46" s="28">
        <v>1.6428416435257224E-2</v>
      </c>
      <c r="E46" s="28">
        <v>1.9077601567740576E-2</v>
      </c>
      <c r="F46" s="28">
        <v>2.1328643153523084E-2</v>
      </c>
      <c r="G46" s="28">
        <v>2.3159892434952707E-2</v>
      </c>
      <c r="H46" s="28">
        <v>2.4568385492472349E-2</v>
      </c>
      <c r="I46" s="28">
        <v>2.5570797987498801E-2</v>
      </c>
      <c r="J46" s="29">
        <v>2.6199095401961369E-2</v>
      </c>
    </row>
    <row r="47" spans="1:10" x14ac:dyDescent="0.3">
      <c r="A47" s="30">
        <v>13</v>
      </c>
      <c r="B47" s="26" t="s">
        <v>21</v>
      </c>
      <c r="C47" s="31">
        <v>2.0234039089477348E-2</v>
      </c>
      <c r="D47" s="31">
        <v>2.4670144180283463E-2</v>
      </c>
      <c r="E47" s="31">
        <v>2.8049178850582886E-2</v>
      </c>
      <c r="F47" s="32">
        <v>3.0704876891177239E-2</v>
      </c>
      <c r="G47" s="28">
        <v>3.2589109188762559E-2</v>
      </c>
      <c r="H47" s="28">
        <v>3.3742916529341568E-2</v>
      </c>
      <c r="I47" s="28">
        <v>3.4252262210007871E-2</v>
      </c>
      <c r="J47" s="29">
        <v>3.422106786919054E-2</v>
      </c>
    </row>
    <row r="48" spans="1:10" ht="15" thickBot="1" x14ac:dyDescent="0.35">
      <c r="A48" s="33">
        <v>14</v>
      </c>
      <c r="B48" s="42" t="s">
        <v>22</v>
      </c>
      <c r="C48" s="34">
        <v>3.1410842596143643E-2</v>
      </c>
      <c r="D48" s="34">
        <v>3.6825909210029484E-2</v>
      </c>
      <c r="E48" s="34">
        <v>4.0048457904413533E-2</v>
      </c>
      <c r="F48" s="34">
        <v>4.2016297413011439E-2</v>
      </c>
      <c r="G48" s="34">
        <v>4.2895943504048135E-2</v>
      </c>
      <c r="H48" s="34">
        <v>4.2873460559151824E-2</v>
      </c>
      <c r="I48" s="34">
        <v>4.2138570860379768E-2</v>
      </c>
      <c r="J48" s="35">
        <v>4.0869173550845253E-2</v>
      </c>
    </row>
  </sheetData>
  <mergeCells count="5">
    <mergeCell ref="B1:F1"/>
    <mergeCell ref="H1:I1"/>
    <mergeCell ref="D12:G12"/>
    <mergeCell ref="A32:J32"/>
    <mergeCell ref="A42:J4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M68"/>
  <sheetViews>
    <sheetView zoomScale="102" zoomScaleNormal="102" workbookViewId="0">
      <selection activeCell="F20" sqref="F20"/>
    </sheetView>
  </sheetViews>
  <sheetFormatPr defaultRowHeight="14.4" x14ac:dyDescent="0.3"/>
  <cols>
    <col min="1" max="1" width="12.44140625" customWidth="1"/>
    <col min="2" max="2" width="11.109375" customWidth="1"/>
    <col min="3" max="3" width="14" customWidth="1"/>
    <col min="4" max="4" width="12.44140625" customWidth="1"/>
    <col min="5" max="5" width="11.21875" customWidth="1"/>
    <col min="6" max="6" width="11.109375" customWidth="1"/>
    <col min="7" max="7" width="11.21875" customWidth="1"/>
    <col min="8" max="8" width="10.88671875" customWidth="1"/>
    <col min="9" max="9" width="11.109375" customWidth="1"/>
    <col min="10" max="10" width="8.77734375" customWidth="1"/>
    <col min="11" max="11" width="9.33203125" bestFit="1" customWidth="1"/>
    <col min="12" max="12" width="9.44140625" customWidth="1"/>
  </cols>
  <sheetData>
    <row r="1" spans="1:11" ht="15" thickBot="1" x14ac:dyDescent="0.35">
      <c r="A1" s="87" t="s">
        <v>0</v>
      </c>
      <c r="B1" s="98" t="s">
        <v>1</v>
      </c>
      <c r="C1" s="98"/>
      <c r="D1" s="98"/>
      <c r="E1" s="98"/>
      <c r="F1" s="99"/>
      <c r="G1" s="2"/>
      <c r="H1" s="100" t="s">
        <v>55</v>
      </c>
      <c r="I1" s="101"/>
      <c r="J1" s="2"/>
    </row>
    <row r="2" spans="1:11" x14ac:dyDescent="0.3">
      <c r="A2" s="51" t="s">
        <v>2</v>
      </c>
      <c r="B2" s="52" t="s">
        <v>3</v>
      </c>
      <c r="C2" s="52" t="s">
        <v>23</v>
      </c>
      <c r="D2" s="52" t="s">
        <v>24</v>
      </c>
      <c r="E2" s="52" t="s">
        <v>25</v>
      </c>
      <c r="F2" s="53" t="s">
        <v>9</v>
      </c>
      <c r="G2" s="2"/>
      <c r="H2" s="80">
        <f>E3</f>
        <v>25483500</v>
      </c>
      <c r="I2" s="86" t="s">
        <v>48</v>
      </c>
      <c r="J2" s="2"/>
    </row>
    <row r="3" spans="1:11" x14ac:dyDescent="0.3">
      <c r="A3" s="78">
        <v>42916</v>
      </c>
      <c r="B3" s="79">
        <v>43917</v>
      </c>
      <c r="C3" s="55" t="s">
        <v>26</v>
      </c>
      <c r="D3" s="55" t="s">
        <v>27</v>
      </c>
      <c r="E3" s="57">
        <v>25483500</v>
      </c>
      <c r="F3" s="56">
        <v>0</v>
      </c>
      <c r="G3" s="2"/>
      <c r="H3" s="81">
        <f>AVERAGE(E16:E18)</f>
        <v>25692.953424657531</v>
      </c>
      <c r="I3" s="86" t="s">
        <v>49</v>
      </c>
      <c r="J3" s="2"/>
    </row>
    <row r="4" spans="1:11" x14ac:dyDescent="0.3">
      <c r="A4" s="51" t="s">
        <v>28</v>
      </c>
      <c r="B4" s="52" t="s">
        <v>4</v>
      </c>
      <c r="C4" s="52" t="s">
        <v>5</v>
      </c>
      <c r="D4" s="52" t="s">
        <v>6</v>
      </c>
      <c r="E4" s="52" t="s">
        <v>7</v>
      </c>
      <c r="F4" s="53" t="s">
        <v>8</v>
      </c>
      <c r="G4" s="2"/>
      <c r="H4" s="80">
        <f>H2+H3</f>
        <v>25509192.953424659</v>
      </c>
      <c r="I4" s="86" t="s">
        <v>50</v>
      </c>
      <c r="J4" s="2"/>
    </row>
    <row r="5" spans="1:11" x14ac:dyDescent="0.3">
      <c r="A5" s="54">
        <v>6.0000000000000001E-3</v>
      </c>
      <c r="B5" s="55">
        <v>4</v>
      </c>
      <c r="C5" s="55">
        <v>13</v>
      </c>
      <c r="D5" s="55">
        <v>0</v>
      </c>
      <c r="E5" s="55" t="s">
        <v>10</v>
      </c>
      <c r="F5" s="56" t="s">
        <v>10</v>
      </c>
      <c r="G5" s="2"/>
      <c r="H5" s="82">
        <f>SUM(H16:H48)</f>
        <v>6.6538051699114864E-2</v>
      </c>
      <c r="I5" s="86" t="s">
        <v>51</v>
      </c>
    </row>
    <row r="6" spans="1:11" ht="15" thickBot="1" x14ac:dyDescent="0.35">
      <c r="A6" s="6" t="s">
        <v>33</v>
      </c>
      <c r="B6" s="10"/>
      <c r="C6" s="10"/>
      <c r="D6" s="10"/>
      <c r="E6" s="10"/>
      <c r="F6" s="50"/>
      <c r="G6" s="2"/>
      <c r="H6" s="83">
        <f>D9</f>
        <v>0.5</v>
      </c>
      <c r="I6" s="86" t="s">
        <v>14</v>
      </c>
      <c r="J6" s="2"/>
    </row>
    <row r="7" spans="1:11" ht="15" thickBot="1" x14ac:dyDescent="0.35">
      <c r="A7" s="1"/>
      <c r="B7" s="1"/>
      <c r="C7" s="1"/>
      <c r="D7" s="1"/>
      <c r="E7" s="1"/>
      <c r="F7" s="1"/>
      <c r="G7" s="2"/>
      <c r="H7" s="84">
        <f>H4*H5*H6</f>
        <v>848665.99976883328</v>
      </c>
      <c r="I7" s="86" t="s">
        <v>52</v>
      </c>
      <c r="J7" s="2"/>
    </row>
    <row r="8" spans="1:11" ht="15" thickBot="1" x14ac:dyDescent="0.35">
      <c r="A8" s="45" t="s">
        <v>32</v>
      </c>
      <c r="B8" s="46"/>
      <c r="C8" s="1"/>
      <c r="D8" s="47" t="s">
        <v>14</v>
      </c>
      <c r="E8" s="1"/>
      <c r="F8" s="1"/>
      <c r="G8" s="2"/>
      <c r="H8" s="85">
        <f>AVERAGE(J16:J48)</f>
        <v>0.99149930291217803</v>
      </c>
      <c r="I8" s="86" t="s">
        <v>53</v>
      </c>
      <c r="J8" s="2"/>
    </row>
    <row r="9" spans="1:11" ht="15" thickBot="1" x14ac:dyDescent="0.35">
      <c r="A9" s="3" t="s">
        <v>11</v>
      </c>
      <c r="B9" s="43">
        <v>2.0230000000000001E-2</v>
      </c>
      <c r="C9" s="1"/>
      <c r="D9" s="4">
        <v>0.5</v>
      </c>
      <c r="E9" s="1"/>
      <c r="F9" s="1"/>
      <c r="G9" s="2"/>
      <c r="H9" s="88">
        <f>H7*H8</f>
        <v>841451.74717606488</v>
      </c>
      <c r="I9" s="89" t="s">
        <v>54</v>
      </c>
      <c r="J9" s="2"/>
    </row>
    <row r="10" spans="1:11" ht="15" thickBot="1" x14ac:dyDescent="0.35">
      <c r="A10" s="3" t="s">
        <v>12</v>
      </c>
      <c r="B10" s="43">
        <v>2.4670000000000001E-2</v>
      </c>
      <c r="C10" s="1"/>
      <c r="D10" s="5" t="s">
        <v>15</v>
      </c>
      <c r="E10" s="1"/>
      <c r="F10" s="1"/>
      <c r="G10" s="2"/>
      <c r="H10" s="2"/>
      <c r="I10" s="2"/>
      <c r="J10" s="2"/>
    </row>
    <row r="11" spans="1:11" ht="15" thickBot="1" x14ac:dyDescent="0.35">
      <c r="A11" s="6" t="s">
        <v>13</v>
      </c>
      <c r="B11" s="44">
        <v>2.8049999999999999E-2</v>
      </c>
      <c r="C11" s="1"/>
      <c r="D11" s="1"/>
      <c r="E11" s="1"/>
      <c r="F11" s="1"/>
      <c r="G11" s="2"/>
      <c r="H11" s="2"/>
      <c r="I11" s="2"/>
      <c r="J11" s="2"/>
    </row>
    <row r="12" spans="1:11" ht="15" thickBot="1" x14ac:dyDescent="0.35">
      <c r="A12" s="48"/>
      <c r="B12" s="48"/>
      <c r="C12" s="66"/>
      <c r="D12" s="102" t="s">
        <v>56</v>
      </c>
      <c r="E12" s="103"/>
      <c r="F12" s="103"/>
      <c r="G12" s="104"/>
      <c r="H12" s="2"/>
      <c r="I12" s="2"/>
      <c r="J12" s="2"/>
    </row>
    <row r="13" spans="1:11" ht="15" thickBot="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1" s="1" customFormat="1" ht="41.4" x14ac:dyDescent="0.3">
      <c r="A14" s="68" t="s">
        <v>16</v>
      </c>
      <c r="B14" s="59" t="s">
        <v>44</v>
      </c>
      <c r="C14" s="59" t="s">
        <v>41</v>
      </c>
      <c r="D14" s="59" t="s">
        <v>40</v>
      </c>
      <c r="E14" s="59" t="s">
        <v>42</v>
      </c>
      <c r="F14" s="65" t="s">
        <v>43</v>
      </c>
      <c r="G14" s="59" t="s">
        <v>39</v>
      </c>
      <c r="H14" s="59" t="s">
        <v>45</v>
      </c>
      <c r="I14" s="59" t="s">
        <v>37</v>
      </c>
      <c r="J14" s="59" t="s">
        <v>38</v>
      </c>
      <c r="K14" s="60" t="s">
        <v>47</v>
      </c>
    </row>
    <row r="15" spans="1:11" s="1" customFormat="1" ht="13.8" x14ac:dyDescent="0.3">
      <c r="A15" s="74">
        <v>43917</v>
      </c>
      <c r="B15" s="8">
        <v>0</v>
      </c>
      <c r="C15" s="18"/>
      <c r="D15" s="8">
        <f>C18+C17+C16</f>
        <v>38120.523287671233</v>
      </c>
      <c r="E15" s="66">
        <v>0</v>
      </c>
      <c r="F15" s="8">
        <v>0</v>
      </c>
      <c r="G15" s="8">
        <v>0</v>
      </c>
      <c r="H15" s="22"/>
      <c r="I15" s="70">
        <f>G15*H15</f>
        <v>0</v>
      </c>
      <c r="J15" s="48"/>
      <c r="K15" s="49" t="s">
        <v>46</v>
      </c>
    </row>
    <row r="16" spans="1:11" s="1" customFormat="1" ht="13.8" x14ac:dyDescent="0.3">
      <c r="A16" s="74">
        <v>43888</v>
      </c>
      <c r="B16" s="8">
        <f>A16-A15</f>
        <v>-29</v>
      </c>
      <c r="C16" s="8">
        <f>B16*$E$3*$A$5/365*-1</f>
        <v>12148.298630136986</v>
      </c>
      <c r="D16" s="8"/>
      <c r="E16" s="66">
        <f t="shared" ref="E16:E47" si="0">E17+C16-D16</f>
        <v>38120.523287671225</v>
      </c>
      <c r="F16" s="8">
        <f t="shared" ref="F16:F48" si="1">E16+$E$3</f>
        <v>25521620.523287673</v>
      </c>
      <c r="G16" s="8">
        <f t="shared" ref="G16:G48" si="2">A15-$A$3</f>
        <v>1001</v>
      </c>
      <c r="H16" s="58">
        <f>1-POWER((1-$B$11),((G16-G17)/365))</f>
        <v>2.2579307814292182E-3</v>
      </c>
      <c r="I16" s="69">
        <v>0.5</v>
      </c>
      <c r="J16" s="71">
        <f>1/(1+$A$5)^(G16/360)</f>
        <v>0.98350408990927229</v>
      </c>
      <c r="K16" s="72">
        <f>F16*H16*I16*J16</f>
        <v>28337.729194692056</v>
      </c>
    </row>
    <row r="17" spans="1:11" s="1" customFormat="1" ht="13.8" x14ac:dyDescent="0.3">
      <c r="A17" s="74">
        <v>43857</v>
      </c>
      <c r="B17" s="8">
        <f t="shared" ref="B17:B48" si="3">A17-A16</f>
        <v>-31</v>
      </c>
      <c r="C17" s="8">
        <f t="shared" ref="C17:C48" si="4">B17*$E$3*$A$5/365*-1</f>
        <v>12986.112328767123</v>
      </c>
      <c r="D17" s="8"/>
      <c r="E17" s="66">
        <f t="shared" si="0"/>
        <v>25972.224657534243</v>
      </c>
      <c r="F17" s="8">
        <f t="shared" si="1"/>
        <v>25509472.224657536</v>
      </c>
      <c r="G17" s="8">
        <f t="shared" si="2"/>
        <v>972</v>
      </c>
      <c r="H17" s="58">
        <f t="shared" ref="H17:H24" si="5">1-POWER((1-$B$11),((G17-G18)/365))</f>
        <v>2.4134620878021318E-3</v>
      </c>
      <c r="I17" s="69">
        <v>0.5</v>
      </c>
      <c r="J17" s="71">
        <f t="shared" ref="J17:J48" si="6">1/(1+$A$5)^(G17/360)</f>
        <v>0.98397814402882633</v>
      </c>
      <c r="K17" s="72">
        <f t="shared" ref="K17:K48" si="7">F17*H17*I17*J17</f>
        <v>30289.870100338518</v>
      </c>
    </row>
    <row r="18" spans="1:11" s="1" customFormat="1" ht="13.8" x14ac:dyDescent="0.3">
      <c r="A18" s="74">
        <v>43826</v>
      </c>
      <c r="B18" s="8">
        <f t="shared" si="3"/>
        <v>-31</v>
      </c>
      <c r="C18" s="8">
        <f t="shared" si="4"/>
        <v>12986.112328767123</v>
      </c>
      <c r="D18" s="8">
        <f>C21+C20+C19</f>
        <v>38120.52328767124</v>
      </c>
      <c r="E18" s="66">
        <f t="shared" si="0"/>
        <v>12986.112328767122</v>
      </c>
      <c r="F18" s="8">
        <f t="shared" si="1"/>
        <v>25496486.112328768</v>
      </c>
      <c r="G18" s="8">
        <f t="shared" si="2"/>
        <v>941</v>
      </c>
      <c r="H18" s="58">
        <f t="shared" si="5"/>
        <v>2.4134620878021318E-3</v>
      </c>
      <c r="I18" s="69">
        <v>0.5</v>
      </c>
      <c r="J18" s="71">
        <f t="shared" si="6"/>
        <v>0.98448514421627087</v>
      </c>
      <c r="K18" s="72">
        <f t="shared" si="7"/>
        <v>30290.049508096708</v>
      </c>
    </row>
    <row r="19" spans="1:11" s="1" customFormat="1" ht="13.8" x14ac:dyDescent="0.3">
      <c r="A19" s="74">
        <v>43796</v>
      </c>
      <c r="B19" s="8">
        <f t="shared" si="3"/>
        <v>-30</v>
      </c>
      <c r="C19" s="8">
        <f t="shared" si="4"/>
        <v>12567.205479452055</v>
      </c>
      <c r="D19" s="8"/>
      <c r="E19" s="66">
        <f t="shared" si="0"/>
        <v>38120.52328767124</v>
      </c>
      <c r="F19" s="8">
        <f t="shared" si="1"/>
        <v>25521620.523287673</v>
      </c>
      <c r="G19" s="8">
        <f t="shared" si="2"/>
        <v>910</v>
      </c>
      <c r="H19" s="58">
        <f t="shared" si="5"/>
        <v>2.3356994654432084E-3</v>
      </c>
      <c r="I19" s="69">
        <v>0.5</v>
      </c>
      <c r="J19" s="71">
        <f t="shared" si="6"/>
        <v>0.98499240563836932</v>
      </c>
      <c r="K19" s="72">
        <f t="shared" si="7"/>
        <v>29358.110088021942</v>
      </c>
    </row>
    <row r="20" spans="1:11" s="1" customFormat="1" ht="13.8" x14ac:dyDescent="0.3">
      <c r="A20" s="74">
        <v>43765</v>
      </c>
      <c r="B20" s="8">
        <f t="shared" si="3"/>
        <v>-31</v>
      </c>
      <c r="C20" s="8">
        <f t="shared" si="4"/>
        <v>12986.112328767123</v>
      </c>
      <c r="D20" s="8"/>
      <c r="E20" s="66">
        <f t="shared" si="0"/>
        <v>25553.317808219181</v>
      </c>
      <c r="F20" s="8">
        <f t="shared" si="1"/>
        <v>25509053.317808218</v>
      </c>
      <c r="G20" s="8">
        <f t="shared" si="2"/>
        <v>880</v>
      </c>
      <c r="H20" s="58">
        <f t="shared" si="5"/>
        <v>2.4134620878021318E-3</v>
      </c>
      <c r="I20" s="69">
        <v>0.5</v>
      </c>
      <c r="J20" s="71">
        <f t="shared" si="6"/>
        <v>0.98548355264575394</v>
      </c>
      <c r="K20" s="72">
        <f t="shared" si="7"/>
        <v>30335.713032532851</v>
      </c>
    </row>
    <row r="21" spans="1:11" s="1" customFormat="1" ht="13.8" x14ac:dyDescent="0.3">
      <c r="A21" s="74">
        <v>43735</v>
      </c>
      <c r="B21" s="8">
        <f t="shared" si="3"/>
        <v>-30</v>
      </c>
      <c r="C21" s="8">
        <f t="shared" si="4"/>
        <v>12567.205479452055</v>
      </c>
      <c r="D21" s="8">
        <f>C24+C23+C22</f>
        <v>38539.430136986302</v>
      </c>
      <c r="E21" s="66">
        <f t="shared" si="0"/>
        <v>12567.205479452059</v>
      </c>
      <c r="F21" s="8">
        <f t="shared" si="1"/>
        <v>25496067.205479451</v>
      </c>
      <c r="G21" s="8">
        <f t="shared" si="2"/>
        <v>849</v>
      </c>
      <c r="H21" s="58">
        <f t="shared" si="5"/>
        <v>2.3356994654432084E-3</v>
      </c>
      <c r="I21" s="69">
        <v>0.5</v>
      </c>
      <c r="J21" s="71">
        <f t="shared" si="6"/>
        <v>0.98599132850332427</v>
      </c>
      <c r="K21" s="72">
        <f t="shared" si="7"/>
        <v>29358.459018770056</v>
      </c>
    </row>
    <row r="22" spans="1:11" s="1" customFormat="1" ht="13.8" x14ac:dyDescent="0.3">
      <c r="A22" s="74">
        <v>43704</v>
      </c>
      <c r="B22" s="8">
        <f t="shared" si="3"/>
        <v>-31</v>
      </c>
      <c r="C22" s="8">
        <f t="shared" si="4"/>
        <v>12986.112328767123</v>
      </c>
      <c r="D22" s="8"/>
      <c r="E22" s="66">
        <f t="shared" si="0"/>
        <v>38539.430136986302</v>
      </c>
      <c r="F22" s="8">
        <f t="shared" si="1"/>
        <v>25522039.430136986</v>
      </c>
      <c r="G22" s="8">
        <f t="shared" si="2"/>
        <v>819</v>
      </c>
      <c r="H22" s="58">
        <f t="shared" si="5"/>
        <v>2.4134620878021318E-3</v>
      </c>
      <c r="I22" s="69">
        <v>0.5</v>
      </c>
      <c r="J22" s="71">
        <f t="shared" si="6"/>
        <v>0.98648297360386483</v>
      </c>
      <c r="K22" s="72">
        <f t="shared" si="7"/>
        <v>30381.936697690926</v>
      </c>
    </row>
    <row r="23" spans="1:11" s="1" customFormat="1" ht="13.8" x14ac:dyDescent="0.3">
      <c r="A23" s="74">
        <v>43673</v>
      </c>
      <c r="B23" s="8">
        <f t="shared" si="3"/>
        <v>-31</v>
      </c>
      <c r="C23" s="8">
        <f t="shared" si="4"/>
        <v>12986.112328767123</v>
      </c>
      <c r="D23" s="8"/>
      <c r="E23" s="66">
        <f t="shared" si="0"/>
        <v>25553.317808219181</v>
      </c>
      <c r="F23" s="8">
        <f t="shared" si="1"/>
        <v>25509053.317808218</v>
      </c>
      <c r="G23" s="8">
        <f t="shared" si="2"/>
        <v>788</v>
      </c>
      <c r="H23" s="58">
        <f t="shared" si="5"/>
        <v>2.4134620878021318E-3</v>
      </c>
      <c r="I23" s="69">
        <v>0.5</v>
      </c>
      <c r="J23" s="71">
        <f t="shared" si="6"/>
        <v>0.98699126441861806</v>
      </c>
      <c r="K23" s="72">
        <f t="shared" si="7"/>
        <v>30382.124270502867</v>
      </c>
    </row>
    <row r="24" spans="1:11" s="1" customFormat="1" ht="13.8" x14ac:dyDescent="0.3">
      <c r="A24" s="74">
        <v>43643</v>
      </c>
      <c r="B24" s="8">
        <f t="shared" si="3"/>
        <v>-30</v>
      </c>
      <c r="C24" s="8">
        <f t="shared" si="4"/>
        <v>12567.205479452055</v>
      </c>
      <c r="D24" s="8">
        <f>C27+C26+C25</f>
        <v>38539.430136986302</v>
      </c>
      <c r="E24" s="66">
        <f t="shared" si="0"/>
        <v>12567.205479452059</v>
      </c>
      <c r="F24" s="8">
        <f t="shared" si="1"/>
        <v>25496067.205479451</v>
      </c>
      <c r="G24" s="8">
        <f t="shared" si="2"/>
        <v>757</v>
      </c>
      <c r="H24" s="58">
        <f t="shared" si="5"/>
        <v>2.3356994654432084E-3</v>
      </c>
      <c r="I24" s="69">
        <v>0.5</v>
      </c>
      <c r="J24" s="71">
        <f t="shared" si="6"/>
        <v>0.98749981713302826</v>
      </c>
      <c r="K24" s="72">
        <f t="shared" si="7"/>
        <v>29403.375135509814</v>
      </c>
    </row>
    <row r="25" spans="1:11" s="1" customFormat="1" ht="13.8" x14ac:dyDescent="0.3">
      <c r="A25" s="74">
        <v>43612</v>
      </c>
      <c r="B25" s="8">
        <f t="shared" si="3"/>
        <v>-31</v>
      </c>
      <c r="C25" s="8">
        <f t="shared" si="4"/>
        <v>12986.112328767123</v>
      </c>
      <c r="D25" s="8"/>
      <c r="E25" s="66">
        <f t="shared" si="0"/>
        <v>38539.430136986302</v>
      </c>
      <c r="F25" s="8">
        <f t="shared" si="1"/>
        <v>25522039.430136986</v>
      </c>
      <c r="G25" s="8">
        <f t="shared" si="2"/>
        <v>727</v>
      </c>
      <c r="H25" s="58">
        <f>1-POWER((1-$B$10),((G25-G26)/365))</f>
        <v>2.119289525425172E-3</v>
      </c>
      <c r="I25" s="69">
        <v>0.5</v>
      </c>
      <c r="J25" s="71">
        <f t="shared" si="6"/>
        <v>0.98799221441162821</v>
      </c>
      <c r="K25" s="72">
        <f t="shared" si="7"/>
        <v>26719.55331514619</v>
      </c>
    </row>
    <row r="26" spans="1:11" s="1" customFormat="1" ht="13.8" x14ac:dyDescent="0.3">
      <c r="A26" s="74">
        <v>43582</v>
      </c>
      <c r="B26" s="8">
        <f t="shared" si="3"/>
        <v>-30</v>
      </c>
      <c r="C26" s="8">
        <f t="shared" si="4"/>
        <v>12567.205479452055</v>
      </c>
      <c r="D26" s="8"/>
      <c r="E26" s="66">
        <f t="shared" si="0"/>
        <v>25553.317808219177</v>
      </c>
      <c r="F26" s="8">
        <f t="shared" si="1"/>
        <v>25509053.317808218</v>
      </c>
      <c r="G26" s="8">
        <f t="shared" si="2"/>
        <v>696</v>
      </c>
      <c r="H26" s="58">
        <f t="shared" ref="H26:H36" si="8">1-POWER((1-$B$10),((G26-G27)/365))</f>
        <v>2.0509955032755878E-3</v>
      </c>
      <c r="I26" s="69">
        <v>0.5</v>
      </c>
      <c r="J26" s="71">
        <f t="shared" si="6"/>
        <v>0.98850128287106498</v>
      </c>
      <c r="K26" s="72">
        <f t="shared" si="7"/>
        <v>25858.676399582884</v>
      </c>
    </row>
    <row r="27" spans="1:11" s="1" customFormat="1" ht="13.8" x14ac:dyDescent="0.3">
      <c r="A27" s="74">
        <v>43551</v>
      </c>
      <c r="B27" s="8">
        <f t="shared" si="3"/>
        <v>-31</v>
      </c>
      <c r="C27" s="8">
        <f t="shared" si="4"/>
        <v>12986.112328767123</v>
      </c>
      <c r="D27" s="8">
        <f>C30+C29+C28</f>
        <v>37701.616438356163</v>
      </c>
      <c r="E27" s="66">
        <f t="shared" si="0"/>
        <v>12986.112328767122</v>
      </c>
      <c r="F27" s="8">
        <f t="shared" si="1"/>
        <v>25496486.112328768</v>
      </c>
      <c r="G27" s="8">
        <f t="shared" si="2"/>
        <v>666</v>
      </c>
      <c r="H27" s="58">
        <f t="shared" si="8"/>
        <v>2.119289525425172E-3</v>
      </c>
      <c r="I27" s="69">
        <v>0.5</v>
      </c>
      <c r="J27" s="71">
        <f t="shared" si="6"/>
        <v>0.98899417951077417</v>
      </c>
      <c r="K27" s="72">
        <f t="shared" si="7"/>
        <v>26719.87132533568</v>
      </c>
    </row>
    <row r="28" spans="1:11" s="1" customFormat="1" ht="13.8" x14ac:dyDescent="0.3">
      <c r="A28" s="74">
        <v>43523</v>
      </c>
      <c r="B28" s="8">
        <f t="shared" si="3"/>
        <v>-28</v>
      </c>
      <c r="C28" s="8">
        <f t="shared" si="4"/>
        <v>11729.391780821918</v>
      </c>
      <c r="D28" s="8"/>
      <c r="E28" s="66">
        <f t="shared" si="0"/>
        <v>37701.616438356163</v>
      </c>
      <c r="F28" s="8">
        <f t="shared" si="1"/>
        <v>25521201.616438355</v>
      </c>
      <c r="G28" s="8">
        <f t="shared" si="2"/>
        <v>635</v>
      </c>
      <c r="H28" s="58">
        <f t="shared" si="8"/>
        <v>1.9143934367193971E-3</v>
      </c>
      <c r="I28" s="69">
        <v>0.5</v>
      </c>
      <c r="J28" s="71">
        <f t="shared" si="6"/>
        <v>0.98950376423827657</v>
      </c>
      <c r="K28" s="72">
        <f t="shared" si="7"/>
        <v>24172.399882137885</v>
      </c>
    </row>
    <row r="29" spans="1:11" s="1" customFormat="1" ht="13.8" x14ac:dyDescent="0.3">
      <c r="A29" s="74">
        <v>43492</v>
      </c>
      <c r="B29" s="8">
        <f t="shared" si="3"/>
        <v>-31</v>
      </c>
      <c r="C29" s="8">
        <f t="shared" si="4"/>
        <v>12986.112328767123</v>
      </c>
      <c r="D29" s="8"/>
      <c r="E29" s="66">
        <f t="shared" si="0"/>
        <v>25972.224657534243</v>
      </c>
      <c r="F29" s="8">
        <f t="shared" si="1"/>
        <v>25509472.224657536</v>
      </c>
      <c r="G29" s="8">
        <f t="shared" si="2"/>
        <v>607</v>
      </c>
      <c r="H29" s="58">
        <f t="shared" si="8"/>
        <v>2.119289525425172E-3</v>
      </c>
      <c r="I29" s="69">
        <v>0.5</v>
      </c>
      <c r="J29" s="71">
        <f t="shared" si="6"/>
        <v>0.98996425999236126</v>
      </c>
      <c r="K29" s="72">
        <f t="shared" si="7"/>
        <v>26759.70276861317</v>
      </c>
    </row>
    <row r="30" spans="1:11" s="1" customFormat="1" ht="13.8" x14ac:dyDescent="0.3">
      <c r="A30" s="74">
        <v>43461</v>
      </c>
      <c r="B30" s="8">
        <f t="shared" si="3"/>
        <v>-31</v>
      </c>
      <c r="C30" s="8">
        <f t="shared" si="4"/>
        <v>12986.112328767123</v>
      </c>
      <c r="D30" s="8">
        <f>C33+C32+C31</f>
        <v>38120.52328767124</v>
      </c>
      <c r="E30" s="66">
        <f t="shared" si="0"/>
        <v>12986.112328767122</v>
      </c>
      <c r="F30" s="8">
        <f t="shared" si="1"/>
        <v>25496486.112328768</v>
      </c>
      <c r="G30" s="8">
        <f t="shared" si="2"/>
        <v>576</v>
      </c>
      <c r="H30" s="58">
        <f t="shared" si="8"/>
        <v>2.119289525425172E-3</v>
      </c>
      <c r="I30" s="69">
        <v>0.5</v>
      </c>
      <c r="J30" s="71">
        <f t="shared" si="6"/>
        <v>0.99047434455920358</v>
      </c>
      <c r="K30" s="72">
        <f t="shared" si="7"/>
        <v>26759.861267090298</v>
      </c>
    </row>
    <row r="31" spans="1:11" s="1" customFormat="1" ht="13.8" x14ac:dyDescent="0.3">
      <c r="A31" s="74">
        <v>43431</v>
      </c>
      <c r="B31" s="8">
        <f t="shared" si="3"/>
        <v>-30</v>
      </c>
      <c r="C31" s="8">
        <f t="shared" si="4"/>
        <v>12567.205479452055</v>
      </c>
      <c r="D31" s="8"/>
      <c r="E31" s="66">
        <f t="shared" si="0"/>
        <v>38120.52328767124</v>
      </c>
      <c r="F31" s="8">
        <f t="shared" si="1"/>
        <v>25521620.523287673</v>
      </c>
      <c r="G31" s="8">
        <f t="shared" si="2"/>
        <v>545</v>
      </c>
      <c r="H31" s="58">
        <f t="shared" si="8"/>
        <v>2.0509955032755878E-3</v>
      </c>
      <c r="I31" s="69">
        <v>0.5</v>
      </c>
      <c r="J31" s="71">
        <f t="shared" si="6"/>
        <v>0.99098469194994376</v>
      </c>
      <c r="K31" s="72">
        <f t="shared" si="7"/>
        <v>25936.412536736108</v>
      </c>
    </row>
    <row r="32" spans="1:11" s="1" customFormat="1" ht="13.8" x14ac:dyDescent="0.3">
      <c r="A32" s="74">
        <v>43400</v>
      </c>
      <c r="B32" s="8">
        <f t="shared" si="3"/>
        <v>-31</v>
      </c>
      <c r="C32" s="8">
        <f t="shared" si="4"/>
        <v>12986.112328767123</v>
      </c>
      <c r="D32" s="8"/>
      <c r="E32" s="66">
        <f t="shared" si="0"/>
        <v>25553.317808219181</v>
      </c>
      <c r="F32" s="8">
        <f t="shared" si="1"/>
        <v>25509053.317808218</v>
      </c>
      <c r="G32" s="8">
        <f t="shared" si="2"/>
        <v>515</v>
      </c>
      <c r="H32" s="58">
        <f t="shared" si="8"/>
        <v>2.119289525425172E-3</v>
      </c>
      <c r="I32" s="69">
        <v>0.5</v>
      </c>
      <c r="J32" s="71">
        <f t="shared" si="6"/>
        <v>0.9914788268925373</v>
      </c>
      <c r="K32" s="72">
        <f t="shared" si="7"/>
        <v>26800.202884179798</v>
      </c>
    </row>
    <row r="33" spans="1:13" s="1" customFormat="1" ht="13.8" x14ac:dyDescent="0.3">
      <c r="A33" s="74">
        <v>43370</v>
      </c>
      <c r="B33" s="8">
        <f t="shared" si="3"/>
        <v>-30</v>
      </c>
      <c r="C33" s="8">
        <f t="shared" si="4"/>
        <v>12567.205479452055</v>
      </c>
      <c r="D33" s="8">
        <f>C36+C35+C34</f>
        <v>38539.430136986302</v>
      </c>
      <c r="E33" s="66">
        <f t="shared" si="0"/>
        <v>12567.205479452059</v>
      </c>
      <c r="F33" s="8">
        <f t="shared" si="1"/>
        <v>25496067.205479451</v>
      </c>
      <c r="G33" s="8">
        <f t="shared" si="2"/>
        <v>484</v>
      </c>
      <c r="H33" s="58">
        <f t="shared" si="8"/>
        <v>2.0509955032755878E-3</v>
      </c>
      <c r="I33" s="69">
        <v>0.5</v>
      </c>
      <c r="J33" s="71">
        <f t="shared" si="6"/>
        <v>0.99198969184836194</v>
      </c>
      <c r="K33" s="72">
        <f t="shared" si="7"/>
        <v>25936.720799488812</v>
      </c>
    </row>
    <row r="34" spans="1:13" s="1" customFormat="1" ht="13.8" x14ac:dyDescent="0.3">
      <c r="A34" s="74">
        <v>43339</v>
      </c>
      <c r="B34" s="8">
        <f t="shared" si="3"/>
        <v>-31</v>
      </c>
      <c r="C34" s="8">
        <f t="shared" si="4"/>
        <v>12986.112328767123</v>
      </c>
      <c r="D34" s="8"/>
      <c r="E34" s="66">
        <f t="shared" si="0"/>
        <v>38539.430136986302</v>
      </c>
      <c r="F34" s="8">
        <f t="shared" si="1"/>
        <v>25522039.430136986</v>
      </c>
      <c r="G34" s="8">
        <f t="shared" si="2"/>
        <v>454</v>
      </c>
      <c r="H34" s="58">
        <f t="shared" si="8"/>
        <v>2.119289525425172E-3</v>
      </c>
      <c r="I34" s="69">
        <v>0.5</v>
      </c>
      <c r="J34" s="71">
        <f t="shared" si="6"/>
        <v>0.99248432791430408</v>
      </c>
      <c r="K34" s="72">
        <f t="shared" si="7"/>
        <v>26841.039359754261</v>
      </c>
    </row>
    <row r="35" spans="1:13" s="1" customFormat="1" ht="13.8" x14ac:dyDescent="0.3">
      <c r="A35" s="74">
        <v>43308</v>
      </c>
      <c r="B35" s="8">
        <f t="shared" si="3"/>
        <v>-31</v>
      </c>
      <c r="C35" s="8">
        <f t="shared" si="4"/>
        <v>12986.112328767123</v>
      </c>
      <c r="D35" s="8"/>
      <c r="E35" s="66">
        <f t="shared" si="0"/>
        <v>25553.317808219181</v>
      </c>
      <c r="F35" s="8">
        <f t="shared" si="1"/>
        <v>25509053.317808218</v>
      </c>
      <c r="G35" s="8">
        <f t="shared" si="2"/>
        <v>423</v>
      </c>
      <c r="H35" s="58">
        <f t="shared" si="8"/>
        <v>2.119289525425172E-3</v>
      </c>
      <c r="I35" s="69">
        <v>0.5</v>
      </c>
      <c r="J35" s="71">
        <f t="shared" si="6"/>
        <v>0.99299571096009798</v>
      </c>
      <c r="K35" s="72">
        <f t="shared" si="7"/>
        <v>26841.205071679677</v>
      </c>
    </row>
    <row r="36" spans="1:13" s="1" customFormat="1" ht="13.8" x14ac:dyDescent="0.3">
      <c r="A36" s="74">
        <v>43278</v>
      </c>
      <c r="B36" s="8">
        <f t="shared" si="3"/>
        <v>-30</v>
      </c>
      <c r="C36" s="8">
        <f t="shared" si="4"/>
        <v>12567.205479452055</v>
      </c>
      <c r="D36" s="8">
        <f>C39+C38+C37</f>
        <v>38539.430136986302</v>
      </c>
      <c r="E36" s="66">
        <f t="shared" si="0"/>
        <v>12567.205479452059</v>
      </c>
      <c r="F36" s="8">
        <f t="shared" si="1"/>
        <v>25496067.205479451</v>
      </c>
      <c r="G36" s="8">
        <f t="shared" si="2"/>
        <v>392</v>
      </c>
      <c r="H36" s="58">
        <f t="shared" si="8"/>
        <v>2.0509955032755878E-3</v>
      </c>
      <c r="I36" s="69">
        <v>0.5</v>
      </c>
      <c r="J36" s="71">
        <f t="shared" si="6"/>
        <v>0.99350735749883823</v>
      </c>
      <c r="K36" s="72">
        <f t="shared" si="7"/>
        <v>25976.401927797746</v>
      </c>
    </row>
    <row r="37" spans="1:13" s="1" customFormat="1" ht="13.8" x14ac:dyDescent="0.3">
      <c r="A37" s="74">
        <v>43247</v>
      </c>
      <c r="B37" s="8">
        <f t="shared" si="3"/>
        <v>-31</v>
      </c>
      <c r="C37" s="8">
        <f t="shared" si="4"/>
        <v>12986.112328767123</v>
      </c>
      <c r="D37" s="8"/>
      <c r="E37" s="66">
        <f t="shared" si="0"/>
        <v>38539.430136986302</v>
      </c>
      <c r="F37" s="8">
        <f t="shared" si="1"/>
        <v>25522039.430136986</v>
      </c>
      <c r="G37" s="8">
        <f t="shared" si="2"/>
        <v>362</v>
      </c>
      <c r="H37" s="58">
        <f>1-POWER((1-$B$9),((G37-G38)/365))</f>
        <v>1.7342760213537867E-3</v>
      </c>
      <c r="I37" s="69">
        <v>0.5</v>
      </c>
      <c r="J37" s="71">
        <f t="shared" si="6"/>
        <v>0.99400275031877983</v>
      </c>
      <c r="K37" s="72">
        <f t="shared" si="7"/>
        <v>21998.404584530854</v>
      </c>
    </row>
    <row r="38" spans="1:13" s="1" customFormat="1" ht="13.8" x14ac:dyDescent="0.3">
      <c r="A38" s="74">
        <v>43217</v>
      </c>
      <c r="B38" s="8">
        <f t="shared" si="3"/>
        <v>-30</v>
      </c>
      <c r="C38" s="8">
        <f t="shared" si="4"/>
        <v>12567.205479452055</v>
      </c>
      <c r="D38" s="8"/>
      <c r="E38" s="66">
        <f t="shared" si="0"/>
        <v>25553.317808219177</v>
      </c>
      <c r="F38" s="8">
        <f t="shared" si="1"/>
        <v>25509053.317808218</v>
      </c>
      <c r="G38" s="8">
        <f t="shared" si="2"/>
        <v>331</v>
      </c>
      <c r="H38" s="58">
        <f t="shared" ref="H38:H47" si="9">1-POWER((1-$B$9),((G38-G39)/365))</f>
        <v>1.6783786082257279E-3</v>
      </c>
      <c r="I38" s="69">
        <v>0.5</v>
      </c>
      <c r="J38" s="71">
        <f t="shared" si="6"/>
        <v>0.99451491574012596</v>
      </c>
      <c r="K38" s="72">
        <f t="shared" si="7"/>
        <v>21289.505916612256</v>
      </c>
    </row>
    <row r="39" spans="1:13" s="1" customFormat="1" ht="13.8" x14ac:dyDescent="0.3">
      <c r="A39" s="74">
        <v>43186</v>
      </c>
      <c r="B39" s="8">
        <f t="shared" si="3"/>
        <v>-31</v>
      </c>
      <c r="C39" s="8">
        <f t="shared" si="4"/>
        <v>12986.112328767123</v>
      </c>
      <c r="D39" s="8">
        <f>C42+C41+C40</f>
        <v>37701.616438356163</v>
      </c>
      <c r="E39" s="66">
        <f t="shared" si="0"/>
        <v>12986.112328767122</v>
      </c>
      <c r="F39" s="8">
        <f t="shared" si="1"/>
        <v>25496486.112328768</v>
      </c>
      <c r="G39" s="8">
        <f t="shared" si="2"/>
        <v>301</v>
      </c>
      <c r="H39" s="58">
        <f t="shared" si="9"/>
        <v>1.7342760213537867E-3</v>
      </c>
      <c r="I39" s="69">
        <v>0.5</v>
      </c>
      <c r="J39" s="71">
        <f t="shared" si="6"/>
        <v>0.99501081095908295</v>
      </c>
      <c r="K39" s="72">
        <f t="shared" si="7"/>
        <v>21998.666404656651</v>
      </c>
    </row>
    <row r="40" spans="1:13" s="1" customFormat="1" ht="13.8" x14ac:dyDescent="0.3">
      <c r="A40" s="74">
        <v>43158</v>
      </c>
      <c r="B40" s="8">
        <f t="shared" si="3"/>
        <v>-28</v>
      </c>
      <c r="C40" s="8">
        <f t="shared" si="4"/>
        <v>11729.391780821918</v>
      </c>
      <c r="D40" s="8"/>
      <c r="E40" s="66">
        <f t="shared" si="0"/>
        <v>37701.616438356163</v>
      </c>
      <c r="F40" s="8">
        <f t="shared" si="1"/>
        <v>25521201.616438355</v>
      </c>
      <c r="G40" s="8">
        <f t="shared" si="2"/>
        <v>270</v>
      </c>
      <c r="H40" s="58">
        <f t="shared" si="9"/>
        <v>1.5665743919472952E-3</v>
      </c>
      <c r="I40" s="69">
        <v>0.5</v>
      </c>
      <c r="J40" s="71">
        <f t="shared" si="6"/>
        <v>0.99552349578925603</v>
      </c>
      <c r="K40" s="72">
        <f t="shared" si="7"/>
        <v>19900.943205925079</v>
      </c>
    </row>
    <row r="41" spans="1:13" s="1" customFormat="1" ht="13.8" x14ac:dyDescent="0.3">
      <c r="A41" s="74">
        <v>43127</v>
      </c>
      <c r="B41" s="8">
        <f t="shared" si="3"/>
        <v>-31</v>
      </c>
      <c r="C41" s="8">
        <f t="shared" si="4"/>
        <v>12986.112328767123</v>
      </c>
      <c r="D41" s="8"/>
      <c r="E41" s="66">
        <f t="shared" si="0"/>
        <v>25972.224657534243</v>
      </c>
      <c r="F41" s="8">
        <f t="shared" si="1"/>
        <v>25509472.224657536</v>
      </c>
      <c r="G41" s="8">
        <f t="shared" si="2"/>
        <v>242</v>
      </c>
      <c r="H41" s="58">
        <f t="shared" si="9"/>
        <v>1.7342760213537867E-3</v>
      </c>
      <c r="I41" s="69">
        <v>0.5</v>
      </c>
      <c r="J41" s="71">
        <f t="shared" si="6"/>
        <v>0.99598679300900472</v>
      </c>
      <c r="K41" s="72">
        <f t="shared" si="7"/>
        <v>22031.459924595751</v>
      </c>
    </row>
    <row r="42" spans="1:13" s="1" customFormat="1" ht="13.8" x14ac:dyDescent="0.3">
      <c r="A42" s="74">
        <v>43096</v>
      </c>
      <c r="B42" s="8">
        <f t="shared" si="3"/>
        <v>-31</v>
      </c>
      <c r="C42" s="8">
        <f t="shared" si="4"/>
        <v>12986.112328767123</v>
      </c>
      <c r="D42" s="8">
        <f>C45+C44+C43</f>
        <v>38120.52328767124</v>
      </c>
      <c r="E42" s="66">
        <f t="shared" si="0"/>
        <v>12986.112328767122</v>
      </c>
      <c r="F42" s="8">
        <f t="shared" si="1"/>
        <v>25496486.112328768</v>
      </c>
      <c r="G42" s="8">
        <f t="shared" si="2"/>
        <v>211</v>
      </c>
      <c r="H42" s="58">
        <f t="shared" si="9"/>
        <v>1.7342760213537867E-3</v>
      </c>
      <c r="I42" s="69">
        <v>0.5</v>
      </c>
      <c r="J42" s="71">
        <f t="shared" si="6"/>
        <v>0.99649998071933354</v>
      </c>
      <c r="K42" s="72">
        <f t="shared" si="7"/>
        <v>22031.59041755665</v>
      </c>
    </row>
    <row r="43" spans="1:13" s="1" customFormat="1" ht="13.8" x14ac:dyDescent="0.3">
      <c r="A43" s="74">
        <v>43066</v>
      </c>
      <c r="B43" s="8">
        <f t="shared" si="3"/>
        <v>-30</v>
      </c>
      <c r="C43" s="8">
        <f t="shared" si="4"/>
        <v>12567.205479452055</v>
      </c>
      <c r="D43" s="8"/>
      <c r="E43" s="66">
        <f t="shared" si="0"/>
        <v>38120.52328767124</v>
      </c>
      <c r="F43" s="8">
        <f t="shared" si="1"/>
        <v>25521620.523287673</v>
      </c>
      <c r="G43" s="8">
        <f t="shared" si="2"/>
        <v>180</v>
      </c>
      <c r="H43" s="58">
        <f t="shared" si="9"/>
        <v>1.6783786082257279E-3</v>
      </c>
      <c r="I43" s="69">
        <v>0.5</v>
      </c>
      <c r="J43" s="71">
        <f t="shared" si="6"/>
        <v>0.99701343285247179</v>
      </c>
      <c r="K43" s="72">
        <f t="shared" si="7"/>
        <v>21353.506251597872</v>
      </c>
    </row>
    <row r="44" spans="1:13" s="1" customFormat="1" ht="13.8" x14ac:dyDescent="0.3">
      <c r="A44" s="74">
        <v>43035</v>
      </c>
      <c r="B44" s="8">
        <f t="shared" si="3"/>
        <v>-31</v>
      </c>
      <c r="C44" s="8">
        <f t="shared" si="4"/>
        <v>12986.112328767123</v>
      </c>
      <c r="D44" s="8"/>
      <c r="E44" s="66">
        <f t="shared" si="0"/>
        <v>25553.317808219181</v>
      </c>
      <c r="F44" s="8">
        <f t="shared" si="1"/>
        <v>25509053.317808218</v>
      </c>
      <c r="G44" s="8">
        <f t="shared" si="2"/>
        <v>150</v>
      </c>
      <c r="H44" s="58">
        <f t="shared" si="9"/>
        <v>1.7342760213537867E-3</v>
      </c>
      <c r="I44" s="69">
        <v>0.5</v>
      </c>
      <c r="J44" s="71">
        <f t="shared" si="6"/>
        <v>0.99751057390763598</v>
      </c>
      <c r="K44" s="72">
        <f t="shared" si="7"/>
        <v>22064.803967344025</v>
      </c>
    </row>
    <row r="45" spans="1:13" s="1" customFormat="1" ht="13.8" x14ac:dyDescent="0.3">
      <c r="A45" s="74">
        <v>43005</v>
      </c>
      <c r="B45" s="8">
        <f t="shared" si="3"/>
        <v>-30</v>
      </c>
      <c r="C45" s="8">
        <f t="shared" si="4"/>
        <v>12567.205479452055</v>
      </c>
      <c r="D45" s="8">
        <f>C48+C47+C46</f>
        <v>37282.709589041093</v>
      </c>
      <c r="E45" s="66">
        <f t="shared" si="0"/>
        <v>12567.205479452059</v>
      </c>
      <c r="F45" s="8">
        <f t="shared" si="1"/>
        <v>25496067.205479451</v>
      </c>
      <c r="G45" s="8">
        <f t="shared" si="2"/>
        <v>119</v>
      </c>
      <c r="H45" s="58">
        <f t="shared" si="9"/>
        <v>1.6783786082257279E-3</v>
      </c>
      <c r="I45" s="69">
        <v>0.5</v>
      </c>
      <c r="J45" s="71">
        <f t="shared" si="6"/>
        <v>0.9980245467545108</v>
      </c>
      <c r="K45" s="72">
        <f t="shared" si="7"/>
        <v>21353.760045009269</v>
      </c>
      <c r="M45" s="73"/>
    </row>
    <row r="46" spans="1:13" s="1" customFormat="1" ht="13.8" x14ac:dyDescent="0.3">
      <c r="A46" s="74">
        <v>42974</v>
      </c>
      <c r="B46" s="8">
        <f t="shared" si="3"/>
        <v>-31</v>
      </c>
      <c r="C46" s="8">
        <f t="shared" si="4"/>
        <v>12986.112328767123</v>
      </c>
      <c r="D46" s="8"/>
      <c r="E46" s="66">
        <f t="shared" si="0"/>
        <v>37282.709589041093</v>
      </c>
      <c r="F46" s="8">
        <f t="shared" si="1"/>
        <v>25520782.709589042</v>
      </c>
      <c r="G46" s="8">
        <f t="shared" si="2"/>
        <v>89</v>
      </c>
      <c r="H46" s="58">
        <f t="shared" si="9"/>
        <v>1.7342760213537867E-3</v>
      </c>
      <c r="I46" s="69">
        <v>0.5</v>
      </c>
      <c r="J46" s="71">
        <f t="shared" si="6"/>
        <v>0.99852219198165049</v>
      </c>
      <c r="K46" s="72">
        <f t="shared" si="7"/>
        <v>22097.336798043973</v>
      </c>
      <c r="M46" s="73"/>
    </row>
    <row r="47" spans="1:13" s="1" customFormat="1" ht="13.8" x14ac:dyDescent="0.3">
      <c r="A47" s="74">
        <v>42943</v>
      </c>
      <c r="B47" s="8">
        <f t="shared" si="3"/>
        <v>-31</v>
      </c>
      <c r="C47" s="8">
        <f t="shared" si="4"/>
        <v>12986.112328767123</v>
      </c>
      <c r="D47" s="8"/>
      <c r="E47" s="66">
        <f t="shared" si="0"/>
        <v>24296.597260273971</v>
      </c>
      <c r="F47" s="8">
        <f t="shared" si="1"/>
        <v>25507796.597260274</v>
      </c>
      <c r="G47" s="8">
        <f t="shared" si="2"/>
        <v>58</v>
      </c>
      <c r="H47" s="58">
        <f t="shared" si="9"/>
        <v>1.7342760213537867E-3</v>
      </c>
      <c r="I47" s="69">
        <v>0.5</v>
      </c>
      <c r="J47" s="71">
        <f t="shared" si="6"/>
        <v>0.9990366860703398</v>
      </c>
      <c r="K47" s="72">
        <f t="shared" si="7"/>
        <v>22097.472669219846</v>
      </c>
      <c r="M47" s="73"/>
    </row>
    <row r="48" spans="1:13" s="1" customFormat="1" ht="13.8" x14ac:dyDescent="0.3">
      <c r="A48" s="74">
        <v>42916</v>
      </c>
      <c r="B48" s="8">
        <f t="shared" si="3"/>
        <v>-27</v>
      </c>
      <c r="C48" s="8">
        <f t="shared" si="4"/>
        <v>11310.48493150685</v>
      </c>
      <c r="D48" s="8"/>
      <c r="E48" s="66">
        <f>C48</f>
        <v>11310.48493150685</v>
      </c>
      <c r="F48" s="8">
        <f t="shared" si="1"/>
        <v>25494810.484931506</v>
      </c>
      <c r="G48" s="8">
        <f t="shared" si="2"/>
        <v>27</v>
      </c>
      <c r="H48" s="58">
        <f>1-POWER((1-$B$9),((G48-G49)/365))</f>
        <v>1.5106675884464238E-3</v>
      </c>
      <c r="I48" s="69">
        <v>0.5</v>
      </c>
      <c r="J48" s="71">
        <f t="shared" si="6"/>
        <v>0.99955144525495698</v>
      </c>
      <c r="K48" s="72">
        <f t="shared" si="7"/>
        <v>19248.454076621154</v>
      </c>
    </row>
    <row r="49" spans="1:11" ht="15" thickBot="1" x14ac:dyDescent="0.35">
      <c r="A49" s="3"/>
      <c r="B49" s="8"/>
      <c r="C49" s="8"/>
      <c r="D49" s="8"/>
      <c r="E49" s="63"/>
      <c r="F49" s="7"/>
      <c r="G49" s="8"/>
      <c r="H49" s="22"/>
      <c r="I49" s="8"/>
      <c r="J49" s="61"/>
      <c r="K49" s="62"/>
    </row>
    <row r="50" spans="1:11" ht="15" thickBot="1" x14ac:dyDescent="0.35">
      <c r="A50" s="6"/>
      <c r="B50" s="23"/>
      <c r="C50" s="24"/>
      <c r="D50" s="9"/>
      <c r="E50" s="10"/>
      <c r="F50" s="10"/>
      <c r="G50" s="64"/>
      <c r="H50" s="11"/>
      <c r="I50" s="75" t="s">
        <v>17</v>
      </c>
      <c r="J50" s="76"/>
      <c r="K50" s="77">
        <f>SUM(K16:K48)</f>
        <v>840925.31884541153</v>
      </c>
    </row>
    <row r="51" spans="1:11" ht="5.4" customHeight="1" thickBot="1" x14ac:dyDescent="0.35">
      <c r="A51" s="13"/>
      <c r="B51" s="12"/>
      <c r="C51" s="14"/>
      <c r="D51" s="14"/>
      <c r="E51" s="14"/>
      <c r="F51" s="13"/>
      <c r="G51" s="13"/>
      <c r="H51" s="15"/>
      <c r="I51" s="15"/>
      <c r="J51" s="15"/>
    </row>
    <row r="52" spans="1:11" ht="15" thickBot="1" x14ac:dyDescent="0.35">
      <c r="A52" s="105" t="s">
        <v>34</v>
      </c>
      <c r="B52" s="106"/>
      <c r="C52" s="106"/>
      <c r="D52" s="106"/>
      <c r="E52" s="106"/>
      <c r="F52" s="106"/>
      <c r="G52" s="106"/>
      <c r="H52" s="106"/>
      <c r="I52" s="106"/>
      <c r="J52" s="107"/>
    </row>
    <row r="53" spans="1:11" ht="15" thickBot="1" x14ac:dyDescent="0.35">
      <c r="A53" s="39" t="s">
        <v>18</v>
      </c>
      <c r="B53" s="41" t="s">
        <v>29</v>
      </c>
      <c r="C53" s="40">
        <v>1</v>
      </c>
      <c r="D53" s="40">
        <v>2</v>
      </c>
      <c r="E53" s="40">
        <v>3</v>
      </c>
      <c r="F53" s="40">
        <v>4</v>
      </c>
      <c r="G53" s="40">
        <v>5</v>
      </c>
      <c r="H53" s="40">
        <v>6</v>
      </c>
      <c r="I53" s="40">
        <v>7</v>
      </c>
      <c r="J53" s="41">
        <v>8</v>
      </c>
    </row>
    <row r="54" spans="1:11" x14ac:dyDescent="0.3">
      <c r="A54" s="27">
        <v>10</v>
      </c>
      <c r="B54" s="26" t="s">
        <v>19</v>
      </c>
      <c r="C54" s="28">
        <v>5.2900000000000004E-3</v>
      </c>
      <c r="D54" s="28">
        <v>6.202E-3</v>
      </c>
      <c r="E54" s="28">
        <v>7.1139999999999997E-3</v>
      </c>
      <c r="F54" s="28">
        <v>8.0260000000000001E-3</v>
      </c>
      <c r="G54" s="28">
        <v>8.9379999999999998E-3</v>
      </c>
      <c r="H54" s="28">
        <v>9.8499999999999994E-3</v>
      </c>
      <c r="I54" s="28">
        <v>1.0761999999999999E-2</v>
      </c>
      <c r="J54" s="29">
        <v>1.1673999999999999E-2</v>
      </c>
    </row>
    <row r="55" spans="1:11" x14ac:dyDescent="0.3">
      <c r="A55" s="27">
        <v>11</v>
      </c>
      <c r="B55" s="26" t="s">
        <v>20</v>
      </c>
      <c r="C55" s="28">
        <v>8.2199999999999999E-3</v>
      </c>
      <c r="D55" s="28">
        <v>9.4039999999999992E-3</v>
      </c>
      <c r="E55" s="28">
        <v>1.0588E-2</v>
      </c>
      <c r="F55" s="28">
        <v>1.1772000000000001E-2</v>
      </c>
      <c r="G55" s="28">
        <v>1.2956000000000002E-2</v>
      </c>
      <c r="H55" s="28">
        <v>1.4140000000000003E-2</v>
      </c>
      <c r="I55" s="28">
        <v>1.5324000000000004E-2</v>
      </c>
      <c r="J55" s="29">
        <v>1.6508000000000005E-2</v>
      </c>
    </row>
    <row r="56" spans="1:11" x14ac:dyDescent="0.3">
      <c r="A56" s="27">
        <v>12</v>
      </c>
      <c r="B56" s="26">
        <v>5</v>
      </c>
      <c r="C56" s="28">
        <v>1.278E-2</v>
      </c>
      <c r="D56" s="28">
        <v>1.404E-2</v>
      </c>
      <c r="E56" s="28">
        <v>1.5300000000000001E-2</v>
      </c>
      <c r="F56" s="28">
        <v>1.6560000000000002E-2</v>
      </c>
      <c r="G56" s="28">
        <v>1.7820000000000003E-2</v>
      </c>
      <c r="H56" s="28">
        <v>1.9080000000000003E-2</v>
      </c>
      <c r="I56" s="28">
        <v>2.0340000000000004E-2</v>
      </c>
      <c r="J56" s="29">
        <v>2.1600000000000005E-2</v>
      </c>
    </row>
    <row r="57" spans="1:11" x14ac:dyDescent="0.3">
      <c r="A57" s="30">
        <v>13</v>
      </c>
      <c r="B57" s="26" t="s">
        <v>21</v>
      </c>
      <c r="C57" s="31">
        <v>1.9869999999999999E-2</v>
      </c>
      <c r="D57" s="31">
        <v>2.1044E-2</v>
      </c>
      <c r="E57" s="31">
        <v>2.2218000000000002E-2</v>
      </c>
      <c r="F57" s="32">
        <v>2.3392000000000003E-2</v>
      </c>
      <c r="G57" s="28">
        <v>2.4566000000000004E-2</v>
      </c>
      <c r="H57" s="28">
        <v>2.5740000000000006E-2</v>
      </c>
      <c r="I57" s="28">
        <v>2.6914000000000007E-2</v>
      </c>
      <c r="J57" s="29">
        <v>2.8088000000000009E-2</v>
      </c>
    </row>
    <row r="58" spans="1:11" ht="15" thickBot="1" x14ac:dyDescent="0.35">
      <c r="A58" s="33">
        <v>14</v>
      </c>
      <c r="B58" s="42" t="s">
        <v>22</v>
      </c>
      <c r="C58" s="34">
        <v>3.0088E-2</v>
      </c>
      <c r="D58" s="34">
        <v>3.0662200000000001E-2</v>
      </c>
      <c r="E58" s="34">
        <v>3.1236400000000001E-2</v>
      </c>
      <c r="F58" s="34">
        <v>3.1810600000000001E-2</v>
      </c>
      <c r="G58" s="34">
        <v>3.2384799999999998E-2</v>
      </c>
      <c r="H58" s="34">
        <v>3.2958999999999995E-2</v>
      </c>
      <c r="I58" s="34">
        <v>3.3533199999999992E-2</v>
      </c>
      <c r="J58" s="35">
        <v>3.4107399999999989E-2</v>
      </c>
    </row>
    <row r="59" spans="1:11" ht="12.6" customHeight="1" x14ac:dyDescent="0.3">
      <c r="A59" s="16"/>
      <c r="B59" s="16"/>
      <c r="C59" s="17"/>
      <c r="D59" s="17"/>
      <c r="E59" s="17"/>
      <c r="F59" s="17"/>
      <c r="G59" s="17"/>
      <c r="H59" s="17"/>
      <c r="I59" s="17"/>
      <c r="J59" s="17"/>
    </row>
    <row r="60" spans="1:11" ht="46.8" customHeight="1" x14ac:dyDescent="0.3">
      <c r="A60" s="19" t="s">
        <v>30</v>
      </c>
      <c r="B60" s="20"/>
      <c r="C60" s="20"/>
      <c r="D60" s="20"/>
      <c r="E60" s="20"/>
      <c r="F60" s="20"/>
      <c r="G60" s="20"/>
      <c r="H60" s="25" t="s">
        <v>31</v>
      </c>
      <c r="I60" s="20"/>
      <c r="J60" s="67" t="s">
        <v>36</v>
      </c>
    </row>
    <row r="61" spans="1:11" ht="16.2" thickBot="1" x14ac:dyDescent="0.35">
      <c r="A61" s="19"/>
      <c r="B61" s="20"/>
      <c r="C61" s="20"/>
      <c r="D61" s="20"/>
      <c r="E61" s="20"/>
      <c r="F61" s="20"/>
      <c r="G61" s="20"/>
      <c r="H61" s="25"/>
      <c r="I61" s="20"/>
      <c r="J61" s="21"/>
    </row>
    <row r="62" spans="1:11" ht="14.4" customHeight="1" thickBot="1" x14ac:dyDescent="0.35">
      <c r="A62" s="108" t="s">
        <v>35</v>
      </c>
      <c r="B62" s="109"/>
      <c r="C62" s="109"/>
      <c r="D62" s="109"/>
      <c r="E62" s="109"/>
      <c r="F62" s="109"/>
      <c r="G62" s="109"/>
      <c r="H62" s="109"/>
      <c r="I62" s="109"/>
      <c r="J62" s="110"/>
    </row>
    <row r="63" spans="1:11" x14ac:dyDescent="0.3">
      <c r="A63" s="36" t="s">
        <v>18</v>
      </c>
      <c r="B63" s="38" t="s">
        <v>29</v>
      </c>
      <c r="C63" s="37">
        <v>1</v>
      </c>
      <c r="D63" s="37">
        <v>2</v>
      </c>
      <c r="E63" s="37">
        <v>3</v>
      </c>
      <c r="F63" s="37">
        <v>4</v>
      </c>
      <c r="G63" s="37">
        <v>5</v>
      </c>
      <c r="H63" s="37">
        <v>6</v>
      </c>
      <c r="I63" s="37">
        <v>7</v>
      </c>
      <c r="J63" s="38">
        <v>8</v>
      </c>
    </row>
    <row r="64" spans="1:11" x14ac:dyDescent="0.3">
      <c r="A64" s="27">
        <v>10</v>
      </c>
      <c r="B64" s="26" t="s">
        <v>19</v>
      </c>
      <c r="C64" s="28">
        <v>5.5654077203140884E-3</v>
      </c>
      <c r="D64" s="28">
        <v>7.7902919135762671E-3</v>
      </c>
      <c r="E64" s="28">
        <v>9.3322269188961283E-3</v>
      </c>
      <c r="F64" s="28">
        <v>1.0716537577692687E-2</v>
      </c>
      <c r="G64" s="28">
        <v>1.1962952438615294E-2</v>
      </c>
      <c r="H64" s="28">
        <v>1.3077855108163793E-2</v>
      </c>
      <c r="I64" s="28">
        <v>1.4062055295955153E-2</v>
      </c>
      <c r="J64" s="29">
        <v>1.49153520038152E-2</v>
      </c>
    </row>
    <row r="65" spans="1:10" x14ac:dyDescent="0.3">
      <c r="A65" s="27">
        <v>11</v>
      </c>
      <c r="B65" s="26" t="s">
        <v>20</v>
      </c>
      <c r="C65" s="28">
        <v>8.394544439343456E-3</v>
      </c>
      <c r="D65" s="28">
        <v>1.1158561310553691E-2</v>
      </c>
      <c r="E65" s="28">
        <v>1.338014773334993E-2</v>
      </c>
      <c r="F65" s="28">
        <v>1.5304164477063066E-2</v>
      </c>
      <c r="G65" s="28">
        <v>1.6928703772476166E-2</v>
      </c>
      <c r="H65" s="28">
        <v>1.8259521621808713E-2</v>
      </c>
      <c r="I65" s="28">
        <v>1.9309560593566168E-2</v>
      </c>
      <c r="J65" s="29">
        <v>2.0097748410887312E-2</v>
      </c>
    </row>
    <row r="66" spans="1:10" x14ac:dyDescent="0.3">
      <c r="A66" s="27">
        <v>12</v>
      </c>
      <c r="B66" s="26">
        <v>5</v>
      </c>
      <c r="C66" s="28">
        <v>1.3033275437460667E-2</v>
      </c>
      <c r="D66" s="28">
        <v>1.6428416435257224E-2</v>
      </c>
      <c r="E66" s="28">
        <v>1.9077601567740576E-2</v>
      </c>
      <c r="F66" s="28">
        <v>2.1328643153523084E-2</v>
      </c>
      <c r="G66" s="28">
        <v>2.3159892434952707E-2</v>
      </c>
      <c r="H66" s="28">
        <v>2.4568385492472349E-2</v>
      </c>
      <c r="I66" s="28">
        <v>2.5570797987498801E-2</v>
      </c>
      <c r="J66" s="29">
        <v>2.6199095401961369E-2</v>
      </c>
    </row>
    <row r="67" spans="1:10" x14ac:dyDescent="0.3">
      <c r="A67" s="30">
        <v>13</v>
      </c>
      <c r="B67" s="26" t="s">
        <v>21</v>
      </c>
      <c r="C67" s="31">
        <v>2.0234039089477348E-2</v>
      </c>
      <c r="D67" s="31">
        <v>2.4670144180283463E-2</v>
      </c>
      <c r="E67" s="31">
        <v>2.8049178850582886E-2</v>
      </c>
      <c r="F67" s="32">
        <v>3.0704876891177239E-2</v>
      </c>
      <c r="G67" s="28">
        <v>3.2589109188762559E-2</v>
      </c>
      <c r="H67" s="28">
        <v>3.3742916529341568E-2</v>
      </c>
      <c r="I67" s="28">
        <v>3.4252262210007871E-2</v>
      </c>
      <c r="J67" s="29">
        <v>3.422106786919054E-2</v>
      </c>
    </row>
    <row r="68" spans="1:10" ht="15" thickBot="1" x14ac:dyDescent="0.35">
      <c r="A68" s="33">
        <v>14</v>
      </c>
      <c r="B68" s="42" t="s">
        <v>22</v>
      </c>
      <c r="C68" s="34">
        <v>3.1410842596143643E-2</v>
      </c>
      <c r="D68" s="34">
        <v>3.6825909210029484E-2</v>
      </c>
      <c r="E68" s="34">
        <v>4.0048457904413533E-2</v>
      </c>
      <c r="F68" s="34">
        <v>4.2016297413011439E-2</v>
      </c>
      <c r="G68" s="34">
        <v>4.2895943504048135E-2</v>
      </c>
      <c r="H68" s="34">
        <v>4.2873460559151824E-2</v>
      </c>
      <c r="I68" s="34">
        <v>4.2138570860379768E-2</v>
      </c>
      <c r="J68" s="35">
        <v>4.0869173550845253E-2</v>
      </c>
    </row>
  </sheetData>
  <mergeCells count="5">
    <mergeCell ref="A52:J52"/>
    <mergeCell ref="A62:J62"/>
    <mergeCell ref="D12:G12"/>
    <mergeCell ref="B1:F1"/>
    <mergeCell ref="H1:I1"/>
  </mergeCells>
  <pageMargins left="0.25" right="0.25" top="0.75" bottom="0.75" header="0.3" footer="0.3"/>
  <pageSetup paperSize="9" scale="82" orientation="portrait" horizont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8"/>
  <sheetViews>
    <sheetView workbookViewId="0">
      <selection activeCell="D14" sqref="D14"/>
    </sheetView>
  </sheetViews>
  <sheetFormatPr defaultRowHeight="14.4" x14ac:dyDescent="0.3"/>
  <cols>
    <col min="1" max="1" width="12.44140625" customWidth="1"/>
    <col min="2" max="2" width="11.88671875" customWidth="1"/>
    <col min="3" max="3" width="12.6640625" customWidth="1"/>
    <col min="4" max="4" width="14" customWidth="1"/>
    <col min="5" max="5" width="12.21875" customWidth="1"/>
    <col min="6" max="6" width="11.88671875" customWidth="1"/>
    <col min="7" max="7" width="10.6640625" customWidth="1"/>
    <col min="8" max="8" width="12.5546875" customWidth="1"/>
    <col min="11" max="11" width="10.33203125" customWidth="1"/>
    <col min="13" max="13" width="13.88671875" customWidth="1"/>
    <col min="14" max="14" width="9.5546875" bestFit="1" customWidth="1"/>
  </cols>
  <sheetData>
    <row r="1" spans="1:14" ht="15" thickBot="1" x14ac:dyDescent="0.35">
      <c r="A1" s="87" t="s">
        <v>0</v>
      </c>
      <c r="B1" s="98" t="s">
        <v>1</v>
      </c>
      <c r="C1" s="98"/>
      <c r="D1" s="98"/>
      <c r="E1" s="98"/>
      <c r="F1" s="99"/>
      <c r="I1" s="2"/>
      <c r="J1" s="100" t="s">
        <v>55</v>
      </c>
      <c r="K1" s="101"/>
      <c r="L1" s="2"/>
    </row>
    <row r="2" spans="1:14" x14ac:dyDescent="0.3">
      <c r="A2" s="51" t="s">
        <v>2</v>
      </c>
      <c r="B2" s="52" t="s">
        <v>3</v>
      </c>
      <c r="C2" s="52" t="s">
        <v>23</v>
      </c>
      <c r="D2" s="52" t="s">
        <v>24</v>
      </c>
      <c r="E2" s="52" t="s">
        <v>25</v>
      </c>
      <c r="F2" s="53" t="s">
        <v>9</v>
      </c>
      <c r="I2" s="2"/>
      <c r="J2" s="80">
        <f>AVERAGE(D37:D48)</f>
        <v>21236249.999999996</v>
      </c>
      <c r="K2" s="86" t="s">
        <v>48</v>
      </c>
      <c r="L2" s="2"/>
    </row>
    <row r="3" spans="1:14" x14ac:dyDescent="0.3">
      <c r="A3" s="78">
        <v>42916</v>
      </c>
      <c r="B3" s="79">
        <v>43917</v>
      </c>
      <c r="C3" s="55" t="s">
        <v>66</v>
      </c>
      <c r="D3" s="55" t="s">
        <v>66</v>
      </c>
      <c r="E3" s="57">
        <v>25483500</v>
      </c>
      <c r="F3" s="56">
        <v>0</v>
      </c>
      <c r="I3" s="2"/>
      <c r="J3" s="81">
        <f>AVERAGE(G37:G48)</f>
        <v>10517.100747198007</v>
      </c>
      <c r="K3" s="86" t="s">
        <v>49</v>
      </c>
      <c r="L3" s="2"/>
    </row>
    <row r="4" spans="1:14" x14ac:dyDescent="0.3">
      <c r="A4" s="51" t="s">
        <v>28</v>
      </c>
      <c r="B4" s="52" t="s">
        <v>4</v>
      </c>
      <c r="C4" s="52" t="s">
        <v>5</v>
      </c>
      <c r="D4" s="52" t="s">
        <v>6</v>
      </c>
      <c r="E4" s="52" t="s">
        <v>7</v>
      </c>
      <c r="F4" s="53" t="s">
        <v>8</v>
      </c>
      <c r="I4" s="2"/>
      <c r="J4" s="80">
        <f>J2+J3</f>
        <v>21246767.100747194</v>
      </c>
      <c r="K4" s="86" t="s">
        <v>50</v>
      </c>
      <c r="L4" s="2"/>
    </row>
    <row r="5" spans="1:14" x14ac:dyDescent="0.3">
      <c r="A5" s="54">
        <v>6.0000000000000001E-3</v>
      </c>
      <c r="B5" s="55">
        <v>4</v>
      </c>
      <c r="C5" s="55">
        <v>13</v>
      </c>
      <c r="D5" s="55">
        <v>0</v>
      </c>
      <c r="E5" s="55" t="s">
        <v>10</v>
      </c>
      <c r="F5" s="56" t="s">
        <v>10</v>
      </c>
      <c r="I5" s="2"/>
      <c r="J5" s="82">
        <f>SUM(J37:J48)</f>
        <v>2.0252309954547409E-2</v>
      </c>
      <c r="K5" s="86" t="s">
        <v>51</v>
      </c>
    </row>
    <row r="6" spans="1:14" ht="15" thickBot="1" x14ac:dyDescent="0.35">
      <c r="A6" s="6" t="s">
        <v>67</v>
      </c>
      <c r="B6" s="10"/>
      <c r="C6" s="10"/>
      <c r="D6" s="10"/>
      <c r="E6" s="10"/>
      <c r="F6" s="50"/>
      <c r="I6" s="2"/>
      <c r="J6" s="83">
        <f>F9</f>
        <v>0.5</v>
      </c>
      <c r="K6" s="86" t="s">
        <v>14</v>
      </c>
      <c r="L6" s="2"/>
    </row>
    <row r="7" spans="1:14" ht="15" thickBot="1" x14ac:dyDescent="0.35">
      <c r="A7" s="1"/>
      <c r="B7" s="1"/>
      <c r="C7" s="1"/>
      <c r="D7" s="1"/>
      <c r="E7" s="1"/>
      <c r="F7" s="1"/>
      <c r="I7" s="2"/>
      <c r="J7" s="84">
        <f>J4*J5*J6</f>
        <v>215148.05642820642</v>
      </c>
      <c r="K7" s="86" t="s">
        <v>52</v>
      </c>
      <c r="L7" s="2"/>
    </row>
    <row r="8" spans="1:14" ht="15" thickBot="1" x14ac:dyDescent="0.35">
      <c r="A8" s="45" t="s">
        <v>32</v>
      </c>
      <c r="B8" s="46"/>
      <c r="C8" s="90"/>
      <c r="D8" s="93"/>
      <c r="E8" s="1"/>
      <c r="F8" s="47" t="s">
        <v>14</v>
      </c>
      <c r="G8" s="1"/>
      <c r="H8" s="1"/>
      <c r="I8" s="2"/>
      <c r="J8" s="85">
        <f>AVERAGE(L16:L48)</f>
        <v>0.99149930291217803</v>
      </c>
      <c r="K8" s="86" t="s">
        <v>53</v>
      </c>
      <c r="L8" s="2"/>
    </row>
    <row r="9" spans="1:14" ht="15" thickBot="1" x14ac:dyDescent="0.35">
      <c r="A9" s="3" t="s">
        <v>11</v>
      </c>
      <c r="B9" s="43">
        <v>2.0230000000000001E-2</v>
      </c>
      <c r="C9" s="90"/>
      <c r="D9" s="93"/>
      <c r="E9" s="1"/>
      <c r="F9" s="4">
        <v>0.5</v>
      </c>
      <c r="G9" s="1"/>
      <c r="H9" s="1"/>
      <c r="I9" s="2"/>
      <c r="J9" s="88">
        <f>J7*J8</f>
        <v>213319.1479714766</v>
      </c>
      <c r="K9" s="89" t="s">
        <v>54</v>
      </c>
      <c r="L9" s="2"/>
    </row>
    <row r="10" spans="1:14" ht="15" thickBot="1" x14ac:dyDescent="0.35">
      <c r="A10" s="3" t="s">
        <v>12</v>
      </c>
      <c r="B10" s="43">
        <v>2.4670000000000001E-2</v>
      </c>
      <c r="C10" s="90"/>
      <c r="D10" s="94"/>
      <c r="E10" s="1"/>
      <c r="F10" s="5" t="s">
        <v>15</v>
      </c>
      <c r="G10" s="1"/>
      <c r="H10" s="1"/>
      <c r="I10" s="2"/>
      <c r="J10" s="2"/>
      <c r="K10" s="2"/>
      <c r="L10" s="2"/>
    </row>
    <row r="11" spans="1:14" ht="15" thickBot="1" x14ac:dyDescent="0.35">
      <c r="A11" s="6" t="s">
        <v>13</v>
      </c>
      <c r="B11" s="44">
        <v>2.8049999999999999E-2</v>
      </c>
      <c r="C11" s="90"/>
      <c r="D11" s="90"/>
      <c r="E11" s="1"/>
      <c r="F11" s="1"/>
      <c r="G11" s="1"/>
      <c r="H11" s="1"/>
      <c r="I11" s="2"/>
      <c r="J11" s="2"/>
      <c r="K11" s="2"/>
      <c r="L11" s="2"/>
    </row>
    <row r="12" spans="1:14" ht="15" thickBot="1" x14ac:dyDescent="0.35">
      <c r="A12" s="48"/>
      <c r="B12" s="48"/>
      <c r="C12" s="48"/>
      <c r="D12" s="48"/>
      <c r="E12" s="66"/>
      <c r="F12" s="102" t="s">
        <v>56</v>
      </c>
      <c r="G12" s="103"/>
      <c r="H12" s="103"/>
      <c r="I12" s="104"/>
      <c r="J12" s="2"/>
      <c r="K12" s="2"/>
      <c r="L12" s="2"/>
    </row>
    <row r="13" spans="1:14" ht="15" thickBot="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t="s">
        <v>70</v>
      </c>
      <c r="N13" s="95">
        <v>43281</v>
      </c>
    </row>
    <row r="14" spans="1:14" ht="55.2" x14ac:dyDescent="0.3">
      <c r="A14" s="68" t="s">
        <v>16</v>
      </c>
      <c r="B14" s="59" t="s">
        <v>44</v>
      </c>
      <c r="C14" s="65" t="s">
        <v>58</v>
      </c>
      <c r="D14" s="65" t="s">
        <v>59</v>
      </c>
      <c r="E14" s="59" t="s">
        <v>41</v>
      </c>
      <c r="F14" s="59" t="s">
        <v>40</v>
      </c>
      <c r="G14" s="59" t="s">
        <v>60</v>
      </c>
      <c r="H14" s="65" t="s">
        <v>61</v>
      </c>
      <c r="I14" s="59" t="s">
        <v>39</v>
      </c>
      <c r="J14" s="59" t="s">
        <v>62</v>
      </c>
      <c r="K14" s="59" t="s">
        <v>63</v>
      </c>
      <c r="L14" s="59" t="s">
        <v>64</v>
      </c>
      <c r="M14" s="59" t="s">
        <v>65</v>
      </c>
      <c r="N14" s="60" t="s">
        <v>69</v>
      </c>
    </row>
    <row r="15" spans="1:14" x14ac:dyDescent="0.3">
      <c r="A15" s="74">
        <v>43917</v>
      </c>
      <c r="B15" s="8">
        <v>0</v>
      </c>
      <c r="C15" s="8">
        <f t="shared" ref="C15:C47" si="0">$E$3/COUNTA($B$15:$B$47)</f>
        <v>772227.27272727271</v>
      </c>
      <c r="D15" s="8"/>
      <c r="E15" s="18"/>
      <c r="F15" s="8">
        <f>E16</f>
        <v>368.13026151929654</v>
      </c>
      <c r="G15" s="66">
        <v>0</v>
      </c>
      <c r="H15" s="8">
        <v>0</v>
      </c>
      <c r="I15" s="8">
        <v>0</v>
      </c>
      <c r="J15" s="22"/>
      <c r="K15" s="70">
        <f>I15*J15</f>
        <v>0</v>
      </c>
      <c r="L15" s="48"/>
      <c r="M15" s="48" t="s">
        <v>46</v>
      </c>
      <c r="N15" s="62"/>
    </row>
    <row r="16" spans="1:14" x14ac:dyDescent="0.3">
      <c r="A16" s="74">
        <v>43888</v>
      </c>
      <c r="B16" s="8">
        <f>A16-A15</f>
        <v>-29</v>
      </c>
      <c r="C16" s="8">
        <f t="shared" si="0"/>
        <v>772227.27272727271</v>
      </c>
      <c r="D16" s="8">
        <f t="shared" ref="D16:D46" si="1">D17-C16</f>
        <v>772227.2727272599</v>
      </c>
      <c r="E16" s="8">
        <f>B16*D16*$A$5/365*-1</f>
        <v>368.13026151929654</v>
      </c>
      <c r="F16" s="8">
        <f t="shared" ref="F16:F47" si="2">E17</f>
        <v>787.03711083436463</v>
      </c>
      <c r="G16" s="66">
        <f t="shared" ref="G16:G47" si="3">G17+E16-F16</f>
        <v>368.13026151929728</v>
      </c>
      <c r="H16" s="8">
        <f>D16+G16</f>
        <v>772595.40298877924</v>
      </c>
      <c r="I16" s="8">
        <f t="shared" ref="I16:I48" si="4">A15-$A$3</f>
        <v>1001</v>
      </c>
      <c r="J16" s="58">
        <f>1-POWER((1-$B$11),((I16-I17)/365))</f>
        <v>2.2579307814292182E-3</v>
      </c>
      <c r="K16" s="69">
        <v>0.5</v>
      </c>
      <c r="L16" s="71">
        <f>1/(1+$A$5)^(I16/360)</f>
        <v>0.98350408990927229</v>
      </c>
      <c r="M16" s="66">
        <f>H16*J16*K16*L16</f>
        <v>857.84518608380631</v>
      </c>
      <c r="N16" s="96">
        <v>0</v>
      </c>
    </row>
    <row r="17" spans="1:14" x14ac:dyDescent="0.3">
      <c r="A17" s="74">
        <v>43857</v>
      </c>
      <c r="B17" s="8">
        <f t="shared" ref="B17:B48" si="5">A17-A16</f>
        <v>-31</v>
      </c>
      <c r="C17" s="8">
        <f t="shared" si="0"/>
        <v>772227.27272727271</v>
      </c>
      <c r="D17" s="8">
        <f t="shared" si="1"/>
        <v>1544454.5454545326</v>
      </c>
      <c r="E17" s="8">
        <f t="shared" ref="E17:E48" si="6">B17*D17*$A$5/365*-1</f>
        <v>787.03711083436463</v>
      </c>
      <c r="F17" s="8">
        <f t="shared" si="2"/>
        <v>1180.5556662515498</v>
      </c>
      <c r="G17" s="66">
        <f t="shared" si="3"/>
        <v>787.03711083436542</v>
      </c>
      <c r="H17" s="8">
        <f t="shared" ref="H17:H48" si="7">D17+G17</f>
        <v>1545241.582565367</v>
      </c>
      <c r="I17" s="8">
        <f t="shared" si="4"/>
        <v>972</v>
      </c>
      <c r="J17" s="58">
        <f t="shared" ref="J17:J24" si="8">1-POWER((1-$B$11),((I17-I18)/365))</f>
        <v>2.4134620878021318E-3</v>
      </c>
      <c r="K17" s="69">
        <v>0.5</v>
      </c>
      <c r="L17" s="71">
        <f t="shared" ref="L17:L48" si="9">1/(1+$A$5)^(I17/360)</f>
        <v>0.98397814402882633</v>
      </c>
      <c r="M17" s="66">
        <f t="shared" ref="M17:M48" si="10">H17*J17*K17*L17</f>
        <v>1834.8151775678236</v>
      </c>
      <c r="N17" s="96">
        <v>0</v>
      </c>
    </row>
    <row r="18" spans="1:14" x14ac:dyDescent="0.3">
      <c r="A18" s="74">
        <v>43826</v>
      </c>
      <c r="B18" s="8">
        <f t="shared" si="5"/>
        <v>-31</v>
      </c>
      <c r="C18" s="8">
        <f t="shared" si="0"/>
        <v>772227.27272727271</v>
      </c>
      <c r="D18" s="8">
        <f t="shared" si="1"/>
        <v>2316681.8181818053</v>
      </c>
      <c r="E18" s="8">
        <f t="shared" si="6"/>
        <v>1180.5556662515498</v>
      </c>
      <c r="F18" s="8">
        <f t="shared" si="2"/>
        <v>1523.29763387297</v>
      </c>
      <c r="G18" s="66">
        <f t="shared" si="3"/>
        <v>1180.5556662515505</v>
      </c>
      <c r="H18" s="8">
        <f t="shared" si="7"/>
        <v>2317862.3738480569</v>
      </c>
      <c r="I18" s="8">
        <f t="shared" si="4"/>
        <v>941</v>
      </c>
      <c r="J18" s="58">
        <f t="shared" si="8"/>
        <v>2.4134620878021318E-3</v>
      </c>
      <c r="K18" s="69">
        <v>0.5</v>
      </c>
      <c r="L18" s="71">
        <f t="shared" si="9"/>
        <v>0.98448514421627087</v>
      </c>
      <c r="M18" s="66">
        <f t="shared" si="10"/>
        <v>2753.6408643724126</v>
      </c>
      <c r="N18" s="96">
        <v>0</v>
      </c>
    </row>
    <row r="19" spans="1:14" x14ac:dyDescent="0.3">
      <c r="A19" s="74">
        <v>43796</v>
      </c>
      <c r="B19" s="8">
        <f t="shared" si="5"/>
        <v>-30</v>
      </c>
      <c r="C19" s="8">
        <f t="shared" si="0"/>
        <v>772227.27272727271</v>
      </c>
      <c r="D19" s="8">
        <f t="shared" si="1"/>
        <v>3088909.0909090778</v>
      </c>
      <c r="E19" s="8">
        <f t="shared" si="6"/>
        <v>1523.29763387297</v>
      </c>
      <c r="F19" s="8">
        <f t="shared" si="2"/>
        <v>1967.5927770859212</v>
      </c>
      <c r="G19" s="66">
        <f t="shared" si="3"/>
        <v>1523.2976338729709</v>
      </c>
      <c r="H19" s="8">
        <f t="shared" si="7"/>
        <v>3090432.3885429506</v>
      </c>
      <c r="I19" s="8">
        <f t="shared" si="4"/>
        <v>910</v>
      </c>
      <c r="J19" s="58">
        <f t="shared" si="8"/>
        <v>2.3356994654432084E-3</v>
      </c>
      <c r="K19" s="69">
        <v>0.5</v>
      </c>
      <c r="L19" s="71">
        <f t="shared" si="9"/>
        <v>0.98499240563836932</v>
      </c>
      <c r="M19" s="66">
        <f t="shared" si="10"/>
        <v>3554.9958200986875</v>
      </c>
      <c r="N19" s="96">
        <v>0</v>
      </c>
    </row>
    <row r="20" spans="1:14" x14ac:dyDescent="0.3">
      <c r="A20" s="74">
        <v>43765</v>
      </c>
      <c r="B20" s="8">
        <f t="shared" si="5"/>
        <v>-31</v>
      </c>
      <c r="C20" s="8">
        <f t="shared" si="0"/>
        <v>772227.27272727271</v>
      </c>
      <c r="D20" s="8">
        <f t="shared" si="1"/>
        <v>3861136.3636363503</v>
      </c>
      <c r="E20" s="8">
        <f t="shared" si="6"/>
        <v>1967.5927770859212</v>
      </c>
      <c r="F20" s="8">
        <f t="shared" si="2"/>
        <v>2284.9464508094575</v>
      </c>
      <c r="G20" s="66">
        <f t="shared" si="3"/>
        <v>1967.5927770859221</v>
      </c>
      <c r="H20" s="8">
        <f t="shared" si="7"/>
        <v>3863103.9564134362</v>
      </c>
      <c r="I20" s="8">
        <f t="shared" si="4"/>
        <v>880</v>
      </c>
      <c r="J20" s="58">
        <f t="shared" si="8"/>
        <v>2.4134620878021318E-3</v>
      </c>
      <c r="K20" s="69">
        <v>0.5</v>
      </c>
      <c r="L20" s="71">
        <f t="shared" si="9"/>
        <v>0.98548355264575394</v>
      </c>
      <c r="M20" s="66">
        <f t="shared" si="10"/>
        <v>4594.055748622719</v>
      </c>
      <c r="N20" s="96">
        <v>0</v>
      </c>
    </row>
    <row r="21" spans="1:14" x14ac:dyDescent="0.3">
      <c r="A21" s="74">
        <v>43735</v>
      </c>
      <c r="B21" s="8">
        <f t="shared" si="5"/>
        <v>-30</v>
      </c>
      <c r="C21" s="8">
        <f t="shared" si="0"/>
        <v>772227.27272727271</v>
      </c>
      <c r="D21" s="8">
        <f t="shared" si="1"/>
        <v>4633363.6363636227</v>
      </c>
      <c r="E21" s="8">
        <f t="shared" si="6"/>
        <v>2284.9464508094575</v>
      </c>
      <c r="F21" s="8">
        <f t="shared" si="2"/>
        <v>2754.6298879202918</v>
      </c>
      <c r="G21" s="66">
        <f t="shared" si="3"/>
        <v>2284.9464508094584</v>
      </c>
      <c r="H21" s="8">
        <f t="shared" si="7"/>
        <v>4635648.5828144317</v>
      </c>
      <c r="I21" s="8">
        <f t="shared" si="4"/>
        <v>849</v>
      </c>
      <c r="J21" s="58">
        <f t="shared" si="8"/>
        <v>2.3356994654432084E-3</v>
      </c>
      <c r="K21" s="69">
        <v>0.5</v>
      </c>
      <c r="L21" s="71">
        <f t="shared" si="9"/>
        <v>0.98599132850332427</v>
      </c>
      <c r="M21" s="66">
        <f t="shared" si="10"/>
        <v>5337.9016397763571</v>
      </c>
      <c r="N21" s="96">
        <v>0</v>
      </c>
    </row>
    <row r="22" spans="1:14" x14ac:dyDescent="0.3">
      <c r="A22" s="74">
        <v>43704</v>
      </c>
      <c r="B22" s="8">
        <f t="shared" si="5"/>
        <v>-31</v>
      </c>
      <c r="C22" s="8">
        <f t="shared" si="0"/>
        <v>772227.27272727271</v>
      </c>
      <c r="D22" s="8">
        <f t="shared" si="1"/>
        <v>5405590.9090908952</v>
      </c>
      <c r="E22" s="8">
        <f t="shared" si="6"/>
        <v>2754.6298879202918</v>
      </c>
      <c r="F22" s="8">
        <f t="shared" si="2"/>
        <v>3148.1484433374776</v>
      </c>
      <c r="G22" s="66">
        <f t="shared" si="3"/>
        <v>2754.6298879202927</v>
      </c>
      <c r="H22" s="8">
        <f t="shared" si="7"/>
        <v>5408345.5389788151</v>
      </c>
      <c r="I22" s="8">
        <f t="shared" si="4"/>
        <v>819</v>
      </c>
      <c r="J22" s="58">
        <f t="shared" si="8"/>
        <v>2.4134620878021318E-3</v>
      </c>
      <c r="K22" s="69">
        <v>0.5</v>
      </c>
      <c r="L22" s="71">
        <f t="shared" si="9"/>
        <v>0.98648297360386483</v>
      </c>
      <c r="M22" s="66">
        <f t="shared" si="10"/>
        <v>6438.2006874601693</v>
      </c>
      <c r="N22" s="96">
        <v>0</v>
      </c>
    </row>
    <row r="23" spans="1:14" x14ac:dyDescent="0.3">
      <c r="A23" s="74">
        <v>43673</v>
      </c>
      <c r="B23" s="8">
        <f t="shared" si="5"/>
        <v>-31</v>
      </c>
      <c r="C23" s="8">
        <f t="shared" si="0"/>
        <v>772227.27272727271</v>
      </c>
      <c r="D23" s="8">
        <f t="shared" si="1"/>
        <v>6177818.1818181677</v>
      </c>
      <c r="E23" s="8">
        <f t="shared" si="6"/>
        <v>3148.1484433374776</v>
      </c>
      <c r="F23" s="8">
        <f t="shared" si="2"/>
        <v>3427.4196762141901</v>
      </c>
      <c r="G23" s="66">
        <f t="shared" si="3"/>
        <v>3148.1484433374781</v>
      </c>
      <c r="H23" s="8">
        <f t="shared" si="7"/>
        <v>6180966.3302615052</v>
      </c>
      <c r="I23" s="8">
        <f t="shared" si="4"/>
        <v>788</v>
      </c>
      <c r="J23" s="58">
        <f t="shared" si="8"/>
        <v>2.4134620878021318E-3</v>
      </c>
      <c r="K23" s="69">
        <v>0.5</v>
      </c>
      <c r="L23" s="71">
        <f t="shared" si="9"/>
        <v>0.98699126441861806</v>
      </c>
      <c r="M23" s="66">
        <f t="shared" si="10"/>
        <v>7361.7348640178552</v>
      </c>
      <c r="N23" s="96">
        <v>0</v>
      </c>
    </row>
    <row r="24" spans="1:14" x14ac:dyDescent="0.3">
      <c r="A24" s="74">
        <v>43643</v>
      </c>
      <c r="B24" s="8">
        <f t="shared" si="5"/>
        <v>-30</v>
      </c>
      <c r="C24" s="8">
        <f t="shared" si="0"/>
        <v>772227.27272727271</v>
      </c>
      <c r="D24" s="8">
        <f t="shared" si="1"/>
        <v>6950045.4545454402</v>
      </c>
      <c r="E24" s="8">
        <f t="shared" si="6"/>
        <v>3427.4196762141901</v>
      </c>
      <c r="F24" s="8">
        <f t="shared" si="2"/>
        <v>3935.1855541718478</v>
      </c>
      <c r="G24" s="66">
        <f t="shared" si="3"/>
        <v>3427.4196762141901</v>
      </c>
      <c r="H24" s="8">
        <f t="shared" si="7"/>
        <v>6953472.8742216546</v>
      </c>
      <c r="I24" s="8">
        <f t="shared" si="4"/>
        <v>757</v>
      </c>
      <c r="J24" s="58">
        <f t="shared" si="8"/>
        <v>2.3356994654432084E-3</v>
      </c>
      <c r="K24" s="69">
        <v>0.5</v>
      </c>
      <c r="L24" s="71">
        <f t="shared" si="9"/>
        <v>0.98749981713302826</v>
      </c>
      <c r="M24" s="66">
        <f t="shared" si="10"/>
        <v>8019.1023096844783</v>
      </c>
      <c r="N24" s="96">
        <v>0</v>
      </c>
    </row>
    <row r="25" spans="1:14" x14ac:dyDescent="0.3">
      <c r="A25" s="74">
        <v>43612</v>
      </c>
      <c r="B25" s="8">
        <f t="shared" si="5"/>
        <v>-31</v>
      </c>
      <c r="C25" s="8">
        <f t="shared" si="0"/>
        <v>772227.27272727271</v>
      </c>
      <c r="D25" s="8">
        <f t="shared" si="1"/>
        <v>7722272.7272727126</v>
      </c>
      <c r="E25" s="8">
        <f t="shared" si="6"/>
        <v>3935.1855541718478</v>
      </c>
      <c r="F25" s="8">
        <f t="shared" si="2"/>
        <v>4189.0684931506776</v>
      </c>
      <c r="G25" s="66">
        <f t="shared" si="3"/>
        <v>3935.1855541718478</v>
      </c>
      <c r="H25" s="8">
        <f t="shared" si="7"/>
        <v>7726207.9128268845</v>
      </c>
      <c r="I25" s="8">
        <f t="shared" si="4"/>
        <v>727</v>
      </c>
      <c r="J25" s="58">
        <f>1-POWER((1-$B$10),((I25-I26)/365))</f>
        <v>2.119289525425172E-3</v>
      </c>
      <c r="K25" s="69">
        <v>0.5</v>
      </c>
      <c r="L25" s="71">
        <f t="shared" si="9"/>
        <v>0.98799221441162821</v>
      </c>
      <c r="M25" s="66">
        <f t="shared" si="10"/>
        <v>8088.7275805597437</v>
      </c>
      <c r="N25" s="96">
        <v>0</v>
      </c>
    </row>
    <row r="26" spans="1:14" x14ac:dyDescent="0.3">
      <c r="A26" s="74">
        <v>43582</v>
      </c>
      <c r="B26" s="8">
        <f t="shared" si="5"/>
        <v>-30</v>
      </c>
      <c r="C26" s="8">
        <f t="shared" si="0"/>
        <v>772227.27272727271</v>
      </c>
      <c r="D26" s="8">
        <f t="shared" si="1"/>
        <v>8494499.9999999851</v>
      </c>
      <c r="E26" s="8">
        <f t="shared" si="6"/>
        <v>4189.0684931506776</v>
      </c>
      <c r="F26" s="8">
        <f t="shared" si="2"/>
        <v>4722.2226650062194</v>
      </c>
      <c r="G26" s="66">
        <f t="shared" si="3"/>
        <v>4189.0684931506776</v>
      </c>
      <c r="H26" s="8">
        <f t="shared" si="7"/>
        <v>8498689.0684931353</v>
      </c>
      <c r="I26" s="8">
        <f t="shared" si="4"/>
        <v>696</v>
      </c>
      <c r="J26" s="58">
        <f t="shared" ref="J26:J36" si="11">1-POWER((1-$B$10),((I26-I27)/365))</f>
        <v>2.0509955032755878E-3</v>
      </c>
      <c r="K26" s="69">
        <v>0.5</v>
      </c>
      <c r="L26" s="71">
        <f t="shared" si="9"/>
        <v>0.98850128287106498</v>
      </c>
      <c r="M26" s="66">
        <f t="shared" si="10"/>
        <v>8615.170767212112</v>
      </c>
      <c r="N26" s="96">
        <v>0</v>
      </c>
    </row>
    <row r="27" spans="1:14" x14ac:dyDescent="0.3">
      <c r="A27" s="74">
        <v>43551</v>
      </c>
      <c r="B27" s="8">
        <f t="shared" si="5"/>
        <v>-31</v>
      </c>
      <c r="C27" s="8">
        <f t="shared" si="0"/>
        <v>772227.27272727271</v>
      </c>
      <c r="D27" s="8">
        <f t="shared" si="1"/>
        <v>9266727.2727272585</v>
      </c>
      <c r="E27" s="8">
        <f t="shared" si="6"/>
        <v>4722.2226650062194</v>
      </c>
      <c r="F27" s="8">
        <f t="shared" si="2"/>
        <v>4620.6694894146885</v>
      </c>
      <c r="G27" s="66">
        <f t="shared" si="3"/>
        <v>4722.2226650062194</v>
      </c>
      <c r="H27" s="8">
        <f t="shared" si="7"/>
        <v>9271449.4953922648</v>
      </c>
      <c r="I27" s="8">
        <f t="shared" si="4"/>
        <v>666</v>
      </c>
      <c r="J27" s="58">
        <f t="shared" si="11"/>
        <v>2.119289525425172E-3</v>
      </c>
      <c r="K27" s="69">
        <v>0.5</v>
      </c>
      <c r="L27" s="71">
        <f t="shared" si="9"/>
        <v>0.98899417951077417</v>
      </c>
      <c r="M27" s="66">
        <f t="shared" si="10"/>
        <v>9716.3168455765954</v>
      </c>
      <c r="N27" s="96">
        <v>0</v>
      </c>
    </row>
    <row r="28" spans="1:14" x14ac:dyDescent="0.3">
      <c r="A28" s="74">
        <v>43523</v>
      </c>
      <c r="B28" s="8">
        <f t="shared" si="5"/>
        <v>-28</v>
      </c>
      <c r="C28" s="8">
        <f t="shared" si="0"/>
        <v>772227.27272727271</v>
      </c>
      <c r="D28" s="8">
        <f t="shared" si="1"/>
        <v>10038954.545454532</v>
      </c>
      <c r="E28" s="8">
        <f t="shared" si="6"/>
        <v>4620.6694894146885</v>
      </c>
      <c r="F28" s="8">
        <f t="shared" si="2"/>
        <v>5509.2597758405909</v>
      </c>
      <c r="G28" s="66">
        <f t="shared" si="3"/>
        <v>4620.6694894146885</v>
      </c>
      <c r="H28" s="8">
        <f t="shared" si="7"/>
        <v>10043575.214943947</v>
      </c>
      <c r="I28" s="8">
        <f t="shared" si="4"/>
        <v>635</v>
      </c>
      <c r="J28" s="58">
        <f t="shared" si="11"/>
        <v>1.9143934367193971E-3</v>
      </c>
      <c r="K28" s="69">
        <v>0.5</v>
      </c>
      <c r="L28" s="71">
        <f t="shared" si="9"/>
        <v>0.98950376423827657</v>
      </c>
      <c r="M28" s="66">
        <f t="shared" si="10"/>
        <v>9512.7698135333794</v>
      </c>
      <c r="N28" s="96">
        <v>0</v>
      </c>
    </row>
    <row r="29" spans="1:14" x14ac:dyDescent="0.3">
      <c r="A29" s="74">
        <v>43492</v>
      </c>
      <c r="B29" s="8">
        <f t="shared" si="5"/>
        <v>-31</v>
      </c>
      <c r="C29" s="8">
        <f t="shared" si="0"/>
        <v>772227.27272727271</v>
      </c>
      <c r="D29" s="8">
        <f t="shared" si="1"/>
        <v>10811181.818181805</v>
      </c>
      <c r="E29" s="8">
        <f t="shared" si="6"/>
        <v>5509.2597758405909</v>
      </c>
      <c r="F29" s="8">
        <f t="shared" si="2"/>
        <v>5902.7783312577776</v>
      </c>
      <c r="G29" s="66">
        <f t="shared" si="3"/>
        <v>5509.25977584059</v>
      </c>
      <c r="H29" s="8">
        <f t="shared" si="7"/>
        <v>10816691.077957645</v>
      </c>
      <c r="I29" s="8">
        <f t="shared" si="4"/>
        <v>607</v>
      </c>
      <c r="J29" s="58">
        <f t="shared" si="11"/>
        <v>2.119289525425172E-3</v>
      </c>
      <c r="K29" s="69">
        <v>0.5</v>
      </c>
      <c r="L29" s="71">
        <f t="shared" si="9"/>
        <v>0.98996425999236126</v>
      </c>
      <c r="M29" s="66">
        <f t="shared" si="10"/>
        <v>11346.821903523034</v>
      </c>
      <c r="N29" s="96">
        <v>0</v>
      </c>
    </row>
    <row r="30" spans="1:14" x14ac:dyDescent="0.3">
      <c r="A30" s="74">
        <v>43461</v>
      </c>
      <c r="B30" s="8">
        <f t="shared" si="5"/>
        <v>-31</v>
      </c>
      <c r="C30" s="8">
        <f t="shared" si="0"/>
        <v>772227.27272727271</v>
      </c>
      <c r="D30" s="8">
        <f t="shared" si="1"/>
        <v>11583409.090909079</v>
      </c>
      <c r="E30" s="8">
        <f t="shared" si="6"/>
        <v>5902.7783312577776</v>
      </c>
      <c r="F30" s="8">
        <f t="shared" si="2"/>
        <v>6093.1905354918999</v>
      </c>
      <c r="G30" s="66">
        <f t="shared" si="3"/>
        <v>5902.7783312577776</v>
      </c>
      <c r="H30" s="8">
        <f t="shared" si="7"/>
        <v>11589311.869240336</v>
      </c>
      <c r="I30" s="8">
        <f t="shared" si="4"/>
        <v>576</v>
      </c>
      <c r="J30" s="58">
        <f t="shared" si="11"/>
        <v>2.119289525425172E-3</v>
      </c>
      <c r="K30" s="69">
        <v>0.5</v>
      </c>
      <c r="L30" s="71">
        <f t="shared" si="9"/>
        <v>0.99047434455920358</v>
      </c>
      <c r="M30" s="66">
        <f t="shared" si="10"/>
        <v>12163.573303222851</v>
      </c>
      <c r="N30" s="96">
        <v>0</v>
      </c>
    </row>
    <row r="31" spans="1:14" x14ac:dyDescent="0.3">
      <c r="A31" s="74">
        <v>43431</v>
      </c>
      <c r="B31" s="8">
        <f t="shared" si="5"/>
        <v>-30</v>
      </c>
      <c r="C31" s="8">
        <f t="shared" si="0"/>
        <v>772227.27272727271</v>
      </c>
      <c r="D31" s="8">
        <f t="shared" si="1"/>
        <v>12355636.363636352</v>
      </c>
      <c r="E31" s="8">
        <f t="shared" si="6"/>
        <v>6093.1905354918999</v>
      </c>
      <c r="F31" s="8">
        <f t="shared" si="2"/>
        <v>6689.8154420921492</v>
      </c>
      <c r="G31" s="66">
        <f t="shared" si="3"/>
        <v>6093.1905354918999</v>
      </c>
      <c r="H31" s="8">
        <f t="shared" si="7"/>
        <v>12361729.554171843</v>
      </c>
      <c r="I31" s="8">
        <f t="shared" si="4"/>
        <v>545</v>
      </c>
      <c r="J31" s="58">
        <f t="shared" si="11"/>
        <v>2.0509955032755878E-3</v>
      </c>
      <c r="K31" s="69">
        <v>0.5</v>
      </c>
      <c r="L31" s="71">
        <f t="shared" si="9"/>
        <v>0.99098469194994376</v>
      </c>
      <c r="M31" s="66">
        <f t="shared" si="10"/>
        <v>12562.639472364588</v>
      </c>
      <c r="N31" s="96">
        <v>0</v>
      </c>
    </row>
    <row r="32" spans="1:14" x14ac:dyDescent="0.3">
      <c r="A32" s="74">
        <v>43400</v>
      </c>
      <c r="B32" s="8">
        <f t="shared" si="5"/>
        <v>-31</v>
      </c>
      <c r="C32" s="8">
        <f t="shared" si="0"/>
        <v>772227.27272727271</v>
      </c>
      <c r="D32" s="8">
        <f t="shared" si="1"/>
        <v>13127863.636363626</v>
      </c>
      <c r="E32" s="8">
        <f t="shared" si="6"/>
        <v>6689.8154420921492</v>
      </c>
      <c r="F32" s="8">
        <f t="shared" si="2"/>
        <v>6854.8393524283883</v>
      </c>
      <c r="G32" s="66">
        <f t="shared" si="3"/>
        <v>6689.8154420921501</v>
      </c>
      <c r="H32" s="8">
        <f t="shared" si="7"/>
        <v>13134553.451805718</v>
      </c>
      <c r="I32" s="8">
        <f t="shared" si="4"/>
        <v>515</v>
      </c>
      <c r="J32" s="58">
        <f t="shared" si="11"/>
        <v>2.119289525425172E-3</v>
      </c>
      <c r="K32" s="69">
        <v>0.5</v>
      </c>
      <c r="L32" s="71">
        <f t="shared" si="9"/>
        <v>0.9914788268925373</v>
      </c>
      <c r="M32" s="66">
        <f t="shared" si="10"/>
        <v>13799.363422701197</v>
      </c>
      <c r="N32" s="96">
        <v>0</v>
      </c>
    </row>
    <row r="33" spans="1:14" x14ac:dyDescent="0.3">
      <c r="A33" s="74">
        <v>43370</v>
      </c>
      <c r="B33" s="8">
        <f t="shared" si="5"/>
        <v>-30</v>
      </c>
      <c r="C33" s="8">
        <f t="shared" si="0"/>
        <v>772227.27272727271</v>
      </c>
      <c r="D33" s="8">
        <f t="shared" si="1"/>
        <v>13900090.909090899</v>
      </c>
      <c r="E33" s="8">
        <f t="shared" si="6"/>
        <v>6854.8393524283883</v>
      </c>
      <c r="F33" s="8">
        <f t="shared" si="2"/>
        <v>7476.8525529265216</v>
      </c>
      <c r="G33" s="66">
        <f t="shared" si="3"/>
        <v>6854.8393524283883</v>
      </c>
      <c r="H33" s="8">
        <f t="shared" si="7"/>
        <v>13906945.748443328</v>
      </c>
      <c r="I33" s="8">
        <f t="shared" si="4"/>
        <v>484</v>
      </c>
      <c r="J33" s="58">
        <f t="shared" si="11"/>
        <v>2.0509955032755878E-3</v>
      </c>
      <c r="K33" s="69">
        <v>0.5</v>
      </c>
      <c r="L33" s="71">
        <f t="shared" si="9"/>
        <v>0.99198969184836194</v>
      </c>
      <c r="M33" s="66">
        <f t="shared" si="10"/>
        <v>14147.302254266613</v>
      </c>
      <c r="N33" s="96">
        <v>0</v>
      </c>
    </row>
    <row r="34" spans="1:14" x14ac:dyDescent="0.3">
      <c r="A34" s="74">
        <v>43339</v>
      </c>
      <c r="B34" s="8">
        <f t="shared" si="5"/>
        <v>-31</v>
      </c>
      <c r="C34" s="8">
        <f t="shared" si="0"/>
        <v>772227.27272727271</v>
      </c>
      <c r="D34" s="8">
        <f t="shared" si="1"/>
        <v>14672318.181818172</v>
      </c>
      <c r="E34" s="8">
        <f t="shared" si="6"/>
        <v>7476.8525529265216</v>
      </c>
      <c r="F34" s="8">
        <f t="shared" si="2"/>
        <v>7870.3711083437074</v>
      </c>
      <c r="G34" s="66">
        <f t="shared" si="3"/>
        <v>7476.8525529265216</v>
      </c>
      <c r="H34" s="8">
        <f t="shared" si="7"/>
        <v>14679795.034371099</v>
      </c>
      <c r="I34" s="8">
        <f t="shared" si="4"/>
        <v>454</v>
      </c>
      <c r="J34" s="58">
        <f t="shared" si="11"/>
        <v>2.119289525425172E-3</v>
      </c>
      <c r="K34" s="69">
        <v>0.5</v>
      </c>
      <c r="L34" s="71">
        <f t="shared" si="9"/>
        <v>0.99248432791430408</v>
      </c>
      <c r="M34" s="66">
        <f t="shared" si="10"/>
        <v>15438.458881362403</v>
      </c>
      <c r="N34" s="96">
        <v>0</v>
      </c>
    </row>
    <row r="35" spans="1:14" x14ac:dyDescent="0.3">
      <c r="A35" s="74">
        <v>43308</v>
      </c>
      <c r="B35" s="8">
        <f>A35-A34</f>
        <v>-31</v>
      </c>
      <c r="C35" s="8">
        <f t="shared" si="0"/>
        <v>772227.27272727271</v>
      </c>
      <c r="D35" s="8">
        <f t="shared" si="1"/>
        <v>15444545.454545446</v>
      </c>
      <c r="E35" s="8">
        <f t="shared" si="6"/>
        <v>7870.3711083437074</v>
      </c>
      <c r="F35" s="8">
        <f t="shared" si="2"/>
        <v>7997.3125778331214</v>
      </c>
      <c r="G35" s="66">
        <f t="shared" si="3"/>
        <v>7870.3711083437065</v>
      </c>
      <c r="H35" s="8">
        <f t="shared" si="7"/>
        <v>15452415.82565379</v>
      </c>
      <c r="I35" s="8">
        <f>A34-$A$3</f>
        <v>423</v>
      </c>
      <c r="J35" s="58">
        <f t="shared" si="11"/>
        <v>2.119289525425172E-3</v>
      </c>
      <c r="K35" s="69">
        <v>0.5</v>
      </c>
      <c r="L35" s="71">
        <f t="shared" si="9"/>
        <v>0.99299571096009798</v>
      </c>
      <c r="M35" s="66">
        <f t="shared" si="10"/>
        <v>16259.382771358716</v>
      </c>
      <c r="N35" s="96">
        <v>0</v>
      </c>
    </row>
    <row r="36" spans="1:14" x14ac:dyDescent="0.3">
      <c r="A36" s="74">
        <v>43278</v>
      </c>
      <c r="B36" s="8">
        <f t="shared" si="5"/>
        <v>-30</v>
      </c>
      <c r="C36" s="8">
        <f t="shared" si="0"/>
        <v>772227.27272727271</v>
      </c>
      <c r="D36" s="8">
        <f t="shared" si="1"/>
        <v>16216772.727272719</v>
      </c>
      <c r="E36" s="8">
        <f t="shared" si="6"/>
        <v>7997.3125778331214</v>
      </c>
      <c r="F36" s="8">
        <f t="shared" si="2"/>
        <v>8657.4082191780781</v>
      </c>
      <c r="G36" s="66">
        <f t="shared" si="3"/>
        <v>7997.3125778331214</v>
      </c>
      <c r="H36" s="8">
        <f t="shared" si="7"/>
        <v>16224770.039850552</v>
      </c>
      <c r="I36" s="8">
        <f t="shared" si="4"/>
        <v>392</v>
      </c>
      <c r="J36" s="58">
        <f t="shared" si="11"/>
        <v>2.0509955032755878E-3</v>
      </c>
      <c r="K36" s="69">
        <v>0.5</v>
      </c>
      <c r="L36" s="71">
        <f t="shared" si="9"/>
        <v>0.99350735749883823</v>
      </c>
      <c r="M36" s="66">
        <f t="shared" si="10"/>
        <v>16530.437590416739</v>
      </c>
      <c r="N36" s="97">
        <f>M36*(N13-A36)/30</f>
        <v>1653.0437590416739</v>
      </c>
    </row>
    <row r="37" spans="1:14" x14ac:dyDescent="0.3">
      <c r="A37" s="74">
        <v>43247</v>
      </c>
      <c r="B37" s="8">
        <f t="shared" si="5"/>
        <v>-31</v>
      </c>
      <c r="C37" s="8">
        <f t="shared" si="0"/>
        <v>772227.27272727271</v>
      </c>
      <c r="D37" s="8">
        <f t="shared" si="1"/>
        <v>16988999.999999993</v>
      </c>
      <c r="E37" s="8">
        <f t="shared" si="6"/>
        <v>8657.4082191780781</v>
      </c>
      <c r="F37" s="8">
        <f t="shared" si="2"/>
        <v>8758.9613947696125</v>
      </c>
      <c r="G37" s="66">
        <f t="shared" si="3"/>
        <v>8657.4082191780763</v>
      </c>
      <c r="H37" s="8">
        <f t="shared" si="7"/>
        <v>16997657.40821917</v>
      </c>
      <c r="I37" s="8">
        <f t="shared" si="4"/>
        <v>362</v>
      </c>
      <c r="J37" s="58">
        <f>1-POWER((1-$B$9),((I37-I38)/365))</f>
        <v>1.7342760213537867E-3</v>
      </c>
      <c r="K37" s="69">
        <v>0.5</v>
      </c>
      <c r="L37" s="71">
        <f t="shared" si="9"/>
        <v>0.99400275031877983</v>
      </c>
      <c r="M37" s="66">
        <f t="shared" si="10"/>
        <v>14650.919479958129</v>
      </c>
      <c r="N37" s="97">
        <f t="shared" ref="N37:N47" si="12">M37</f>
        <v>14650.919479958129</v>
      </c>
    </row>
    <row r="38" spans="1:14" x14ac:dyDescent="0.3">
      <c r="A38" s="74">
        <v>43217</v>
      </c>
      <c r="B38" s="8">
        <f t="shared" si="5"/>
        <v>-30</v>
      </c>
      <c r="C38" s="8">
        <f t="shared" si="0"/>
        <v>772227.27272727271</v>
      </c>
      <c r="D38" s="8">
        <f t="shared" si="1"/>
        <v>17761227.272727266</v>
      </c>
      <c r="E38" s="8">
        <f t="shared" si="6"/>
        <v>8758.9613947696125</v>
      </c>
      <c r="F38" s="8">
        <f t="shared" si="2"/>
        <v>9444.4453300124514</v>
      </c>
      <c r="G38" s="66">
        <f t="shared" si="3"/>
        <v>8758.9613947696125</v>
      </c>
      <c r="H38" s="8">
        <f t="shared" si="7"/>
        <v>17769986.234122034</v>
      </c>
      <c r="I38" s="8">
        <f t="shared" si="4"/>
        <v>331</v>
      </c>
      <c r="J38" s="58">
        <f t="shared" ref="J38:J47" si="13">1-POWER((1-$B$9),((I38-I39)/365))</f>
        <v>1.6783786082257279E-3</v>
      </c>
      <c r="K38" s="69">
        <v>0.5</v>
      </c>
      <c r="L38" s="71">
        <f t="shared" si="9"/>
        <v>0.99451491574012596</v>
      </c>
      <c r="M38" s="66">
        <f t="shared" si="10"/>
        <v>14830.586708027817</v>
      </c>
      <c r="N38" s="97">
        <f t="shared" si="12"/>
        <v>14830.586708027817</v>
      </c>
    </row>
    <row r="39" spans="1:14" x14ac:dyDescent="0.3">
      <c r="A39" s="74">
        <v>43186</v>
      </c>
      <c r="B39" s="8">
        <f t="shared" si="5"/>
        <v>-31</v>
      </c>
      <c r="C39" s="8">
        <f t="shared" si="0"/>
        <v>772227.27272727271</v>
      </c>
      <c r="D39" s="8">
        <f t="shared" si="1"/>
        <v>18533454.545454539</v>
      </c>
      <c r="E39" s="8">
        <f t="shared" si="6"/>
        <v>9444.4453300124514</v>
      </c>
      <c r="F39" s="8">
        <f t="shared" si="2"/>
        <v>8885.9028642590256</v>
      </c>
      <c r="G39" s="66">
        <f t="shared" si="3"/>
        <v>9444.4453300124533</v>
      </c>
      <c r="H39" s="8">
        <f t="shared" si="7"/>
        <v>18542898.990784552</v>
      </c>
      <c r="I39" s="8">
        <f t="shared" si="4"/>
        <v>301</v>
      </c>
      <c r="J39" s="58">
        <f t="shared" si="13"/>
        <v>1.7342760213537867E-3</v>
      </c>
      <c r="K39" s="69">
        <v>0.5</v>
      </c>
      <c r="L39" s="71">
        <f t="shared" si="9"/>
        <v>0.99501081095908295</v>
      </c>
      <c r="M39" s="66">
        <f t="shared" si="10"/>
        <v>15999.030112477558</v>
      </c>
      <c r="N39" s="97">
        <f t="shared" si="12"/>
        <v>15999.030112477558</v>
      </c>
    </row>
    <row r="40" spans="1:14" x14ac:dyDescent="0.3">
      <c r="A40" s="74">
        <v>43158</v>
      </c>
      <c r="B40" s="8">
        <f t="shared" si="5"/>
        <v>-28</v>
      </c>
      <c r="C40" s="8">
        <f t="shared" si="0"/>
        <v>772227.27272727271</v>
      </c>
      <c r="D40" s="8">
        <f t="shared" si="1"/>
        <v>19305681.818181813</v>
      </c>
      <c r="E40" s="8">
        <f t="shared" si="6"/>
        <v>8885.9028642590256</v>
      </c>
      <c r="F40" s="8">
        <f t="shared" si="2"/>
        <v>10231.482440846821</v>
      </c>
      <c r="G40" s="66">
        <f t="shared" si="3"/>
        <v>8885.9028642590256</v>
      </c>
      <c r="H40" s="8">
        <f t="shared" si="7"/>
        <v>19314567.721046071</v>
      </c>
      <c r="I40" s="8">
        <f t="shared" si="4"/>
        <v>270</v>
      </c>
      <c r="J40" s="58">
        <f t="shared" si="13"/>
        <v>1.5665743919472952E-3</v>
      </c>
      <c r="K40" s="69">
        <v>0.5</v>
      </c>
      <c r="L40" s="71">
        <f t="shared" si="9"/>
        <v>0.99552349578925603</v>
      </c>
      <c r="M40" s="66">
        <f t="shared" si="10"/>
        <v>15061.129214854502</v>
      </c>
      <c r="N40" s="97">
        <f t="shared" si="12"/>
        <v>15061.129214854502</v>
      </c>
    </row>
    <row r="41" spans="1:14" x14ac:dyDescent="0.3">
      <c r="A41" s="74">
        <v>43127</v>
      </c>
      <c r="B41" s="8">
        <f t="shared" si="5"/>
        <v>-31</v>
      </c>
      <c r="C41" s="8">
        <f t="shared" si="0"/>
        <v>772227.27272727271</v>
      </c>
      <c r="D41" s="8">
        <f t="shared" si="1"/>
        <v>20077909.090909086</v>
      </c>
      <c r="E41" s="8">
        <f t="shared" si="6"/>
        <v>10231.482440846821</v>
      </c>
      <c r="F41" s="8">
        <f t="shared" si="2"/>
        <v>10625.000996264007</v>
      </c>
      <c r="G41" s="66">
        <f t="shared" si="3"/>
        <v>10231.482440846819</v>
      </c>
      <c r="H41" s="8">
        <f t="shared" si="7"/>
        <v>20088140.573349934</v>
      </c>
      <c r="I41" s="8">
        <f t="shared" si="4"/>
        <v>242</v>
      </c>
      <c r="J41" s="58">
        <f t="shared" si="13"/>
        <v>1.7342760213537867E-3</v>
      </c>
      <c r="K41" s="69">
        <v>0.5</v>
      </c>
      <c r="L41" s="71">
        <f t="shared" si="9"/>
        <v>0.99598679300900472</v>
      </c>
      <c r="M41" s="66">
        <f t="shared" si="10"/>
        <v>17349.28343886372</v>
      </c>
      <c r="N41" s="97">
        <f t="shared" si="12"/>
        <v>17349.28343886372</v>
      </c>
    </row>
    <row r="42" spans="1:14" x14ac:dyDescent="0.3">
      <c r="A42" s="74">
        <v>43096</v>
      </c>
      <c r="B42" s="8">
        <f t="shared" si="5"/>
        <v>-31</v>
      </c>
      <c r="C42" s="8">
        <f t="shared" si="0"/>
        <v>772227.27272727271</v>
      </c>
      <c r="D42" s="8">
        <f t="shared" si="1"/>
        <v>20850136.36363636</v>
      </c>
      <c r="E42" s="8">
        <f t="shared" si="6"/>
        <v>10625.000996264007</v>
      </c>
      <c r="F42" s="8">
        <f t="shared" si="2"/>
        <v>10663.083437110834</v>
      </c>
      <c r="G42" s="66">
        <f t="shared" si="3"/>
        <v>10625.000996264005</v>
      </c>
      <c r="H42" s="8">
        <f t="shared" si="7"/>
        <v>20860761.364632625</v>
      </c>
      <c r="I42" s="8">
        <f t="shared" si="4"/>
        <v>211</v>
      </c>
      <c r="J42" s="58">
        <f t="shared" si="13"/>
        <v>1.7342760213537867E-3</v>
      </c>
      <c r="K42" s="69">
        <v>0.5</v>
      </c>
      <c r="L42" s="71">
        <f t="shared" si="9"/>
        <v>0.99649998071933354</v>
      </c>
      <c r="M42" s="66">
        <f t="shared" si="10"/>
        <v>18025.84670527362</v>
      </c>
      <c r="N42" s="97">
        <f t="shared" si="12"/>
        <v>18025.84670527362</v>
      </c>
    </row>
    <row r="43" spans="1:14" x14ac:dyDescent="0.3">
      <c r="A43" s="74">
        <v>43066</v>
      </c>
      <c r="B43" s="8">
        <f t="shared" si="5"/>
        <v>-30</v>
      </c>
      <c r="C43" s="8">
        <f t="shared" si="0"/>
        <v>772227.27272727271</v>
      </c>
      <c r="D43" s="8">
        <f t="shared" si="1"/>
        <v>21622363.636363633</v>
      </c>
      <c r="E43" s="8">
        <f t="shared" si="6"/>
        <v>10663.083437110834</v>
      </c>
      <c r="F43" s="8">
        <f t="shared" si="2"/>
        <v>11412.03810709838</v>
      </c>
      <c r="G43" s="66">
        <f t="shared" si="3"/>
        <v>10663.083437110834</v>
      </c>
      <c r="H43" s="8">
        <f t="shared" si="7"/>
        <v>21633026.719800744</v>
      </c>
      <c r="I43" s="8">
        <f t="shared" si="4"/>
        <v>180</v>
      </c>
      <c r="J43" s="58">
        <f t="shared" si="13"/>
        <v>1.6783786082257279E-3</v>
      </c>
      <c r="K43" s="69">
        <v>0.5</v>
      </c>
      <c r="L43" s="71">
        <f t="shared" si="9"/>
        <v>0.99701343285247179</v>
      </c>
      <c r="M43" s="66">
        <f t="shared" si="10"/>
        <v>18099.985887680701</v>
      </c>
      <c r="N43" s="97">
        <f t="shared" si="12"/>
        <v>18099.985887680701</v>
      </c>
    </row>
    <row r="44" spans="1:14" x14ac:dyDescent="0.3">
      <c r="A44" s="74">
        <v>43035</v>
      </c>
      <c r="B44" s="8">
        <f t="shared" si="5"/>
        <v>-31</v>
      </c>
      <c r="C44" s="8">
        <f t="shared" si="0"/>
        <v>772227.27272727271</v>
      </c>
      <c r="D44" s="8">
        <f t="shared" si="1"/>
        <v>22394590.909090906</v>
      </c>
      <c r="E44" s="8">
        <f t="shared" si="6"/>
        <v>11412.03810709838</v>
      </c>
      <c r="F44" s="8">
        <f t="shared" si="2"/>
        <v>11424.732254047321</v>
      </c>
      <c r="G44" s="66">
        <f t="shared" si="3"/>
        <v>11412.038107098382</v>
      </c>
      <c r="H44" s="8">
        <f t="shared" si="7"/>
        <v>22406002.947198004</v>
      </c>
      <c r="I44" s="8">
        <f t="shared" si="4"/>
        <v>150</v>
      </c>
      <c r="J44" s="58">
        <f t="shared" si="13"/>
        <v>1.7342760213537867E-3</v>
      </c>
      <c r="K44" s="69">
        <v>0.5</v>
      </c>
      <c r="L44" s="71">
        <f t="shared" si="9"/>
        <v>0.99751057390763598</v>
      </c>
      <c r="M44" s="66">
        <f t="shared" si="10"/>
        <v>19380.729522272006</v>
      </c>
      <c r="N44" s="97">
        <f t="shared" si="12"/>
        <v>19380.729522272006</v>
      </c>
    </row>
    <row r="45" spans="1:14" x14ac:dyDescent="0.3">
      <c r="A45" s="74">
        <v>43005</v>
      </c>
      <c r="B45" s="8">
        <f t="shared" si="5"/>
        <v>-30</v>
      </c>
      <c r="C45" s="8">
        <f t="shared" si="0"/>
        <v>772227.27272727271</v>
      </c>
      <c r="D45" s="8">
        <f t="shared" si="1"/>
        <v>23166818.18181818</v>
      </c>
      <c r="E45" s="8">
        <f t="shared" si="6"/>
        <v>11424.732254047321</v>
      </c>
      <c r="F45" s="8">
        <f t="shared" si="2"/>
        <v>12199.075217932752</v>
      </c>
      <c r="G45" s="66">
        <f t="shared" si="3"/>
        <v>11424.732254047323</v>
      </c>
      <c r="H45" s="8">
        <f t="shared" si="7"/>
        <v>23178242.914072227</v>
      </c>
      <c r="I45" s="8">
        <f t="shared" si="4"/>
        <v>119</v>
      </c>
      <c r="J45" s="58">
        <f t="shared" si="13"/>
        <v>1.6783786082257279E-3</v>
      </c>
      <c r="K45" s="69">
        <v>0.5</v>
      </c>
      <c r="L45" s="71">
        <f t="shared" si="9"/>
        <v>0.9980245467545108</v>
      </c>
      <c r="M45" s="66">
        <f t="shared" si="10"/>
        <v>19412.509131826606</v>
      </c>
      <c r="N45" s="97">
        <f t="shared" si="12"/>
        <v>19412.509131826606</v>
      </c>
    </row>
    <row r="46" spans="1:14" x14ac:dyDescent="0.3">
      <c r="A46" s="74">
        <v>42974</v>
      </c>
      <c r="B46" s="8">
        <f t="shared" si="5"/>
        <v>-31</v>
      </c>
      <c r="C46" s="8">
        <f t="shared" si="0"/>
        <v>772227.27272727271</v>
      </c>
      <c r="D46" s="8">
        <f t="shared" si="1"/>
        <v>23939045.454545453</v>
      </c>
      <c r="E46" s="8">
        <f t="shared" si="6"/>
        <v>12199.075217932752</v>
      </c>
      <c r="F46" s="8">
        <f t="shared" si="2"/>
        <v>12592.593773349938</v>
      </c>
      <c r="G46" s="66">
        <f t="shared" si="3"/>
        <v>12199.075217932754</v>
      </c>
      <c r="H46" s="8">
        <f t="shared" si="7"/>
        <v>23951244.529763386</v>
      </c>
      <c r="I46" s="8">
        <f t="shared" si="4"/>
        <v>89</v>
      </c>
      <c r="J46" s="58">
        <f t="shared" si="13"/>
        <v>1.7342760213537867E-3</v>
      </c>
      <c r="K46" s="69">
        <v>0.5</v>
      </c>
      <c r="L46" s="71">
        <f t="shared" si="9"/>
        <v>0.99852219198165049</v>
      </c>
      <c r="M46" s="66">
        <f t="shared" si="10"/>
        <v>20738.341889005977</v>
      </c>
      <c r="N46" s="97">
        <f t="shared" si="12"/>
        <v>20738.341889005977</v>
      </c>
    </row>
    <row r="47" spans="1:14" x14ac:dyDescent="0.3">
      <c r="A47" s="74">
        <v>42943</v>
      </c>
      <c r="B47" s="8">
        <f t="shared" si="5"/>
        <v>-31</v>
      </c>
      <c r="C47" s="8">
        <f t="shared" si="0"/>
        <v>772227.27272727271</v>
      </c>
      <c r="D47" s="8">
        <f>D48-C47</f>
        <v>24711272.727272727</v>
      </c>
      <c r="E47" s="8">
        <f t="shared" si="6"/>
        <v>12592.593773349938</v>
      </c>
      <c r="F47" s="8">
        <f t="shared" si="2"/>
        <v>11310.48493150685</v>
      </c>
      <c r="G47" s="66">
        <f t="shared" si="3"/>
        <v>12592.593773349938</v>
      </c>
      <c r="H47" s="8">
        <f t="shared" si="7"/>
        <v>24723865.321046077</v>
      </c>
      <c r="I47" s="8">
        <f t="shared" si="4"/>
        <v>58</v>
      </c>
      <c r="J47" s="58">
        <f t="shared" si="13"/>
        <v>1.7342760213537867E-3</v>
      </c>
      <c r="K47" s="69">
        <v>0.5</v>
      </c>
      <c r="L47" s="71">
        <f t="shared" si="9"/>
        <v>0.9990366860703398</v>
      </c>
      <c r="M47" s="66">
        <f t="shared" si="10"/>
        <v>21418.350900130998</v>
      </c>
      <c r="N47" s="97">
        <f t="shared" si="12"/>
        <v>21418.350900130998</v>
      </c>
    </row>
    <row r="48" spans="1:14" x14ac:dyDescent="0.3">
      <c r="A48" s="74">
        <v>42916</v>
      </c>
      <c r="B48" s="8">
        <f t="shared" si="5"/>
        <v>-27</v>
      </c>
      <c r="C48" s="8">
        <v>0</v>
      </c>
      <c r="D48" s="8">
        <f>E3</f>
        <v>25483500</v>
      </c>
      <c r="E48" s="8">
        <f t="shared" si="6"/>
        <v>11310.48493150685</v>
      </c>
      <c r="F48" s="8"/>
      <c r="G48" s="66">
        <f>E48</f>
        <v>11310.48493150685</v>
      </c>
      <c r="H48" s="8">
        <f t="shared" si="7"/>
        <v>25494810.484931506</v>
      </c>
      <c r="I48" s="8">
        <f t="shared" si="4"/>
        <v>27</v>
      </c>
      <c r="J48" s="58">
        <f>1-POWER((1-$B$9),((I48-I49)/365))</f>
        <v>1.5106675884464238E-3</v>
      </c>
      <c r="K48" s="69">
        <v>0.5</v>
      </c>
      <c r="L48" s="71">
        <f t="shared" si="9"/>
        <v>0.99955144525495698</v>
      </c>
      <c r="M48" s="66">
        <f t="shared" si="10"/>
        <v>19248.454076621154</v>
      </c>
      <c r="N48" s="97">
        <f>M48</f>
        <v>19248.454076621154</v>
      </c>
    </row>
    <row r="49" spans="1:14" ht="15" thickBot="1" x14ac:dyDescent="0.35">
      <c r="A49" s="3"/>
      <c r="B49" s="8"/>
      <c r="C49" s="8"/>
      <c r="D49" s="8"/>
      <c r="E49" s="8"/>
      <c r="F49" s="8"/>
      <c r="G49" s="63"/>
      <c r="H49" s="7"/>
      <c r="I49" s="8"/>
      <c r="J49" s="22"/>
      <c r="K49" s="8"/>
      <c r="L49" s="61"/>
      <c r="M49" s="61"/>
      <c r="N49" s="62"/>
    </row>
    <row r="50" spans="1:14" ht="15" thickBot="1" x14ac:dyDescent="0.35">
      <c r="A50" s="6"/>
      <c r="B50" s="23"/>
      <c r="C50" s="23"/>
      <c r="D50" s="23"/>
      <c r="E50" s="24"/>
      <c r="F50" s="9"/>
      <c r="G50" s="10"/>
      <c r="H50" s="10"/>
      <c r="I50" s="64"/>
      <c r="J50" s="11"/>
      <c r="K50" s="75" t="s">
        <v>17</v>
      </c>
      <c r="L50" s="76"/>
      <c r="M50" s="77">
        <f>SUM(M16:M48)</f>
        <v>403148.42397077498</v>
      </c>
      <c r="N50" s="77">
        <f>SUM(N16:N48)</f>
        <v>215868.21082603445</v>
      </c>
    </row>
    <row r="51" spans="1:14" ht="15" thickBot="1" x14ac:dyDescent="0.35">
      <c r="A51" s="13"/>
      <c r="B51" s="12"/>
      <c r="C51" s="12"/>
      <c r="D51" s="12"/>
      <c r="E51" s="14"/>
      <c r="F51" s="14"/>
      <c r="G51" s="14"/>
      <c r="H51" s="13"/>
      <c r="I51" s="13"/>
      <c r="J51" s="15"/>
      <c r="K51" s="15"/>
      <c r="L51" s="15"/>
    </row>
    <row r="52" spans="1:14" ht="15" thickBot="1" x14ac:dyDescent="0.35">
      <c r="A52" s="105" t="s">
        <v>34</v>
      </c>
      <c r="B52" s="106"/>
      <c r="C52" s="106"/>
      <c r="D52" s="106"/>
      <c r="E52" s="106"/>
      <c r="F52" s="106"/>
      <c r="G52" s="106"/>
      <c r="H52" s="106"/>
      <c r="I52" s="106"/>
      <c r="J52" s="106"/>
      <c r="K52" s="106"/>
      <c r="L52" s="107"/>
    </row>
    <row r="53" spans="1:14" ht="15" thickBot="1" x14ac:dyDescent="0.35">
      <c r="A53" s="39" t="s">
        <v>18</v>
      </c>
      <c r="B53" s="41" t="s">
        <v>29</v>
      </c>
      <c r="C53" s="40"/>
      <c r="D53" s="40"/>
      <c r="E53" s="40">
        <v>1</v>
      </c>
      <c r="F53" s="40">
        <v>2</v>
      </c>
      <c r="G53" s="40">
        <v>3</v>
      </c>
      <c r="H53" s="40">
        <v>4</v>
      </c>
      <c r="I53" s="40">
        <v>5</v>
      </c>
      <c r="J53" s="40">
        <v>6</v>
      </c>
      <c r="K53" s="40">
        <v>7</v>
      </c>
      <c r="L53" s="41">
        <v>8</v>
      </c>
    </row>
    <row r="54" spans="1:14" x14ac:dyDescent="0.3">
      <c r="A54" s="27">
        <v>10</v>
      </c>
      <c r="B54" s="26" t="s">
        <v>19</v>
      </c>
      <c r="C54" s="91"/>
      <c r="D54" s="91"/>
      <c r="E54" s="28">
        <v>5.2900000000000004E-3</v>
      </c>
      <c r="F54" s="28">
        <v>6.202E-3</v>
      </c>
      <c r="G54" s="28">
        <v>7.1139999999999997E-3</v>
      </c>
      <c r="H54" s="28">
        <v>8.0260000000000001E-3</v>
      </c>
      <c r="I54" s="28">
        <v>8.9379999999999998E-3</v>
      </c>
      <c r="J54" s="28">
        <v>9.8499999999999994E-3</v>
      </c>
      <c r="K54" s="28">
        <v>1.0761999999999999E-2</v>
      </c>
      <c r="L54" s="29">
        <v>1.1673999999999999E-2</v>
      </c>
    </row>
    <row r="55" spans="1:14" x14ac:dyDescent="0.3">
      <c r="A55" s="27">
        <v>11</v>
      </c>
      <c r="B55" s="26" t="s">
        <v>20</v>
      </c>
      <c r="C55" s="91"/>
      <c r="D55" s="91"/>
      <c r="E55" s="28">
        <v>8.2199999999999999E-3</v>
      </c>
      <c r="F55" s="28">
        <v>9.4039999999999992E-3</v>
      </c>
      <c r="G55" s="28">
        <v>1.0588E-2</v>
      </c>
      <c r="H55" s="28">
        <v>1.1772000000000001E-2</v>
      </c>
      <c r="I55" s="28">
        <v>1.2956000000000002E-2</v>
      </c>
      <c r="J55" s="28">
        <v>1.4140000000000003E-2</v>
      </c>
      <c r="K55" s="28">
        <v>1.5324000000000004E-2</v>
      </c>
      <c r="L55" s="29">
        <v>1.6508000000000005E-2</v>
      </c>
    </row>
    <row r="56" spans="1:14" x14ac:dyDescent="0.3">
      <c r="A56" s="27">
        <v>12</v>
      </c>
      <c r="B56" s="26">
        <v>5</v>
      </c>
      <c r="C56" s="91"/>
      <c r="D56" s="91"/>
      <c r="E56" s="28">
        <v>1.278E-2</v>
      </c>
      <c r="F56" s="28">
        <v>1.404E-2</v>
      </c>
      <c r="G56" s="28">
        <v>1.5300000000000001E-2</v>
      </c>
      <c r="H56" s="28">
        <v>1.6560000000000002E-2</v>
      </c>
      <c r="I56" s="28">
        <v>1.7820000000000003E-2</v>
      </c>
      <c r="J56" s="28">
        <v>1.9080000000000003E-2</v>
      </c>
      <c r="K56" s="28">
        <v>2.0340000000000004E-2</v>
      </c>
      <c r="L56" s="29">
        <v>2.1600000000000005E-2</v>
      </c>
    </row>
    <row r="57" spans="1:14" x14ac:dyDescent="0.3">
      <c r="A57" s="30">
        <v>13</v>
      </c>
      <c r="B57" s="26" t="s">
        <v>21</v>
      </c>
      <c r="C57" s="91"/>
      <c r="D57" s="91"/>
      <c r="E57" s="31">
        <v>1.9869999999999999E-2</v>
      </c>
      <c r="F57" s="31">
        <v>2.1044E-2</v>
      </c>
      <c r="G57" s="31">
        <v>2.2218000000000002E-2</v>
      </c>
      <c r="H57" s="32">
        <v>2.3392000000000003E-2</v>
      </c>
      <c r="I57" s="28">
        <v>2.4566000000000004E-2</v>
      </c>
      <c r="J57" s="28">
        <v>2.5740000000000006E-2</v>
      </c>
      <c r="K57" s="28">
        <v>2.6914000000000007E-2</v>
      </c>
      <c r="L57" s="29">
        <v>2.8088000000000009E-2</v>
      </c>
    </row>
    <row r="58" spans="1:14" ht="15" thickBot="1" x14ac:dyDescent="0.35">
      <c r="A58" s="33">
        <v>14</v>
      </c>
      <c r="B58" s="42" t="s">
        <v>22</v>
      </c>
      <c r="C58" s="92"/>
      <c r="D58" s="92"/>
      <c r="E58" s="34">
        <v>3.0088E-2</v>
      </c>
      <c r="F58" s="34">
        <v>3.0662200000000001E-2</v>
      </c>
      <c r="G58" s="34">
        <v>3.1236400000000001E-2</v>
      </c>
      <c r="H58" s="34">
        <v>3.1810600000000001E-2</v>
      </c>
      <c r="I58" s="34">
        <v>3.2384799999999998E-2</v>
      </c>
      <c r="J58" s="34">
        <v>3.2958999999999995E-2</v>
      </c>
      <c r="K58" s="34">
        <v>3.3533199999999992E-2</v>
      </c>
      <c r="L58" s="35">
        <v>3.4107399999999989E-2</v>
      </c>
    </row>
    <row r="59" spans="1:14" x14ac:dyDescent="0.3">
      <c r="A59" s="16"/>
      <c r="B59" s="16"/>
      <c r="C59" s="16"/>
      <c r="D59" s="16"/>
      <c r="E59" s="17"/>
      <c r="F59" s="17"/>
      <c r="G59" s="17"/>
      <c r="H59" s="17"/>
      <c r="I59" s="17"/>
      <c r="J59" s="17"/>
      <c r="K59" s="17"/>
      <c r="L59" s="17"/>
    </row>
    <row r="60" spans="1:14" ht="20.399999999999999" x14ac:dyDescent="0.3">
      <c r="A60" s="19" t="s">
        <v>30</v>
      </c>
      <c r="B60" s="20"/>
      <c r="C60" s="20"/>
      <c r="D60" s="20"/>
      <c r="E60" s="20"/>
      <c r="F60" s="20"/>
      <c r="G60" s="20"/>
      <c r="H60" s="20"/>
      <c r="I60" s="20"/>
      <c r="J60" s="25" t="s">
        <v>31</v>
      </c>
      <c r="K60" s="20"/>
      <c r="L60" s="67" t="s">
        <v>36</v>
      </c>
    </row>
    <row r="61" spans="1:14" ht="16.2" thickBot="1" x14ac:dyDescent="0.35">
      <c r="A61" s="19"/>
      <c r="B61" s="20"/>
      <c r="C61" s="20"/>
      <c r="D61" s="20"/>
      <c r="E61" s="20"/>
      <c r="F61" s="20"/>
      <c r="G61" s="20"/>
      <c r="H61" s="20"/>
      <c r="I61" s="20"/>
      <c r="J61" s="25"/>
      <c r="K61" s="20"/>
      <c r="L61" s="21"/>
    </row>
    <row r="62" spans="1:14" ht="15" thickBot="1" x14ac:dyDescent="0.35">
      <c r="A62" s="108" t="s">
        <v>35</v>
      </c>
      <c r="B62" s="109"/>
      <c r="C62" s="109"/>
      <c r="D62" s="109"/>
      <c r="E62" s="109"/>
      <c r="F62" s="109"/>
      <c r="G62" s="109"/>
      <c r="H62" s="109"/>
      <c r="I62" s="109"/>
      <c r="J62" s="109"/>
      <c r="K62" s="109"/>
      <c r="L62" s="110"/>
    </row>
    <row r="63" spans="1:14" x14ac:dyDescent="0.3">
      <c r="A63" s="36" t="s">
        <v>18</v>
      </c>
      <c r="B63" s="38" t="s">
        <v>29</v>
      </c>
      <c r="C63" s="37"/>
      <c r="D63" s="37"/>
      <c r="E63" s="37">
        <v>1</v>
      </c>
      <c r="F63" s="37">
        <v>2</v>
      </c>
      <c r="G63" s="37">
        <v>3</v>
      </c>
      <c r="H63" s="37">
        <v>4</v>
      </c>
      <c r="I63" s="37">
        <v>5</v>
      </c>
      <c r="J63" s="37">
        <v>6</v>
      </c>
      <c r="K63" s="37">
        <v>7</v>
      </c>
      <c r="L63" s="38">
        <v>8</v>
      </c>
    </row>
    <row r="64" spans="1:14" x14ac:dyDescent="0.3">
      <c r="A64" s="27">
        <v>10</v>
      </c>
      <c r="B64" s="26" t="s">
        <v>19</v>
      </c>
      <c r="C64" s="91"/>
      <c r="D64" s="91"/>
      <c r="E64" s="28">
        <v>5.5654077203140884E-3</v>
      </c>
      <c r="F64" s="28">
        <v>7.7902919135762671E-3</v>
      </c>
      <c r="G64" s="28">
        <v>9.3322269188961283E-3</v>
      </c>
      <c r="H64" s="28">
        <v>1.0716537577692687E-2</v>
      </c>
      <c r="I64" s="28">
        <v>1.1962952438615294E-2</v>
      </c>
      <c r="J64" s="28">
        <v>1.3077855108163793E-2</v>
      </c>
      <c r="K64" s="28">
        <v>1.4062055295955153E-2</v>
      </c>
      <c r="L64" s="29">
        <v>1.49153520038152E-2</v>
      </c>
    </row>
    <row r="65" spans="1:12" x14ac:dyDescent="0.3">
      <c r="A65" s="27">
        <v>11</v>
      </c>
      <c r="B65" s="26" t="s">
        <v>20</v>
      </c>
      <c r="C65" s="91"/>
      <c r="D65" s="91"/>
      <c r="E65" s="28">
        <v>8.394544439343456E-3</v>
      </c>
      <c r="F65" s="28">
        <v>1.1158561310553691E-2</v>
      </c>
      <c r="G65" s="28">
        <v>1.338014773334993E-2</v>
      </c>
      <c r="H65" s="28">
        <v>1.5304164477063066E-2</v>
      </c>
      <c r="I65" s="28">
        <v>1.6928703772476166E-2</v>
      </c>
      <c r="J65" s="28">
        <v>1.8259521621808713E-2</v>
      </c>
      <c r="K65" s="28">
        <v>1.9309560593566168E-2</v>
      </c>
      <c r="L65" s="29">
        <v>2.0097748410887312E-2</v>
      </c>
    </row>
    <row r="66" spans="1:12" x14ac:dyDescent="0.3">
      <c r="A66" s="27">
        <v>12</v>
      </c>
      <c r="B66" s="26">
        <v>5</v>
      </c>
      <c r="C66" s="91"/>
      <c r="D66" s="91"/>
      <c r="E66" s="28">
        <v>1.3033275437460667E-2</v>
      </c>
      <c r="F66" s="28">
        <v>1.6428416435257224E-2</v>
      </c>
      <c r="G66" s="28">
        <v>1.9077601567740576E-2</v>
      </c>
      <c r="H66" s="28">
        <v>2.1328643153523084E-2</v>
      </c>
      <c r="I66" s="28">
        <v>2.3159892434952707E-2</v>
      </c>
      <c r="J66" s="28">
        <v>2.4568385492472349E-2</v>
      </c>
      <c r="K66" s="28">
        <v>2.5570797987498801E-2</v>
      </c>
      <c r="L66" s="29">
        <v>2.6199095401961369E-2</v>
      </c>
    </row>
    <row r="67" spans="1:12" x14ac:dyDescent="0.3">
      <c r="A67" s="30">
        <v>13</v>
      </c>
      <c r="B67" s="26" t="s">
        <v>21</v>
      </c>
      <c r="C67" s="91"/>
      <c r="D67" s="91"/>
      <c r="E67" s="31">
        <v>2.0234039089477348E-2</v>
      </c>
      <c r="F67" s="31">
        <v>2.4670144180283463E-2</v>
      </c>
      <c r="G67" s="31">
        <v>2.8049178850582886E-2</v>
      </c>
      <c r="H67" s="32">
        <v>3.0704876891177239E-2</v>
      </c>
      <c r="I67" s="28">
        <v>3.2589109188762559E-2</v>
      </c>
      <c r="J67" s="28">
        <v>3.3742916529341568E-2</v>
      </c>
      <c r="K67" s="28">
        <v>3.4252262210007871E-2</v>
      </c>
      <c r="L67" s="29">
        <v>3.422106786919054E-2</v>
      </c>
    </row>
    <row r="68" spans="1:12" ht="15" thickBot="1" x14ac:dyDescent="0.35">
      <c r="A68" s="33">
        <v>14</v>
      </c>
      <c r="B68" s="42" t="s">
        <v>22</v>
      </c>
      <c r="C68" s="92"/>
      <c r="D68" s="92"/>
      <c r="E68" s="34">
        <v>3.1410842596143643E-2</v>
      </c>
      <c r="F68" s="34">
        <v>3.6825909210029484E-2</v>
      </c>
      <c r="G68" s="34">
        <v>4.0048457904413533E-2</v>
      </c>
      <c r="H68" s="34">
        <v>4.2016297413011439E-2</v>
      </c>
      <c r="I68" s="34">
        <v>4.2895943504048135E-2</v>
      </c>
      <c r="J68" s="34">
        <v>4.2873460559151824E-2</v>
      </c>
      <c r="K68" s="34">
        <v>4.2138570860379768E-2</v>
      </c>
      <c r="L68" s="35">
        <v>4.0869173550845253E-2</v>
      </c>
    </row>
  </sheetData>
  <mergeCells count="5">
    <mergeCell ref="B1:F1"/>
    <mergeCell ref="J1:K1"/>
    <mergeCell ref="F12:I12"/>
    <mergeCell ref="A52:L52"/>
    <mergeCell ref="A62:L6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M68"/>
  <sheetViews>
    <sheetView workbookViewId="0">
      <selection activeCell="M16" sqref="M16"/>
    </sheetView>
  </sheetViews>
  <sheetFormatPr defaultRowHeight="14.4" x14ac:dyDescent="0.3"/>
  <cols>
    <col min="1" max="1" width="13.77734375" customWidth="1"/>
    <col min="2" max="4" width="11.6640625" customWidth="1"/>
    <col min="5" max="5" width="14.21875" customWidth="1"/>
    <col min="6" max="6" width="12" customWidth="1"/>
    <col min="7" max="7" width="11.33203125" customWidth="1"/>
    <col min="8" max="8" width="12.21875" customWidth="1"/>
    <col min="9" max="9" width="10.21875" customWidth="1"/>
    <col min="11" max="11" width="11.21875" customWidth="1"/>
  </cols>
  <sheetData>
    <row r="1" spans="1:13" ht="15" thickBot="1" x14ac:dyDescent="0.35">
      <c r="A1" s="87" t="s">
        <v>0</v>
      </c>
      <c r="B1" s="98" t="s">
        <v>1</v>
      </c>
      <c r="C1" s="98"/>
      <c r="D1" s="98"/>
      <c r="E1" s="98"/>
      <c r="F1" s="99"/>
      <c r="I1" s="2"/>
      <c r="J1" s="100" t="s">
        <v>55</v>
      </c>
      <c r="K1" s="101"/>
      <c r="L1" s="2"/>
    </row>
    <row r="2" spans="1:13" x14ac:dyDescent="0.3">
      <c r="A2" s="51" t="s">
        <v>2</v>
      </c>
      <c r="B2" s="52" t="s">
        <v>3</v>
      </c>
      <c r="C2" s="52" t="s">
        <v>23</v>
      </c>
      <c r="D2" s="52" t="s">
        <v>24</v>
      </c>
      <c r="E2" s="52" t="s">
        <v>25</v>
      </c>
      <c r="F2" s="53" t="s">
        <v>9</v>
      </c>
      <c r="I2" s="2"/>
      <c r="J2" s="80">
        <f>AVERAGE(D16:D48)</f>
        <v>13127863.636363629</v>
      </c>
      <c r="K2" s="86" t="s">
        <v>48</v>
      </c>
      <c r="L2" s="2"/>
    </row>
    <row r="3" spans="1:13" x14ac:dyDescent="0.3">
      <c r="A3" s="78">
        <v>42916</v>
      </c>
      <c r="B3" s="79">
        <v>43917</v>
      </c>
      <c r="C3" s="55" t="s">
        <v>66</v>
      </c>
      <c r="D3" s="55" t="s">
        <v>66</v>
      </c>
      <c r="E3" s="57">
        <v>25483500</v>
      </c>
      <c r="F3" s="56">
        <v>0</v>
      </c>
      <c r="I3" s="2"/>
      <c r="J3" s="81">
        <f>AVERAGE(G16:G18)</f>
        <v>778.57434620173774</v>
      </c>
      <c r="K3" s="86" t="s">
        <v>49</v>
      </c>
      <c r="L3" s="2"/>
    </row>
    <row r="4" spans="1:13" x14ac:dyDescent="0.3">
      <c r="A4" s="51" t="s">
        <v>28</v>
      </c>
      <c r="B4" s="52" t="s">
        <v>4</v>
      </c>
      <c r="C4" s="52" t="s">
        <v>5</v>
      </c>
      <c r="D4" s="52" t="s">
        <v>6</v>
      </c>
      <c r="E4" s="52" t="s">
        <v>7</v>
      </c>
      <c r="F4" s="53" t="s">
        <v>8</v>
      </c>
      <c r="I4" s="2"/>
      <c r="J4" s="80">
        <f>J2+J3</f>
        <v>13128642.210709831</v>
      </c>
      <c r="K4" s="86" t="s">
        <v>50</v>
      </c>
      <c r="L4" s="2"/>
    </row>
    <row r="5" spans="1:13" x14ac:dyDescent="0.3">
      <c r="A5" s="54">
        <v>6.0000000000000001E-3</v>
      </c>
      <c r="B5" s="55">
        <v>4</v>
      </c>
      <c r="C5" s="55">
        <v>13</v>
      </c>
      <c r="D5" s="55">
        <v>0</v>
      </c>
      <c r="E5" s="55" t="s">
        <v>10</v>
      </c>
      <c r="F5" s="56" t="s">
        <v>10</v>
      </c>
      <c r="I5" s="2"/>
      <c r="J5" s="82">
        <f>SUM(J16:J48)</f>
        <v>6.6538051699114864E-2</v>
      </c>
      <c r="K5" s="86" t="s">
        <v>51</v>
      </c>
    </row>
    <row r="6" spans="1:13" ht="15" thickBot="1" x14ac:dyDescent="0.35">
      <c r="A6" s="6" t="s">
        <v>68</v>
      </c>
      <c r="B6" s="10"/>
      <c r="C6" s="10"/>
      <c r="D6" s="10"/>
      <c r="E6" s="10"/>
      <c r="F6" s="50"/>
      <c r="I6" s="2"/>
      <c r="J6" s="83">
        <f>F9</f>
        <v>0.5</v>
      </c>
      <c r="K6" s="86" t="s">
        <v>14</v>
      </c>
      <c r="L6" s="2"/>
    </row>
    <row r="7" spans="1:13" ht="15" thickBot="1" x14ac:dyDescent="0.35">
      <c r="A7" s="1"/>
      <c r="B7" s="1"/>
      <c r="C7" s="1"/>
      <c r="D7" s="1"/>
      <c r="E7" s="1"/>
      <c r="F7" s="1"/>
      <c r="I7" s="2"/>
      <c r="J7" s="84">
        <f>J4*J5*J6</f>
        <v>436777.13707769621</v>
      </c>
      <c r="K7" s="86" t="s">
        <v>52</v>
      </c>
      <c r="L7" s="2"/>
    </row>
    <row r="8" spans="1:13" ht="15" thickBot="1" x14ac:dyDescent="0.35">
      <c r="A8" s="45" t="s">
        <v>32</v>
      </c>
      <c r="B8" s="46"/>
      <c r="C8" s="90"/>
      <c r="D8" s="90"/>
      <c r="E8" s="1"/>
      <c r="F8" s="47" t="s">
        <v>14</v>
      </c>
      <c r="G8" s="1"/>
      <c r="H8" s="1"/>
      <c r="I8" s="2"/>
      <c r="J8" s="85">
        <f>AVERAGE(L16:L48)</f>
        <v>0.99149930291217803</v>
      </c>
      <c r="K8" s="86" t="s">
        <v>53</v>
      </c>
      <c r="L8" s="2"/>
    </row>
    <row r="9" spans="1:13" ht="15" thickBot="1" x14ac:dyDescent="0.35">
      <c r="A9" s="3" t="s">
        <v>11</v>
      </c>
      <c r="B9" s="43">
        <v>2.0230000000000001E-2</v>
      </c>
      <c r="C9" s="90"/>
      <c r="D9" s="90"/>
      <c r="E9" s="1"/>
      <c r="F9" s="4">
        <v>0.5</v>
      </c>
      <c r="G9" s="1"/>
      <c r="H9" s="1"/>
      <c r="I9" s="2"/>
      <c r="J9" s="88">
        <f>J7*J8</f>
        <v>433064.2269405126</v>
      </c>
      <c r="K9" s="89" t="s">
        <v>54</v>
      </c>
      <c r="L9" s="2"/>
    </row>
    <row r="10" spans="1:13" ht="15" thickBot="1" x14ac:dyDescent="0.35">
      <c r="A10" s="3" t="s">
        <v>12</v>
      </c>
      <c r="B10" s="43">
        <v>2.4670000000000001E-2</v>
      </c>
      <c r="C10" s="90"/>
      <c r="D10" s="90"/>
      <c r="E10" s="1"/>
      <c r="F10" s="5" t="s">
        <v>15</v>
      </c>
      <c r="G10" s="1"/>
      <c r="H10" s="1"/>
      <c r="I10" s="2"/>
      <c r="J10" s="2"/>
      <c r="K10" s="2"/>
      <c r="L10" s="2"/>
    </row>
    <row r="11" spans="1:13" ht="15" thickBot="1" x14ac:dyDescent="0.35">
      <c r="A11" s="6" t="s">
        <v>13</v>
      </c>
      <c r="B11" s="44">
        <v>2.8049999999999999E-2</v>
      </c>
      <c r="C11" s="90"/>
      <c r="D11" s="90"/>
      <c r="E11" s="1"/>
      <c r="F11" s="1"/>
      <c r="G11" s="1"/>
      <c r="H11" s="1"/>
      <c r="I11" s="2"/>
      <c r="J11" s="2"/>
      <c r="K11" s="2"/>
      <c r="L11" s="2"/>
    </row>
    <row r="12" spans="1:13" ht="15" thickBot="1" x14ac:dyDescent="0.35">
      <c r="A12" s="48"/>
      <c r="B12" s="48"/>
      <c r="C12" s="48"/>
      <c r="D12" s="48"/>
      <c r="E12" s="66"/>
      <c r="F12" s="102" t="s">
        <v>56</v>
      </c>
      <c r="G12" s="103"/>
      <c r="H12" s="103"/>
      <c r="I12" s="104"/>
      <c r="J12" s="2"/>
      <c r="K12" s="2"/>
      <c r="L12" s="2"/>
    </row>
    <row r="13" spans="1:13" ht="15" thickBot="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3" ht="55.2" x14ac:dyDescent="0.3">
      <c r="A14" s="68" t="s">
        <v>16</v>
      </c>
      <c r="B14" s="59" t="s">
        <v>44</v>
      </c>
      <c r="C14" s="59" t="s">
        <v>58</v>
      </c>
      <c r="D14" s="59" t="s">
        <v>59</v>
      </c>
      <c r="E14" s="59" t="s">
        <v>41</v>
      </c>
      <c r="F14" s="59" t="s">
        <v>40</v>
      </c>
      <c r="G14" s="59" t="s">
        <v>60</v>
      </c>
      <c r="H14" s="65" t="s">
        <v>61</v>
      </c>
      <c r="I14" s="59" t="s">
        <v>39</v>
      </c>
      <c r="J14" s="59" t="s">
        <v>62</v>
      </c>
      <c r="K14" s="59" t="s">
        <v>63</v>
      </c>
      <c r="L14" s="59" t="s">
        <v>64</v>
      </c>
      <c r="M14" s="60" t="s">
        <v>65</v>
      </c>
    </row>
    <row r="15" spans="1:13" x14ac:dyDescent="0.3">
      <c r="A15" s="74">
        <v>43917</v>
      </c>
      <c r="B15" s="8">
        <v>0</v>
      </c>
      <c r="C15" s="8">
        <f t="shared" ref="C15:C47" si="0">$E$3/COUNTA($B$15:$B$47)</f>
        <v>772227.27272727271</v>
      </c>
      <c r="D15" s="8"/>
      <c r="E15" s="18"/>
      <c r="F15" s="8">
        <f>E16</f>
        <v>368.13026151929654</v>
      </c>
      <c r="G15" s="66">
        <v>0</v>
      </c>
      <c r="H15" s="8">
        <v>0</v>
      </c>
      <c r="I15" s="8">
        <v>0</v>
      </c>
      <c r="J15" s="22"/>
      <c r="K15" s="70">
        <f>I15*J15</f>
        <v>0</v>
      </c>
      <c r="L15" s="48"/>
      <c r="M15" s="49" t="s">
        <v>46</v>
      </c>
    </row>
    <row r="16" spans="1:13" x14ac:dyDescent="0.3">
      <c r="A16" s="74">
        <v>43888</v>
      </c>
      <c r="B16" s="8">
        <f>A16-A15</f>
        <v>-29</v>
      </c>
      <c r="C16" s="8">
        <f t="shared" si="0"/>
        <v>772227.27272727271</v>
      </c>
      <c r="D16" s="8">
        <f t="shared" ref="D16:D46" si="1">D17-C16</f>
        <v>772227.2727272599</v>
      </c>
      <c r="E16" s="8">
        <f>B16*D16*$A$5/365*-1</f>
        <v>368.13026151929654</v>
      </c>
      <c r="F16" s="8">
        <f t="shared" ref="F16:F47" si="2">E17</f>
        <v>787.03711083436463</v>
      </c>
      <c r="G16" s="66">
        <f t="shared" ref="G16:G47" si="3">G17+E16-F16</f>
        <v>368.13026151929728</v>
      </c>
      <c r="H16" s="8">
        <f>D16+G16</f>
        <v>772595.40298877924</v>
      </c>
      <c r="I16" s="8">
        <f t="shared" ref="I16:I48" si="4">A15-$A$3</f>
        <v>1001</v>
      </c>
      <c r="J16" s="58">
        <f>1-POWER((1-$B$11),((I16-I17)/365))</f>
        <v>2.2579307814292182E-3</v>
      </c>
      <c r="K16" s="69">
        <v>0.5</v>
      </c>
      <c r="L16" s="71">
        <f>1/(1+$A$5)^(I16/360)</f>
        <v>0.98350408990927229</v>
      </c>
      <c r="M16" s="72">
        <f>H16*J16*K16*L16</f>
        <v>857.84518608380631</v>
      </c>
    </row>
    <row r="17" spans="1:13" x14ac:dyDescent="0.3">
      <c r="A17" s="74">
        <v>43857</v>
      </c>
      <c r="B17" s="8">
        <f t="shared" ref="B17:B48" si="5">A17-A16</f>
        <v>-31</v>
      </c>
      <c r="C17" s="8">
        <f t="shared" si="0"/>
        <v>772227.27272727271</v>
      </c>
      <c r="D17" s="8">
        <f t="shared" si="1"/>
        <v>1544454.5454545326</v>
      </c>
      <c r="E17" s="8">
        <f t="shared" ref="E17:E48" si="6">B17*D17*$A$5/365*-1</f>
        <v>787.03711083436463</v>
      </c>
      <c r="F17" s="8">
        <f t="shared" si="2"/>
        <v>1180.5556662515498</v>
      </c>
      <c r="G17" s="66">
        <f t="shared" si="3"/>
        <v>787.03711083436542</v>
      </c>
      <c r="H17" s="8">
        <f t="shared" ref="H17:H48" si="7">D17+G17</f>
        <v>1545241.582565367</v>
      </c>
      <c r="I17" s="8">
        <f t="shared" si="4"/>
        <v>972</v>
      </c>
      <c r="J17" s="58">
        <f t="shared" ref="J17:J24" si="8">1-POWER((1-$B$11),((I17-I18)/365))</f>
        <v>2.4134620878021318E-3</v>
      </c>
      <c r="K17" s="69">
        <v>0.5</v>
      </c>
      <c r="L17" s="71">
        <f t="shared" ref="L17:L48" si="9">1/(1+$A$5)^(I17/360)</f>
        <v>0.98397814402882633</v>
      </c>
      <c r="M17" s="72">
        <f t="shared" ref="M17:M48" si="10">H17*J17*K17*L17</f>
        <v>1834.8151775678236</v>
      </c>
    </row>
    <row r="18" spans="1:13" x14ac:dyDescent="0.3">
      <c r="A18" s="74">
        <v>43826</v>
      </c>
      <c r="B18" s="8">
        <f t="shared" si="5"/>
        <v>-31</v>
      </c>
      <c r="C18" s="8">
        <f t="shared" si="0"/>
        <v>772227.27272727271</v>
      </c>
      <c r="D18" s="8">
        <f t="shared" si="1"/>
        <v>2316681.8181818053</v>
      </c>
      <c r="E18" s="8">
        <f t="shared" si="6"/>
        <v>1180.5556662515498</v>
      </c>
      <c r="F18" s="8">
        <f t="shared" si="2"/>
        <v>1523.29763387297</v>
      </c>
      <c r="G18" s="66">
        <f t="shared" si="3"/>
        <v>1180.5556662515505</v>
      </c>
      <c r="H18" s="8">
        <f t="shared" si="7"/>
        <v>2317862.3738480569</v>
      </c>
      <c r="I18" s="8">
        <f t="shared" si="4"/>
        <v>941</v>
      </c>
      <c r="J18" s="58">
        <f t="shared" si="8"/>
        <v>2.4134620878021318E-3</v>
      </c>
      <c r="K18" s="69">
        <v>0.5</v>
      </c>
      <c r="L18" s="71">
        <f t="shared" si="9"/>
        <v>0.98448514421627087</v>
      </c>
      <c r="M18" s="72">
        <f t="shared" si="10"/>
        <v>2753.6408643724126</v>
      </c>
    </row>
    <row r="19" spans="1:13" x14ac:dyDescent="0.3">
      <c r="A19" s="74">
        <v>43796</v>
      </c>
      <c r="B19" s="8">
        <f t="shared" si="5"/>
        <v>-30</v>
      </c>
      <c r="C19" s="8">
        <f t="shared" si="0"/>
        <v>772227.27272727271</v>
      </c>
      <c r="D19" s="8">
        <f t="shared" si="1"/>
        <v>3088909.0909090778</v>
      </c>
      <c r="E19" s="8">
        <f t="shared" si="6"/>
        <v>1523.29763387297</v>
      </c>
      <c r="F19" s="8">
        <f t="shared" si="2"/>
        <v>1967.5927770859212</v>
      </c>
      <c r="G19" s="66">
        <f t="shared" si="3"/>
        <v>1523.2976338729709</v>
      </c>
      <c r="H19" s="8">
        <f t="shared" si="7"/>
        <v>3090432.3885429506</v>
      </c>
      <c r="I19" s="8">
        <f t="shared" si="4"/>
        <v>910</v>
      </c>
      <c r="J19" s="58">
        <f t="shared" si="8"/>
        <v>2.3356994654432084E-3</v>
      </c>
      <c r="K19" s="69">
        <v>0.5</v>
      </c>
      <c r="L19" s="71">
        <f t="shared" si="9"/>
        <v>0.98499240563836932</v>
      </c>
      <c r="M19" s="72">
        <f t="shared" si="10"/>
        <v>3554.9958200986875</v>
      </c>
    </row>
    <row r="20" spans="1:13" x14ac:dyDescent="0.3">
      <c r="A20" s="74">
        <v>43765</v>
      </c>
      <c r="B20" s="8">
        <f t="shared" si="5"/>
        <v>-31</v>
      </c>
      <c r="C20" s="8">
        <f t="shared" si="0"/>
        <v>772227.27272727271</v>
      </c>
      <c r="D20" s="8">
        <f t="shared" si="1"/>
        <v>3861136.3636363503</v>
      </c>
      <c r="E20" s="8">
        <f t="shared" si="6"/>
        <v>1967.5927770859212</v>
      </c>
      <c r="F20" s="8">
        <f t="shared" si="2"/>
        <v>2284.9464508094575</v>
      </c>
      <c r="G20" s="66">
        <f t="shared" si="3"/>
        <v>1967.5927770859221</v>
      </c>
      <c r="H20" s="8">
        <f t="shared" si="7"/>
        <v>3863103.9564134362</v>
      </c>
      <c r="I20" s="8">
        <f t="shared" si="4"/>
        <v>880</v>
      </c>
      <c r="J20" s="58">
        <f t="shared" si="8"/>
        <v>2.4134620878021318E-3</v>
      </c>
      <c r="K20" s="69">
        <v>0.5</v>
      </c>
      <c r="L20" s="71">
        <f t="shared" si="9"/>
        <v>0.98548355264575394</v>
      </c>
      <c r="M20" s="72">
        <f t="shared" si="10"/>
        <v>4594.055748622719</v>
      </c>
    </row>
    <row r="21" spans="1:13" x14ac:dyDescent="0.3">
      <c r="A21" s="74">
        <v>43735</v>
      </c>
      <c r="B21" s="8">
        <f t="shared" si="5"/>
        <v>-30</v>
      </c>
      <c r="C21" s="8">
        <f t="shared" si="0"/>
        <v>772227.27272727271</v>
      </c>
      <c r="D21" s="8">
        <f t="shared" si="1"/>
        <v>4633363.6363636227</v>
      </c>
      <c r="E21" s="8">
        <f t="shared" si="6"/>
        <v>2284.9464508094575</v>
      </c>
      <c r="F21" s="8">
        <f t="shared" si="2"/>
        <v>2754.6298879202918</v>
      </c>
      <c r="G21" s="66">
        <f t="shared" si="3"/>
        <v>2284.9464508094584</v>
      </c>
      <c r="H21" s="8">
        <f t="shared" si="7"/>
        <v>4635648.5828144317</v>
      </c>
      <c r="I21" s="8">
        <f t="shared" si="4"/>
        <v>849</v>
      </c>
      <c r="J21" s="58">
        <f t="shared" si="8"/>
        <v>2.3356994654432084E-3</v>
      </c>
      <c r="K21" s="69">
        <v>0.5</v>
      </c>
      <c r="L21" s="71">
        <f t="shared" si="9"/>
        <v>0.98599132850332427</v>
      </c>
      <c r="M21" s="72">
        <f t="shared" si="10"/>
        <v>5337.9016397763571</v>
      </c>
    </row>
    <row r="22" spans="1:13" x14ac:dyDescent="0.3">
      <c r="A22" s="74">
        <v>43704</v>
      </c>
      <c r="B22" s="8">
        <f t="shared" si="5"/>
        <v>-31</v>
      </c>
      <c r="C22" s="8">
        <f t="shared" si="0"/>
        <v>772227.27272727271</v>
      </c>
      <c r="D22" s="8">
        <f t="shared" si="1"/>
        <v>5405590.9090908952</v>
      </c>
      <c r="E22" s="8">
        <f t="shared" si="6"/>
        <v>2754.6298879202918</v>
      </c>
      <c r="F22" s="8">
        <f t="shared" si="2"/>
        <v>3148.1484433374776</v>
      </c>
      <c r="G22" s="66">
        <f t="shared" si="3"/>
        <v>2754.6298879202927</v>
      </c>
      <c r="H22" s="8">
        <f t="shared" si="7"/>
        <v>5408345.5389788151</v>
      </c>
      <c r="I22" s="8">
        <f t="shared" si="4"/>
        <v>819</v>
      </c>
      <c r="J22" s="58">
        <f t="shared" si="8"/>
        <v>2.4134620878021318E-3</v>
      </c>
      <c r="K22" s="69">
        <v>0.5</v>
      </c>
      <c r="L22" s="71">
        <f t="shared" si="9"/>
        <v>0.98648297360386483</v>
      </c>
      <c r="M22" s="72">
        <f t="shared" si="10"/>
        <v>6438.2006874601693</v>
      </c>
    </row>
    <row r="23" spans="1:13" x14ac:dyDescent="0.3">
      <c r="A23" s="74">
        <v>43673</v>
      </c>
      <c r="B23" s="8">
        <f t="shared" si="5"/>
        <v>-31</v>
      </c>
      <c r="C23" s="8">
        <f t="shared" si="0"/>
        <v>772227.27272727271</v>
      </c>
      <c r="D23" s="8">
        <f t="shared" si="1"/>
        <v>6177818.1818181677</v>
      </c>
      <c r="E23" s="8">
        <f t="shared" si="6"/>
        <v>3148.1484433374776</v>
      </c>
      <c r="F23" s="8">
        <f t="shared" si="2"/>
        <v>3427.4196762141901</v>
      </c>
      <c r="G23" s="66">
        <f t="shared" si="3"/>
        <v>3148.1484433374781</v>
      </c>
      <c r="H23" s="8">
        <f t="shared" si="7"/>
        <v>6180966.3302615052</v>
      </c>
      <c r="I23" s="8">
        <f t="shared" si="4"/>
        <v>788</v>
      </c>
      <c r="J23" s="58">
        <f t="shared" si="8"/>
        <v>2.4134620878021318E-3</v>
      </c>
      <c r="K23" s="69">
        <v>0.5</v>
      </c>
      <c r="L23" s="71">
        <f t="shared" si="9"/>
        <v>0.98699126441861806</v>
      </c>
      <c r="M23" s="72">
        <f t="shared" si="10"/>
        <v>7361.7348640178552</v>
      </c>
    </row>
    <row r="24" spans="1:13" x14ac:dyDescent="0.3">
      <c r="A24" s="74">
        <v>43643</v>
      </c>
      <c r="B24" s="8">
        <f t="shared" si="5"/>
        <v>-30</v>
      </c>
      <c r="C24" s="8">
        <f t="shared" si="0"/>
        <v>772227.27272727271</v>
      </c>
      <c r="D24" s="8">
        <f t="shared" si="1"/>
        <v>6950045.4545454402</v>
      </c>
      <c r="E24" s="8">
        <f t="shared" si="6"/>
        <v>3427.4196762141901</v>
      </c>
      <c r="F24" s="8">
        <f t="shared" si="2"/>
        <v>3935.1855541718478</v>
      </c>
      <c r="G24" s="66">
        <f t="shared" si="3"/>
        <v>3427.4196762141901</v>
      </c>
      <c r="H24" s="8">
        <f t="shared" si="7"/>
        <v>6953472.8742216546</v>
      </c>
      <c r="I24" s="8">
        <f t="shared" si="4"/>
        <v>757</v>
      </c>
      <c r="J24" s="58">
        <f t="shared" si="8"/>
        <v>2.3356994654432084E-3</v>
      </c>
      <c r="K24" s="69">
        <v>0.5</v>
      </c>
      <c r="L24" s="71">
        <f t="shared" si="9"/>
        <v>0.98749981713302826</v>
      </c>
      <c r="M24" s="72">
        <f t="shared" si="10"/>
        <v>8019.1023096844783</v>
      </c>
    </row>
    <row r="25" spans="1:13" x14ac:dyDescent="0.3">
      <c r="A25" s="74">
        <v>43612</v>
      </c>
      <c r="B25" s="8">
        <f t="shared" si="5"/>
        <v>-31</v>
      </c>
      <c r="C25" s="8">
        <f t="shared" si="0"/>
        <v>772227.27272727271</v>
      </c>
      <c r="D25" s="8">
        <f t="shared" si="1"/>
        <v>7722272.7272727126</v>
      </c>
      <c r="E25" s="8">
        <f t="shared" si="6"/>
        <v>3935.1855541718478</v>
      </c>
      <c r="F25" s="8">
        <f t="shared" si="2"/>
        <v>4189.0684931506776</v>
      </c>
      <c r="G25" s="66">
        <f t="shared" si="3"/>
        <v>3935.1855541718478</v>
      </c>
      <c r="H25" s="8">
        <f t="shared" si="7"/>
        <v>7726207.9128268845</v>
      </c>
      <c r="I25" s="8">
        <f t="shared" si="4"/>
        <v>727</v>
      </c>
      <c r="J25" s="58">
        <f>1-POWER((1-$B$10),((I25-I26)/365))</f>
        <v>2.119289525425172E-3</v>
      </c>
      <c r="K25" s="69">
        <v>0.5</v>
      </c>
      <c r="L25" s="71">
        <f t="shared" si="9"/>
        <v>0.98799221441162821</v>
      </c>
      <c r="M25" s="72">
        <f t="shared" si="10"/>
        <v>8088.7275805597437</v>
      </c>
    </row>
    <row r="26" spans="1:13" x14ac:dyDescent="0.3">
      <c r="A26" s="74">
        <v>43582</v>
      </c>
      <c r="B26" s="8">
        <f t="shared" si="5"/>
        <v>-30</v>
      </c>
      <c r="C26" s="8">
        <f t="shared" si="0"/>
        <v>772227.27272727271</v>
      </c>
      <c r="D26" s="8">
        <f t="shared" si="1"/>
        <v>8494499.9999999851</v>
      </c>
      <c r="E26" s="8">
        <f t="shared" si="6"/>
        <v>4189.0684931506776</v>
      </c>
      <c r="F26" s="8">
        <f t="shared" si="2"/>
        <v>4722.2226650062194</v>
      </c>
      <c r="G26" s="66">
        <f t="shared" si="3"/>
        <v>4189.0684931506776</v>
      </c>
      <c r="H26" s="8">
        <f t="shared" si="7"/>
        <v>8498689.0684931353</v>
      </c>
      <c r="I26" s="8">
        <f t="shared" si="4"/>
        <v>696</v>
      </c>
      <c r="J26" s="58">
        <f t="shared" ref="J26:J36" si="11">1-POWER((1-$B$10),((I26-I27)/365))</f>
        <v>2.0509955032755878E-3</v>
      </c>
      <c r="K26" s="69">
        <v>0.5</v>
      </c>
      <c r="L26" s="71">
        <f t="shared" si="9"/>
        <v>0.98850128287106498</v>
      </c>
      <c r="M26" s="72">
        <f t="shared" si="10"/>
        <v>8615.170767212112</v>
      </c>
    </row>
    <row r="27" spans="1:13" x14ac:dyDescent="0.3">
      <c r="A27" s="74">
        <v>43551</v>
      </c>
      <c r="B27" s="8">
        <f t="shared" si="5"/>
        <v>-31</v>
      </c>
      <c r="C27" s="8">
        <f t="shared" si="0"/>
        <v>772227.27272727271</v>
      </c>
      <c r="D27" s="8">
        <f t="shared" si="1"/>
        <v>9266727.2727272585</v>
      </c>
      <c r="E27" s="8">
        <f t="shared" si="6"/>
        <v>4722.2226650062194</v>
      </c>
      <c r="F27" s="8">
        <f t="shared" si="2"/>
        <v>4620.6694894146885</v>
      </c>
      <c r="G27" s="66">
        <f t="shared" si="3"/>
        <v>4722.2226650062194</v>
      </c>
      <c r="H27" s="8">
        <f t="shared" si="7"/>
        <v>9271449.4953922648</v>
      </c>
      <c r="I27" s="8">
        <f t="shared" si="4"/>
        <v>666</v>
      </c>
      <c r="J27" s="58">
        <f t="shared" si="11"/>
        <v>2.119289525425172E-3</v>
      </c>
      <c r="K27" s="69">
        <v>0.5</v>
      </c>
      <c r="L27" s="71">
        <f t="shared" si="9"/>
        <v>0.98899417951077417</v>
      </c>
      <c r="M27" s="72">
        <f t="shared" si="10"/>
        <v>9716.3168455765954</v>
      </c>
    </row>
    <row r="28" spans="1:13" x14ac:dyDescent="0.3">
      <c r="A28" s="74">
        <v>43523</v>
      </c>
      <c r="B28" s="8">
        <f t="shared" si="5"/>
        <v>-28</v>
      </c>
      <c r="C28" s="8">
        <f t="shared" si="0"/>
        <v>772227.27272727271</v>
      </c>
      <c r="D28" s="8">
        <f t="shared" si="1"/>
        <v>10038954.545454532</v>
      </c>
      <c r="E28" s="8">
        <f t="shared" si="6"/>
        <v>4620.6694894146885</v>
      </c>
      <c r="F28" s="8">
        <f t="shared" si="2"/>
        <v>5509.2597758405909</v>
      </c>
      <c r="G28" s="66">
        <f t="shared" si="3"/>
        <v>4620.6694894146885</v>
      </c>
      <c r="H28" s="8">
        <f t="shared" si="7"/>
        <v>10043575.214943947</v>
      </c>
      <c r="I28" s="8">
        <f t="shared" si="4"/>
        <v>635</v>
      </c>
      <c r="J28" s="58">
        <f t="shared" si="11"/>
        <v>1.9143934367193971E-3</v>
      </c>
      <c r="K28" s="69">
        <v>0.5</v>
      </c>
      <c r="L28" s="71">
        <f t="shared" si="9"/>
        <v>0.98950376423827657</v>
      </c>
      <c r="M28" s="72">
        <f t="shared" si="10"/>
        <v>9512.7698135333794</v>
      </c>
    </row>
    <row r="29" spans="1:13" x14ac:dyDescent="0.3">
      <c r="A29" s="74">
        <v>43492</v>
      </c>
      <c r="B29" s="8">
        <f t="shared" si="5"/>
        <v>-31</v>
      </c>
      <c r="C29" s="8">
        <f t="shared" si="0"/>
        <v>772227.27272727271</v>
      </c>
      <c r="D29" s="8">
        <f t="shared" si="1"/>
        <v>10811181.818181805</v>
      </c>
      <c r="E29" s="8">
        <f t="shared" si="6"/>
        <v>5509.2597758405909</v>
      </c>
      <c r="F29" s="8">
        <f t="shared" si="2"/>
        <v>5902.7783312577776</v>
      </c>
      <c r="G29" s="66">
        <f t="shared" si="3"/>
        <v>5509.25977584059</v>
      </c>
      <c r="H29" s="8">
        <f t="shared" si="7"/>
        <v>10816691.077957645</v>
      </c>
      <c r="I29" s="8">
        <f t="shared" si="4"/>
        <v>607</v>
      </c>
      <c r="J29" s="58">
        <f t="shared" si="11"/>
        <v>2.119289525425172E-3</v>
      </c>
      <c r="K29" s="69">
        <v>0.5</v>
      </c>
      <c r="L29" s="71">
        <f t="shared" si="9"/>
        <v>0.98996425999236126</v>
      </c>
      <c r="M29" s="72">
        <f t="shared" si="10"/>
        <v>11346.821903523034</v>
      </c>
    </row>
    <row r="30" spans="1:13" x14ac:dyDescent="0.3">
      <c r="A30" s="74">
        <v>43461</v>
      </c>
      <c r="B30" s="8">
        <f t="shared" si="5"/>
        <v>-31</v>
      </c>
      <c r="C30" s="8">
        <f t="shared" si="0"/>
        <v>772227.27272727271</v>
      </c>
      <c r="D30" s="8">
        <f t="shared" si="1"/>
        <v>11583409.090909079</v>
      </c>
      <c r="E30" s="8">
        <f t="shared" si="6"/>
        <v>5902.7783312577776</v>
      </c>
      <c r="F30" s="8">
        <f t="shared" si="2"/>
        <v>6093.1905354918999</v>
      </c>
      <c r="G30" s="66">
        <f t="shared" si="3"/>
        <v>5902.7783312577776</v>
      </c>
      <c r="H30" s="8">
        <f t="shared" si="7"/>
        <v>11589311.869240336</v>
      </c>
      <c r="I30" s="8">
        <f t="shared" si="4"/>
        <v>576</v>
      </c>
      <c r="J30" s="58">
        <f t="shared" si="11"/>
        <v>2.119289525425172E-3</v>
      </c>
      <c r="K30" s="69">
        <v>0.5</v>
      </c>
      <c r="L30" s="71">
        <f t="shared" si="9"/>
        <v>0.99047434455920358</v>
      </c>
      <c r="M30" s="72">
        <f t="shared" si="10"/>
        <v>12163.573303222851</v>
      </c>
    </row>
    <row r="31" spans="1:13" x14ac:dyDescent="0.3">
      <c r="A31" s="74">
        <v>43431</v>
      </c>
      <c r="B31" s="8">
        <f t="shared" si="5"/>
        <v>-30</v>
      </c>
      <c r="C31" s="8">
        <f t="shared" si="0"/>
        <v>772227.27272727271</v>
      </c>
      <c r="D31" s="8">
        <f t="shared" si="1"/>
        <v>12355636.363636352</v>
      </c>
      <c r="E31" s="8">
        <f t="shared" si="6"/>
        <v>6093.1905354918999</v>
      </c>
      <c r="F31" s="8">
        <f t="shared" si="2"/>
        <v>6689.8154420921492</v>
      </c>
      <c r="G31" s="66">
        <f t="shared" si="3"/>
        <v>6093.1905354918999</v>
      </c>
      <c r="H31" s="8">
        <f t="shared" si="7"/>
        <v>12361729.554171843</v>
      </c>
      <c r="I31" s="8">
        <f t="shared" si="4"/>
        <v>545</v>
      </c>
      <c r="J31" s="58">
        <f t="shared" si="11"/>
        <v>2.0509955032755878E-3</v>
      </c>
      <c r="K31" s="69">
        <v>0.5</v>
      </c>
      <c r="L31" s="71">
        <f t="shared" si="9"/>
        <v>0.99098469194994376</v>
      </c>
      <c r="M31" s="72">
        <f t="shared" si="10"/>
        <v>12562.639472364588</v>
      </c>
    </row>
    <row r="32" spans="1:13" x14ac:dyDescent="0.3">
      <c r="A32" s="74">
        <v>43400</v>
      </c>
      <c r="B32" s="8">
        <f t="shared" si="5"/>
        <v>-31</v>
      </c>
      <c r="C32" s="8">
        <f t="shared" si="0"/>
        <v>772227.27272727271</v>
      </c>
      <c r="D32" s="8">
        <f t="shared" si="1"/>
        <v>13127863.636363626</v>
      </c>
      <c r="E32" s="8">
        <f t="shared" si="6"/>
        <v>6689.8154420921492</v>
      </c>
      <c r="F32" s="8">
        <f t="shared" si="2"/>
        <v>6854.8393524283883</v>
      </c>
      <c r="G32" s="66">
        <f t="shared" si="3"/>
        <v>6689.8154420921501</v>
      </c>
      <c r="H32" s="8">
        <f t="shared" si="7"/>
        <v>13134553.451805718</v>
      </c>
      <c r="I32" s="8">
        <f t="shared" si="4"/>
        <v>515</v>
      </c>
      <c r="J32" s="58">
        <f t="shared" si="11"/>
        <v>2.119289525425172E-3</v>
      </c>
      <c r="K32" s="69">
        <v>0.5</v>
      </c>
      <c r="L32" s="71">
        <f t="shared" si="9"/>
        <v>0.9914788268925373</v>
      </c>
      <c r="M32" s="72">
        <f t="shared" si="10"/>
        <v>13799.363422701197</v>
      </c>
    </row>
    <row r="33" spans="1:13" x14ac:dyDescent="0.3">
      <c r="A33" s="74">
        <v>43370</v>
      </c>
      <c r="B33" s="8">
        <f t="shared" si="5"/>
        <v>-30</v>
      </c>
      <c r="C33" s="8">
        <f t="shared" si="0"/>
        <v>772227.27272727271</v>
      </c>
      <c r="D33" s="8">
        <f t="shared" si="1"/>
        <v>13900090.909090899</v>
      </c>
      <c r="E33" s="8">
        <f t="shared" si="6"/>
        <v>6854.8393524283883</v>
      </c>
      <c r="F33" s="8">
        <f t="shared" si="2"/>
        <v>7476.8525529265216</v>
      </c>
      <c r="G33" s="66">
        <f t="shared" si="3"/>
        <v>6854.8393524283883</v>
      </c>
      <c r="H33" s="8">
        <f t="shared" si="7"/>
        <v>13906945.748443328</v>
      </c>
      <c r="I33" s="8">
        <f t="shared" si="4"/>
        <v>484</v>
      </c>
      <c r="J33" s="58">
        <f t="shared" si="11"/>
        <v>2.0509955032755878E-3</v>
      </c>
      <c r="K33" s="69">
        <v>0.5</v>
      </c>
      <c r="L33" s="71">
        <f t="shared" si="9"/>
        <v>0.99198969184836194</v>
      </c>
      <c r="M33" s="72">
        <f t="shared" si="10"/>
        <v>14147.302254266613</v>
      </c>
    </row>
    <row r="34" spans="1:13" x14ac:dyDescent="0.3">
      <c r="A34" s="74">
        <v>43339</v>
      </c>
      <c r="B34" s="8">
        <f t="shared" si="5"/>
        <v>-31</v>
      </c>
      <c r="C34" s="8">
        <f t="shared" si="0"/>
        <v>772227.27272727271</v>
      </c>
      <c r="D34" s="8">
        <f t="shared" si="1"/>
        <v>14672318.181818172</v>
      </c>
      <c r="E34" s="8">
        <f t="shared" si="6"/>
        <v>7476.8525529265216</v>
      </c>
      <c r="F34" s="8">
        <f t="shared" si="2"/>
        <v>7870.3711083437074</v>
      </c>
      <c r="G34" s="66">
        <f t="shared" si="3"/>
        <v>7476.8525529265216</v>
      </c>
      <c r="H34" s="8">
        <f t="shared" si="7"/>
        <v>14679795.034371099</v>
      </c>
      <c r="I34" s="8">
        <f t="shared" si="4"/>
        <v>454</v>
      </c>
      <c r="J34" s="58">
        <f t="shared" si="11"/>
        <v>2.119289525425172E-3</v>
      </c>
      <c r="K34" s="69">
        <v>0.5</v>
      </c>
      <c r="L34" s="71">
        <f t="shared" si="9"/>
        <v>0.99248432791430408</v>
      </c>
      <c r="M34" s="72">
        <f t="shared" si="10"/>
        <v>15438.458881362403</v>
      </c>
    </row>
    <row r="35" spans="1:13" x14ac:dyDescent="0.3">
      <c r="A35" s="74">
        <v>43308</v>
      </c>
      <c r="B35" s="8">
        <f t="shared" si="5"/>
        <v>-31</v>
      </c>
      <c r="C35" s="8">
        <f t="shared" si="0"/>
        <v>772227.27272727271</v>
      </c>
      <c r="D35" s="8">
        <f t="shared" si="1"/>
        <v>15444545.454545446</v>
      </c>
      <c r="E35" s="8">
        <f t="shared" si="6"/>
        <v>7870.3711083437074</v>
      </c>
      <c r="F35" s="8">
        <f t="shared" si="2"/>
        <v>7997.3125778331214</v>
      </c>
      <c r="G35" s="66">
        <f t="shared" si="3"/>
        <v>7870.3711083437065</v>
      </c>
      <c r="H35" s="8">
        <f t="shared" si="7"/>
        <v>15452415.82565379</v>
      </c>
      <c r="I35" s="8">
        <f t="shared" si="4"/>
        <v>423</v>
      </c>
      <c r="J35" s="58">
        <f t="shared" si="11"/>
        <v>2.119289525425172E-3</v>
      </c>
      <c r="K35" s="69">
        <v>0.5</v>
      </c>
      <c r="L35" s="71">
        <f t="shared" si="9"/>
        <v>0.99299571096009798</v>
      </c>
      <c r="M35" s="72">
        <f t="shared" si="10"/>
        <v>16259.382771358716</v>
      </c>
    </row>
    <row r="36" spans="1:13" x14ac:dyDescent="0.3">
      <c r="A36" s="74">
        <v>43278</v>
      </c>
      <c r="B36" s="8">
        <f t="shared" si="5"/>
        <v>-30</v>
      </c>
      <c r="C36" s="8">
        <f t="shared" si="0"/>
        <v>772227.27272727271</v>
      </c>
      <c r="D36" s="8">
        <f t="shared" si="1"/>
        <v>16216772.727272719</v>
      </c>
      <c r="E36" s="8">
        <f t="shared" si="6"/>
        <v>7997.3125778331214</v>
      </c>
      <c r="F36" s="8">
        <f t="shared" si="2"/>
        <v>8657.4082191780781</v>
      </c>
      <c r="G36" s="66">
        <f t="shared" si="3"/>
        <v>7997.3125778331214</v>
      </c>
      <c r="H36" s="8">
        <f t="shared" si="7"/>
        <v>16224770.039850552</v>
      </c>
      <c r="I36" s="8">
        <f t="shared" si="4"/>
        <v>392</v>
      </c>
      <c r="J36" s="58">
        <f t="shared" si="11"/>
        <v>2.0509955032755878E-3</v>
      </c>
      <c r="K36" s="69">
        <v>0.5</v>
      </c>
      <c r="L36" s="71">
        <f t="shared" si="9"/>
        <v>0.99350735749883823</v>
      </c>
      <c r="M36" s="72">
        <f t="shared" si="10"/>
        <v>16530.437590416739</v>
      </c>
    </row>
    <row r="37" spans="1:13" x14ac:dyDescent="0.3">
      <c r="A37" s="74">
        <v>43247</v>
      </c>
      <c r="B37" s="8">
        <f t="shared" si="5"/>
        <v>-31</v>
      </c>
      <c r="C37" s="8">
        <f t="shared" si="0"/>
        <v>772227.27272727271</v>
      </c>
      <c r="D37" s="8">
        <f t="shared" si="1"/>
        <v>16988999.999999993</v>
      </c>
      <c r="E37" s="8">
        <f t="shared" si="6"/>
        <v>8657.4082191780781</v>
      </c>
      <c r="F37" s="8">
        <f t="shared" si="2"/>
        <v>8758.9613947696125</v>
      </c>
      <c r="G37" s="66">
        <f t="shared" si="3"/>
        <v>8657.4082191780763</v>
      </c>
      <c r="H37" s="8">
        <f t="shared" si="7"/>
        <v>16997657.40821917</v>
      </c>
      <c r="I37" s="8">
        <f t="shared" si="4"/>
        <v>362</v>
      </c>
      <c r="J37" s="58">
        <f>1-POWER((1-$B$9),((I37-I38)/365))</f>
        <v>1.7342760213537867E-3</v>
      </c>
      <c r="K37" s="69">
        <v>0.5</v>
      </c>
      <c r="L37" s="71">
        <f t="shared" si="9"/>
        <v>0.99400275031877983</v>
      </c>
      <c r="M37" s="72">
        <f t="shared" si="10"/>
        <v>14650.919479958129</v>
      </c>
    </row>
    <row r="38" spans="1:13" x14ac:dyDescent="0.3">
      <c r="A38" s="74">
        <v>43217</v>
      </c>
      <c r="B38" s="8">
        <f t="shared" si="5"/>
        <v>-30</v>
      </c>
      <c r="C38" s="8">
        <f t="shared" si="0"/>
        <v>772227.27272727271</v>
      </c>
      <c r="D38" s="8">
        <f t="shared" si="1"/>
        <v>17761227.272727266</v>
      </c>
      <c r="E38" s="8">
        <f t="shared" si="6"/>
        <v>8758.9613947696125</v>
      </c>
      <c r="F38" s="8">
        <f t="shared" si="2"/>
        <v>9444.4453300124514</v>
      </c>
      <c r="G38" s="66">
        <f t="shared" si="3"/>
        <v>8758.9613947696125</v>
      </c>
      <c r="H38" s="8">
        <f t="shared" si="7"/>
        <v>17769986.234122034</v>
      </c>
      <c r="I38" s="8">
        <f t="shared" si="4"/>
        <v>331</v>
      </c>
      <c r="J38" s="58">
        <f t="shared" ref="J38:J47" si="12">1-POWER((1-$B$9),((I38-I39)/365))</f>
        <v>1.6783786082257279E-3</v>
      </c>
      <c r="K38" s="69">
        <v>0.5</v>
      </c>
      <c r="L38" s="71">
        <f t="shared" si="9"/>
        <v>0.99451491574012596</v>
      </c>
      <c r="M38" s="72">
        <f t="shared" si="10"/>
        <v>14830.586708027817</v>
      </c>
    </row>
    <row r="39" spans="1:13" x14ac:dyDescent="0.3">
      <c r="A39" s="74">
        <v>43186</v>
      </c>
      <c r="B39" s="8">
        <f t="shared" si="5"/>
        <v>-31</v>
      </c>
      <c r="C39" s="8">
        <f t="shared" si="0"/>
        <v>772227.27272727271</v>
      </c>
      <c r="D39" s="8">
        <f t="shared" si="1"/>
        <v>18533454.545454539</v>
      </c>
      <c r="E39" s="8">
        <f t="shared" si="6"/>
        <v>9444.4453300124514</v>
      </c>
      <c r="F39" s="8">
        <f t="shared" si="2"/>
        <v>8885.9028642590256</v>
      </c>
      <c r="G39" s="66">
        <f t="shared" si="3"/>
        <v>9444.4453300124533</v>
      </c>
      <c r="H39" s="8">
        <f t="shared" si="7"/>
        <v>18542898.990784552</v>
      </c>
      <c r="I39" s="8">
        <f t="shared" si="4"/>
        <v>301</v>
      </c>
      <c r="J39" s="58">
        <f t="shared" si="12"/>
        <v>1.7342760213537867E-3</v>
      </c>
      <c r="K39" s="69">
        <v>0.5</v>
      </c>
      <c r="L39" s="71">
        <f t="shared" si="9"/>
        <v>0.99501081095908295</v>
      </c>
      <c r="M39" s="72">
        <f t="shared" si="10"/>
        <v>15999.030112477558</v>
      </c>
    </row>
    <row r="40" spans="1:13" x14ac:dyDescent="0.3">
      <c r="A40" s="74">
        <v>43158</v>
      </c>
      <c r="B40" s="8">
        <f t="shared" si="5"/>
        <v>-28</v>
      </c>
      <c r="C40" s="8">
        <f t="shared" si="0"/>
        <v>772227.27272727271</v>
      </c>
      <c r="D40" s="8">
        <f t="shared" si="1"/>
        <v>19305681.818181813</v>
      </c>
      <c r="E40" s="8">
        <f t="shared" si="6"/>
        <v>8885.9028642590256</v>
      </c>
      <c r="F40" s="8">
        <f t="shared" si="2"/>
        <v>10231.482440846821</v>
      </c>
      <c r="G40" s="66">
        <f t="shared" si="3"/>
        <v>8885.9028642590256</v>
      </c>
      <c r="H40" s="8">
        <f t="shared" si="7"/>
        <v>19314567.721046071</v>
      </c>
      <c r="I40" s="8">
        <f t="shared" si="4"/>
        <v>270</v>
      </c>
      <c r="J40" s="58">
        <f t="shared" si="12"/>
        <v>1.5665743919472952E-3</v>
      </c>
      <c r="K40" s="69">
        <v>0.5</v>
      </c>
      <c r="L40" s="71">
        <f t="shared" si="9"/>
        <v>0.99552349578925603</v>
      </c>
      <c r="M40" s="72">
        <f t="shared" si="10"/>
        <v>15061.129214854502</v>
      </c>
    </row>
    <row r="41" spans="1:13" x14ac:dyDescent="0.3">
      <c r="A41" s="74">
        <v>43127</v>
      </c>
      <c r="B41" s="8">
        <f t="shared" si="5"/>
        <v>-31</v>
      </c>
      <c r="C41" s="8">
        <f t="shared" si="0"/>
        <v>772227.27272727271</v>
      </c>
      <c r="D41" s="8">
        <f t="shared" si="1"/>
        <v>20077909.090909086</v>
      </c>
      <c r="E41" s="8">
        <f t="shared" si="6"/>
        <v>10231.482440846821</v>
      </c>
      <c r="F41" s="8">
        <f t="shared" si="2"/>
        <v>10625.000996264007</v>
      </c>
      <c r="G41" s="66">
        <f t="shared" si="3"/>
        <v>10231.482440846819</v>
      </c>
      <c r="H41" s="8">
        <f t="shared" si="7"/>
        <v>20088140.573349934</v>
      </c>
      <c r="I41" s="8">
        <f t="shared" si="4"/>
        <v>242</v>
      </c>
      <c r="J41" s="58">
        <f t="shared" si="12"/>
        <v>1.7342760213537867E-3</v>
      </c>
      <c r="K41" s="69">
        <v>0.5</v>
      </c>
      <c r="L41" s="71">
        <f t="shared" si="9"/>
        <v>0.99598679300900472</v>
      </c>
      <c r="M41" s="72">
        <f t="shared" si="10"/>
        <v>17349.28343886372</v>
      </c>
    </row>
    <row r="42" spans="1:13" x14ac:dyDescent="0.3">
      <c r="A42" s="74">
        <v>43096</v>
      </c>
      <c r="B42" s="8">
        <f t="shared" si="5"/>
        <v>-31</v>
      </c>
      <c r="C42" s="8">
        <f t="shared" si="0"/>
        <v>772227.27272727271</v>
      </c>
      <c r="D42" s="8">
        <f t="shared" si="1"/>
        <v>20850136.36363636</v>
      </c>
      <c r="E42" s="8">
        <f t="shared" si="6"/>
        <v>10625.000996264007</v>
      </c>
      <c r="F42" s="8">
        <f t="shared" si="2"/>
        <v>10663.083437110834</v>
      </c>
      <c r="G42" s="66">
        <f t="shared" si="3"/>
        <v>10625.000996264005</v>
      </c>
      <c r="H42" s="8">
        <f t="shared" si="7"/>
        <v>20860761.364632625</v>
      </c>
      <c r="I42" s="8">
        <f t="shared" si="4"/>
        <v>211</v>
      </c>
      <c r="J42" s="58">
        <f t="shared" si="12"/>
        <v>1.7342760213537867E-3</v>
      </c>
      <c r="K42" s="69">
        <v>0.5</v>
      </c>
      <c r="L42" s="71">
        <f t="shared" si="9"/>
        <v>0.99649998071933354</v>
      </c>
      <c r="M42" s="72">
        <f t="shared" si="10"/>
        <v>18025.84670527362</v>
      </c>
    </row>
    <row r="43" spans="1:13" x14ac:dyDescent="0.3">
      <c r="A43" s="74">
        <v>43066</v>
      </c>
      <c r="B43" s="8">
        <f t="shared" si="5"/>
        <v>-30</v>
      </c>
      <c r="C43" s="8">
        <f t="shared" si="0"/>
        <v>772227.27272727271</v>
      </c>
      <c r="D43" s="8">
        <f t="shared" si="1"/>
        <v>21622363.636363633</v>
      </c>
      <c r="E43" s="8">
        <f t="shared" si="6"/>
        <v>10663.083437110834</v>
      </c>
      <c r="F43" s="8">
        <f t="shared" si="2"/>
        <v>11412.03810709838</v>
      </c>
      <c r="G43" s="66">
        <f t="shared" si="3"/>
        <v>10663.083437110834</v>
      </c>
      <c r="H43" s="8">
        <f t="shared" si="7"/>
        <v>21633026.719800744</v>
      </c>
      <c r="I43" s="8">
        <f t="shared" si="4"/>
        <v>180</v>
      </c>
      <c r="J43" s="58">
        <f t="shared" si="12"/>
        <v>1.6783786082257279E-3</v>
      </c>
      <c r="K43" s="69">
        <v>0.5</v>
      </c>
      <c r="L43" s="71">
        <f t="shared" si="9"/>
        <v>0.99701343285247179</v>
      </c>
      <c r="M43" s="72">
        <f t="shared" si="10"/>
        <v>18099.985887680701</v>
      </c>
    </row>
    <row r="44" spans="1:13" x14ac:dyDescent="0.3">
      <c r="A44" s="74">
        <v>43035</v>
      </c>
      <c r="B44" s="8">
        <f t="shared" si="5"/>
        <v>-31</v>
      </c>
      <c r="C44" s="8">
        <f t="shared" si="0"/>
        <v>772227.27272727271</v>
      </c>
      <c r="D44" s="8">
        <f t="shared" si="1"/>
        <v>22394590.909090906</v>
      </c>
      <c r="E44" s="8">
        <f t="shared" si="6"/>
        <v>11412.03810709838</v>
      </c>
      <c r="F44" s="8">
        <f t="shared" si="2"/>
        <v>11424.732254047321</v>
      </c>
      <c r="G44" s="66">
        <f t="shared" si="3"/>
        <v>11412.038107098382</v>
      </c>
      <c r="H44" s="8">
        <f t="shared" si="7"/>
        <v>22406002.947198004</v>
      </c>
      <c r="I44" s="8">
        <f t="shared" si="4"/>
        <v>150</v>
      </c>
      <c r="J44" s="58">
        <f t="shared" si="12"/>
        <v>1.7342760213537867E-3</v>
      </c>
      <c r="K44" s="69">
        <v>0.5</v>
      </c>
      <c r="L44" s="71">
        <f t="shared" si="9"/>
        <v>0.99751057390763598</v>
      </c>
      <c r="M44" s="72">
        <f t="shared" si="10"/>
        <v>19380.729522272006</v>
      </c>
    </row>
    <row r="45" spans="1:13" x14ac:dyDescent="0.3">
      <c r="A45" s="74">
        <v>43005</v>
      </c>
      <c r="B45" s="8">
        <f t="shared" si="5"/>
        <v>-30</v>
      </c>
      <c r="C45" s="8">
        <f t="shared" si="0"/>
        <v>772227.27272727271</v>
      </c>
      <c r="D45" s="8">
        <f t="shared" si="1"/>
        <v>23166818.18181818</v>
      </c>
      <c r="E45" s="8">
        <f t="shared" si="6"/>
        <v>11424.732254047321</v>
      </c>
      <c r="F45" s="8">
        <f t="shared" si="2"/>
        <v>12199.075217932752</v>
      </c>
      <c r="G45" s="66">
        <f t="shared" si="3"/>
        <v>11424.732254047323</v>
      </c>
      <c r="H45" s="8">
        <f t="shared" si="7"/>
        <v>23178242.914072227</v>
      </c>
      <c r="I45" s="8">
        <f t="shared" si="4"/>
        <v>119</v>
      </c>
      <c r="J45" s="58">
        <f t="shared" si="12"/>
        <v>1.6783786082257279E-3</v>
      </c>
      <c r="K45" s="69">
        <v>0.5</v>
      </c>
      <c r="L45" s="71">
        <f t="shared" si="9"/>
        <v>0.9980245467545108</v>
      </c>
      <c r="M45" s="72">
        <f t="shared" si="10"/>
        <v>19412.509131826606</v>
      </c>
    </row>
    <row r="46" spans="1:13" x14ac:dyDescent="0.3">
      <c r="A46" s="74">
        <v>42974</v>
      </c>
      <c r="B46" s="8">
        <f t="shared" si="5"/>
        <v>-31</v>
      </c>
      <c r="C46" s="8">
        <f t="shared" si="0"/>
        <v>772227.27272727271</v>
      </c>
      <c r="D46" s="8">
        <f t="shared" si="1"/>
        <v>23939045.454545453</v>
      </c>
      <c r="E46" s="8">
        <f t="shared" si="6"/>
        <v>12199.075217932752</v>
      </c>
      <c r="F46" s="8">
        <f t="shared" si="2"/>
        <v>12592.593773349938</v>
      </c>
      <c r="G46" s="66">
        <f t="shared" si="3"/>
        <v>12199.075217932754</v>
      </c>
      <c r="H46" s="8">
        <f t="shared" si="7"/>
        <v>23951244.529763386</v>
      </c>
      <c r="I46" s="8">
        <f t="shared" si="4"/>
        <v>89</v>
      </c>
      <c r="J46" s="58">
        <f t="shared" si="12"/>
        <v>1.7342760213537867E-3</v>
      </c>
      <c r="K46" s="69">
        <v>0.5</v>
      </c>
      <c r="L46" s="71">
        <f t="shared" si="9"/>
        <v>0.99852219198165049</v>
      </c>
      <c r="M46" s="72">
        <f t="shared" si="10"/>
        <v>20738.341889005977</v>
      </c>
    </row>
    <row r="47" spans="1:13" x14ac:dyDescent="0.3">
      <c r="A47" s="74">
        <v>42943</v>
      </c>
      <c r="B47" s="8">
        <f t="shared" si="5"/>
        <v>-31</v>
      </c>
      <c r="C47" s="8">
        <f t="shared" si="0"/>
        <v>772227.27272727271</v>
      </c>
      <c r="D47" s="8">
        <f>D48-C47</f>
        <v>24711272.727272727</v>
      </c>
      <c r="E47" s="8">
        <f t="shared" si="6"/>
        <v>12592.593773349938</v>
      </c>
      <c r="F47" s="8">
        <f t="shared" si="2"/>
        <v>11310.48493150685</v>
      </c>
      <c r="G47" s="66">
        <f t="shared" si="3"/>
        <v>12592.593773349938</v>
      </c>
      <c r="H47" s="8">
        <f t="shared" si="7"/>
        <v>24723865.321046077</v>
      </c>
      <c r="I47" s="8">
        <f t="shared" si="4"/>
        <v>58</v>
      </c>
      <c r="J47" s="58">
        <f t="shared" si="12"/>
        <v>1.7342760213537867E-3</v>
      </c>
      <c r="K47" s="69">
        <v>0.5</v>
      </c>
      <c r="L47" s="71">
        <f t="shared" si="9"/>
        <v>0.9990366860703398</v>
      </c>
      <c r="M47" s="72">
        <f t="shared" si="10"/>
        <v>21418.350900130998</v>
      </c>
    </row>
    <row r="48" spans="1:13" x14ac:dyDescent="0.3">
      <c r="A48" s="74">
        <v>42916</v>
      </c>
      <c r="B48" s="8">
        <f t="shared" si="5"/>
        <v>-27</v>
      </c>
      <c r="C48" s="8">
        <v>0</v>
      </c>
      <c r="D48" s="8">
        <f>E3</f>
        <v>25483500</v>
      </c>
      <c r="E48" s="8">
        <f t="shared" si="6"/>
        <v>11310.48493150685</v>
      </c>
      <c r="F48" s="8"/>
      <c r="G48" s="66">
        <f>E48</f>
        <v>11310.48493150685</v>
      </c>
      <c r="H48" s="8">
        <f t="shared" si="7"/>
        <v>25494810.484931506</v>
      </c>
      <c r="I48" s="8">
        <f t="shared" si="4"/>
        <v>27</v>
      </c>
      <c r="J48" s="58">
        <f>1-POWER((1-$B$9),((I48-I49)/365))</f>
        <v>1.5106675884464238E-3</v>
      </c>
      <c r="K48" s="69">
        <v>0.5</v>
      </c>
      <c r="L48" s="71">
        <f t="shared" si="9"/>
        <v>0.99955144525495698</v>
      </c>
      <c r="M48" s="72">
        <f t="shared" si="10"/>
        <v>19248.454076621154</v>
      </c>
    </row>
    <row r="49" spans="1:13" ht="15" thickBot="1" x14ac:dyDescent="0.35">
      <c r="A49" s="3"/>
      <c r="B49" s="8"/>
      <c r="C49" s="8"/>
      <c r="D49" s="8"/>
      <c r="E49" s="8"/>
      <c r="F49" s="8"/>
      <c r="G49" s="63"/>
      <c r="H49" s="7"/>
      <c r="I49" s="8"/>
      <c r="J49" s="22"/>
      <c r="K49" s="8"/>
      <c r="L49" s="61"/>
      <c r="M49" s="62"/>
    </row>
    <row r="50" spans="1:13" ht="15" thickBot="1" x14ac:dyDescent="0.35">
      <c r="A50" s="6"/>
      <c r="B50" s="23"/>
      <c r="C50" s="23"/>
      <c r="D50" s="23"/>
      <c r="E50" s="24"/>
      <c r="F50" s="9"/>
      <c r="G50" s="10"/>
      <c r="H50" s="10"/>
      <c r="I50" s="64"/>
      <c r="J50" s="11"/>
      <c r="K50" s="75" t="s">
        <v>17</v>
      </c>
      <c r="L50" s="76"/>
      <c r="M50" s="77">
        <f>SUM(M16:M48)</f>
        <v>403148.42397077498</v>
      </c>
    </row>
    <row r="51" spans="1:13" ht="15" thickBot="1" x14ac:dyDescent="0.35">
      <c r="A51" s="13"/>
      <c r="B51" s="12"/>
      <c r="C51" s="12"/>
      <c r="D51" s="12"/>
      <c r="E51" s="14"/>
      <c r="F51" s="14"/>
      <c r="G51" s="14"/>
      <c r="H51" s="13"/>
      <c r="I51" s="13"/>
      <c r="J51" s="15"/>
      <c r="K51" s="15"/>
      <c r="L51" s="15"/>
    </row>
    <row r="52" spans="1:13" ht="15" thickBot="1" x14ac:dyDescent="0.35">
      <c r="A52" s="105" t="s">
        <v>34</v>
      </c>
      <c r="B52" s="106"/>
      <c r="C52" s="106"/>
      <c r="D52" s="106"/>
      <c r="E52" s="106"/>
      <c r="F52" s="106"/>
      <c r="G52" s="106"/>
      <c r="H52" s="106"/>
      <c r="I52" s="106"/>
      <c r="J52" s="106"/>
      <c r="K52" s="106"/>
      <c r="L52" s="107"/>
    </row>
    <row r="53" spans="1:13" ht="15" thickBot="1" x14ac:dyDescent="0.35">
      <c r="A53" s="39" t="s">
        <v>18</v>
      </c>
      <c r="B53" s="41" t="s">
        <v>29</v>
      </c>
      <c r="C53" s="40"/>
      <c r="D53" s="40"/>
      <c r="E53" s="40">
        <v>1</v>
      </c>
      <c r="F53" s="40">
        <v>2</v>
      </c>
      <c r="G53" s="40">
        <v>3</v>
      </c>
      <c r="H53" s="40">
        <v>4</v>
      </c>
      <c r="I53" s="40">
        <v>5</v>
      </c>
      <c r="J53" s="40">
        <v>6</v>
      </c>
      <c r="K53" s="40">
        <v>7</v>
      </c>
      <c r="L53" s="41">
        <v>8</v>
      </c>
    </row>
    <row r="54" spans="1:13" x14ac:dyDescent="0.3">
      <c r="A54" s="27">
        <v>10</v>
      </c>
      <c r="B54" s="26" t="s">
        <v>19</v>
      </c>
      <c r="C54" s="91"/>
      <c r="D54" s="91"/>
      <c r="E54" s="28">
        <v>5.2900000000000004E-3</v>
      </c>
      <c r="F54" s="28">
        <v>6.202E-3</v>
      </c>
      <c r="G54" s="28">
        <v>7.1139999999999997E-3</v>
      </c>
      <c r="H54" s="28">
        <v>8.0260000000000001E-3</v>
      </c>
      <c r="I54" s="28">
        <v>8.9379999999999998E-3</v>
      </c>
      <c r="J54" s="28">
        <v>9.8499999999999994E-3</v>
      </c>
      <c r="K54" s="28">
        <v>1.0761999999999999E-2</v>
      </c>
      <c r="L54" s="29">
        <v>1.1673999999999999E-2</v>
      </c>
    </row>
    <row r="55" spans="1:13" x14ac:dyDescent="0.3">
      <c r="A55" s="27">
        <v>11</v>
      </c>
      <c r="B55" s="26" t="s">
        <v>20</v>
      </c>
      <c r="C55" s="91"/>
      <c r="D55" s="91"/>
      <c r="E55" s="28">
        <v>8.2199999999999999E-3</v>
      </c>
      <c r="F55" s="28">
        <v>9.4039999999999992E-3</v>
      </c>
      <c r="G55" s="28">
        <v>1.0588E-2</v>
      </c>
      <c r="H55" s="28">
        <v>1.1772000000000001E-2</v>
      </c>
      <c r="I55" s="28">
        <v>1.2956000000000002E-2</v>
      </c>
      <c r="J55" s="28">
        <v>1.4140000000000003E-2</v>
      </c>
      <c r="K55" s="28">
        <v>1.5324000000000004E-2</v>
      </c>
      <c r="L55" s="29">
        <v>1.6508000000000005E-2</v>
      </c>
    </row>
    <row r="56" spans="1:13" x14ac:dyDescent="0.3">
      <c r="A56" s="27">
        <v>12</v>
      </c>
      <c r="B56" s="26">
        <v>5</v>
      </c>
      <c r="C56" s="91"/>
      <c r="D56" s="91"/>
      <c r="E56" s="28">
        <v>1.278E-2</v>
      </c>
      <c r="F56" s="28">
        <v>1.404E-2</v>
      </c>
      <c r="G56" s="28">
        <v>1.5300000000000001E-2</v>
      </c>
      <c r="H56" s="28">
        <v>1.6560000000000002E-2</v>
      </c>
      <c r="I56" s="28">
        <v>1.7820000000000003E-2</v>
      </c>
      <c r="J56" s="28">
        <v>1.9080000000000003E-2</v>
      </c>
      <c r="K56" s="28">
        <v>2.0340000000000004E-2</v>
      </c>
      <c r="L56" s="29">
        <v>2.1600000000000005E-2</v>
      </c>
    </row>
    <row r="57" spans="1:13" x14ac:dyDescent="0.3">
      <c r="A57" s="30">
        <v>13</v>
      </c>
      <c r="B57" s="26" t="s">
        <v>21</v>
      </c>
      <c r="C57" s="91"/>
      <c r="D57" s="91"/>
      <c r="E57" s="31">
        <v>1.9869999999999999E-2</v>
      </c>
      <c r="F57" s="31">
        <v>2.1044E-2</v>
      </c>
      <c r="G57" s="31">
        <v>2.2218000000000002E-2</v>
      </c>
      <c r="H57" s="32">
        <v>2.3392000000000003E-2</v>
      </c>
      <c r="I57" s="28">
        <v>2.4566000000000004E-2</v>
      </c>
      <c r="J57" s="28">
        <v>2.5740000000000006E-2</v>
      </c>
      <c r="K57" s="28">
        <v>2.6914000000000007E-2</v>
      </c>
      <c r="L57" s="29">
        <v>2.8088000000000009E-2</v>
      </c>
    </row>
    <row r="58" spans="1:13" ht="15" thickBot="1" x14ac:dyDescent="0.35">
      <c r="A58" s="33">
        <v>14</v>
      </c>
      <c r="B58" s="42" t="s">
        <v>22</v>
      </c>
      <c r="C58" s="92"/>
      <c r="D58" s="92"/>
      <c r="E58" s="34">
        <v>3.0088E-2</v>
      </c>
      <c r="F58" s="34">
        <v>3.0662200000000001E-2</v>
      </c>
      <c r="G58" s="34">
        <v>3.1236400000000001E-2</v>
      </c>
      <c r="H58" s="34">
        <v>3.1810600000000001E-2</v>
      </c>
      <c r="I58" s="34">
        <v>3.2384799999999998E-2</v>
      </c>
      <c r="J58" s="34">
        <v>3.2958999999999995E-2</v>
      </c>
      <c r="K58" s="34">
        <v>3.3533199999999992E-2</v>
      </c>
      <c r="L58" s="35">
        <v>3.4107399999999989E-2</v>
      </c>
    </row>
    <row r="59" spans="1:13" x14ac:dyDescent="0.3">
      <c r="A59" s="16"/>
      <c r="B59" s="16"/>
      <c r="C59" s="16"/>
      <c r="D59" s="16"/>
      <c r="E59" s="17"/>
      <c r="F59" s="17"/>
      <c r="G59" s="17"/>
      <c r="H59" s="17"/>
      <c r="I59" s="17"/>
      <c r="J59" s="17"/>
      <c r="K59" s="17"/>
      <c r="L59" s="17"/>
    </row>
    <row r="60" spans="1:13" ht="20.399999999999999" x14ac:dyDescent="0.3">
      <c r="A60" s="19" t="s">
        <v>30</v>
      </c>
      <c r="B60" s="20"/>
      <c r="C60" s="20"/>
      <c r="D60" s="20"/>
      <c r="E60" s="20"/>
      <c r="F60" s="20"/>
      <c r="G60" s="20"/>
      <c r="H60" s="20"/>
      <c r="I60" s="20"/>
      <c r="J60" s="25" t="s">
        <v>31</v>
      </c>
      <c r="K60" s="20"/>
      <c r="L60" s="67" t="s">
        <v>36</v>
      </c>
    </row>
    <row r="61" spans="1:13" ht="16.2" thickBot="1" x14ac:dyDescent="0.35">
      <c r="A61" s="19"/>
      <c r="B61" s="20"/>
      <c r="C61" s="20"/>
      <c r="D61" s="20"/>
      <c r="E61" s="20"/>
      <c r="F61" s="20"/>
      <c r="G61" s="20"/>
      <c r="H61" s="20"/>
      <c r="I61" s="20"/>
      <c r="J61" s="25"/>
      <c r="K61" s="20"/>
      <c r="L61" s="21"/>
    </row>
    <row r="62" spans="1:13" ht="15" thickBot="1" x14ac:dyDescent="0.35">
      <c r="A62" s="108" t="s">
        <v>35</v>
      </c>
      <c r="B62" s="109"/>
      <c r="C62" s="109"/>
      <c r="D62" s="109"/>
      <c r="E62" s="109"/>
      <c r="F62" s="109"/>
      <c r="G62" s="109"/>
      <c r="H62" s="109"/>
      <c r="I62" s="109"/>
      <c r="J62" s="109"/>
      <c r="K62" s="109"/>
      <c r="L62" s="110"/>
    </row>
    <row r="63" spans="1:13" x14ac:dyDescent="0.3">
      <c r="A63" s="36" t="s">
        <v>18</v>
      </c>
      <c r="B63" s="38" t="s">
        <v>29</v>
      </c>
      <c r="C63" s="37"/>
      <c r="D63" s="37"/>
      <c r="E63" s="37">
        <v>1</v>
      </c>
      <c r="F63" s="37">
        <v>2</v>
      </c>
      <c r="G63" s="37">
        <v>3</v>
      </c>
      <c r="H63" s="37">
        <v>4</v>
      </c>
      <c r="I63" s="37">
        <v>5</v>
      </c>
      <c r="J63" s="37">
        <v>6</v>
      </c>
      <c r="K63" s="37">
        <v>7</v>
      </c>
      <c r="L63" s="38">
        <v>8</v>
      </c>
    </row>
    <row r="64" spans="1:13" x14ac:dyDescent="0.3">
      <c r="A64" s="27">
        <v>10</v>
      </c>
      <c r="B64" s="26" t="s">
        <v>19</v>
      </c>
      <c r="C64" s="91"/>
      <c r="D64" s="91"/>
      <c r="E64" s="28">
        <v>5.5654077203140884E-3</v>
      </c>
      <c r="F64" s="28">
        <v>7.7902919135762671E-3</v>
      </c>
      <c r="G64" s="28">
        <v>9.3322269188961283E-3</v>
      </c>
      <c r="H64" s="28">
        <v>1.0716537577692687E-2</v>
      </c>
      <c r="I64" s="28">
        <v>1.1962952438615294E-2</v>
      </c>
      <c r="J64" s="28">
        <v>1.3077855108163793E-2</v>
      </c>
      <c r="K64" s="28">
        <v>1.4062055295955153E-2</v>
      </c>
      <c r="L64" s="29">
        <v>1.49153520038152E-2</v>
      </c>
    </row>
    <row r="65" spans="1:12" x14ac:dyDescent="0.3">
      <c r="A65" s="27">
        <v>11</v>
      </c>
      <c r="B65" s="26" t="s">
        <v>20</v>
      </c>
      <c r="C65" s="91"/>
      <c r="D65" s="91"/>
      <c r="E65" s="28">
        <v>8.394544439343456E-3</v>
      </c>
      <c r="F65" s="28">
        <v>1.1158561310553691E-2</v>
      </c>
      <c r="G65" s="28">
        <v>1.338014773334993E-2</v>
      </c>
      <c r="H65" s="28">
        <v>1.5304164477063066E-2</v>
      </c>
      <c r="I65" s="28">
        <v>1.6928703772476166E-2</v>
      </c>
      <c r="J65" s="28">
        <v>1.8259521621808713E-2</v>
      </c>
      <c r="K65" s="28">
        <v>1.9309560593566168E-2</v>
      </c>
      <c r="L65" s="29">
        <v>2.0097748410887312E-2</v>
      </c>
    </row>
    <row r="66" spans="1:12" x14ac:dyDescent="0.3">
      <c r="A66" s="27">
        <v>12</v>
      </c>
      <c r="B66" s="26">
        <v>5</v>
      </c>
      <c r="C66" s="91"/>
      <c r="D66" s="91"/>
      <c r="E66" s="28">
        <v>1.3033275437460667E-2</v>
      </c>
      <c r="F66" s="28">
        <v>1.6428416435257224E-2</v>
      </c>
      <c r="G66" s="28">
        <v>1.9077601567740576E-2</v>
      </c>
      <c r="H66" s="28">
        <v>2.1328643153523084E-2</v>
      </c>
      <c r="I66" s="28">
        <v>2.3159892434952707E-2</v>
      </c>
      <c r="J66" s="28">
        <v>2.4568385492472349E-2</v>
      </c>
      <c r="K66" s="28">
        <v>2.5570797987498801E-2</v>
      </c>
      <c r="L66" s="29">
        <v>2.6199095401961369E-2</v>
      </c>
    </row>
    <row r="67" spans="1:12" x14ac:dyDescent="0.3">
      <c r="A67" s="30">
        <v>13</v>
      </c>
      <c r="B67" s="26" t="s">
        <v>21</v>
      </c>
      <c r="C67" s="91"/>
      <c r="D67" s="91"/>
      <c r="E67" s="31">
        <v>2.0234039089477348E-2</v>
      </c>
      <c r="F67" s="31">
        <v>2.4670144180283463E-2</v>
      </c>
      <c r="G67" s="31">
        <v>2.8049178850582886E-2</v>
      </c>
      <c r="H67" s="32">
        <v>3.0704876891177239E-2</v>
      </c>
      <c r="I67" s="28">
        <v>3.2589109188762559E-2</v>
      </c>
      <c r="J67" s="28">
        <v>3.3742916529341568E-2</v>
      </c>
      <c r="K67" s="28">
        <v>3.4252262210007871E-2</v>
      </c>
      <c r="L67" s="29">
        <v>3.422106786919054E-2</v>
      </c>
    </row>
    <row r="68" spans="1:12" ht="15" thickBot="1" x14ac:dyDescent="0.35">
      <c r="A68" s="33">
        <v>14</v>
      </c>
      <c r="B68" s="42" t="s">
        <v>22</v>
      </c>
      <c r="C68" s="92"/>
      <c r="D68" s="92"/>
      <c r="E68" s="34">
        <v>3.1410842596143643E-2</v>
      </c>
      <c r="F68" s="34">
        <v>3.6825909210029484E-2</v>
      </c>
      <c r="G68" s="34">
        <v>4.0048457904413533E-2</v>
      </c>
      <c r="H68" s="34">
        <v>4.2016297413011439E-2</v>
      </c>
      <c r="I68" s="34">
        <v>4.2895943504048135E-2</v>
      </c>
      <c r="J68" s="34">
        <v>4.2873460559151824E-2</v>
      </c>
      <c r="K68" s="34">
        <v>4.2138570860379768E-2</v>
      </c>
      <c r="L68" s="35">
        <v>4.0869173550845253E-2</v>
      </c>
    </row>
  </sheetData>
  <mergeCells count="5">
    <mergeCell ref="B1:F1"/>
    <mergeCell ref="J1:K1"/>
    <mergeCell ref="F12:I12"/>
    <mergeCell ref="A52:L52"/>
    <mergeCell ref="A62:L6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Bullet - STG1</vt:lpstr>
      <vt:lpstr>Bullet - STG2</vt:lpstr>
      <vt:lpstr>Amortizing - STG1</vt:lpstr>
      <vt:lpstr>Amortizing - STG2</vt:lpstr>
    </vt:vector>
  </TitlesOfParts>
  <Company>Ernst &amp; Young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Narendra Sahu</dc:creator>
  <cp:lastModifiedBy>Narendra Sahu</cp:lastModifiedBy>
  <cp:lastPrinted>2017-09-19T13:33:34Z</cp:lastPrinted>
  <dcterms:created xsi:type="dcterms:W3CDTF">2017-09-19T07:45:45Z</dcterms:created>
  <dcterms:modified xsi:type="dcterms:W3CDTF">2017-10-12T12:34:04Z</dcterms:modified>
</cp:coreProperties>
</file>