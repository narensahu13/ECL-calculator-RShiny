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shal5.kumar\Desktop\Vishal\Work\QNB\ECL Models\QNB Model\Collateral Model\"/>
    </mc:Choice>
  </mc:AlternateContent>
  <bookViews>
    <workbookView xWindow="0" yWindow="0" windowWidth="17970" windowHeight="6990"/>
  </bookViews>
  <sheets>
    <sheet name="Calculations" sheetId="1" r:id="rId1"/>
    <sheet name="New Rules for Collateral" sheetId="3" state="hidden" r:id="rId2"/>
    <sheet name="Haircut Mapping" sheetId="2" state="hidden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6" i="1"/>
  <c r="E17" i="1"/>
  <c r="E14" i="1"/>
  <c r="D15" i="1"/>
  <c r="D16" i="1"/>
  <c r="D17" i="1"/>
  <c r="D14" i="1"/>
  <c r="I5" i="1"/>
  <c r="I6" i="1"/>
  <c r="I7" i="1"/>
  <c r="I8" i="1"/>
  <c r="D10" i="1"/>
  <c r="H14" i="1"/>
  <c r="J14" i="1"/>
  <c r="K14" i="1"/>
  <c r="H15" i="1"/>
  <c r="J15" i="1"/>
  <c r="K15" i="1"/>
  <c r="H16" i="1"/>
  <c r="J16" i="1"/>
  <c r="K16" i="1"/>
  <c r="L15" i="1"/>
  <c r="L16" i="1"/>
  <c r="L14" i="1"/>
  <c r="K17" i="1"/>
  <c r="H17" i="1"/>
  <c r="K27" i="3"/>
  <c r="I27" i="3"/>
  <c r="J27" i="3"/>
  <c r="K26" i="3"/>
  <c r="I26" i="3"/>
  <c r="J26" i="3"/>
  <c r="K25" i="3"/>
  <c r="I25" i="3"/>
  <c r="J25" i="3"/>
  <c r="I20" i="3"/>
  <c r="J21" i="3"/>
  <c r="I22" i="3"/>
  <c r="J22" i="3"/>
  <c r="I21" i="3"/>
  <c r="I10" i="3"/>
  <c r="J10" i="3"/>
  <c r="I9" i="3"/>
  <c r="J9" i="3"/>
  <c r="I16" i="3"/>
  <c r="J20" i="3"/>
  <c r="I8" i="3"/>
  <c r="J8" i="3"/>
  <c r="I4" i="3"/>
  <c r="J4" i="3"/>
  <c r="J16" i="3"/>
</calcChain>
</file>

<file path=xl/sharedStrings.xml><?xml version="1.0" encoding="utf-8"?>
<sst xmlns="http://schemas.openxmlformats.org/spreadsheetml/2006/main" count="176" uniqueCount="96">
  <si>
    <t>Customer ID</t>
  </si>
  <si>
    <t>LID</t>
  </si>
  <si>
    <t>Outstanding Balance</t>
  </si>
  <si>
    <t>Total EAD</t>
  </si>
  <si>
    <t>Collateral Type</t>
  </si>
  <si>
    <t>Collateral Amount</t>
  </si>
  <si>
    <t>DED</t>
  </si>
  <si>
    <t>ASG</t>
  </si>
  <si>
    <t>Total</t>
  </si>
  <si>
    <t>Final LGD</t>
  </si>
  <si>
    <t>Collateral Description</t>
  </si>
  <si>
    <t>Eligibility</t>
  </si>
  <si>
    <t>Assignments</t>
  </si>
  <si>
    <t>Not SA elgible</t>
  </si>
  <si>
    <t>BLD</t>
  </si>
  <si>
    <t>Commercial Building</t>
  </si>
  <si>
    <t>BLC</t>
  </si>
  <si>
    <t>BLR</t>
  </si>
  <si>
    <t>Residential Building</t>
  </si>
  <si>
    <t>BOD</t>
  </si>
  <si>
    <t>Bonds</t>
  </si>
  <si>
    <t>SoQ rating</t>
  </si>
  <si>
    <t>COG</t>
  </si>
  <si>
    <t>Corporate Guarantee</t>
  </si>
  <si>
    <t>Title Deed</t>
  </si>
  <si>
    <t>FGF</t>
  </si>
  <si>
    <t>Foreign Bank Guarantee Fccy</t>
  </si>
  <si>
    <t>8% for guarantee ccy mismatch</t>
  </si>
  <si>
    <t>FGL</t>
  </si>
  <si>
    <t>Foreign Bank Guarantee Lcy</t>
  </si>
  <si>
    <t>Assume A to BBB- rating for local banks and residual maturity of 1-5yrs</t>
  </si>
  <si>
    <t>FXF</t>
  </si>
  <si>
    <t>Fixed Deposits Fccy</t>
  </si>
  <si>
    <t>8% rating for ccy mismatch</t>
  </si>
  <si>
    <t>FXL</t>
  </si>
  <si>
    <t>Fixed Deposits Lcy</t>
  </si>
  <si>
    <t>Per para 155</t>
  </si>
  <si>
    <t>GOV</t>
  </si>
  <si>
    <t>SoQ Guarantee</t>
  </si>
  <si>
    <t>IST</t>
  </si>
  <si>
    <t>International Stocks</t>
  </si>
  <si>
    <t>LGF</t>
  </si>
  <si>
    <t>Local Bank Fund</t>
  </si>
  <si>
    <t>LGL</t>
  </si>
  <si>
    <t>Local Bank Guarantee</t>
  </si>
  <si>
    <t>LND</t>
  </si>
  <si>
    <t>Land</t>
  </si>
  <si>
    <t>LSH</t>
  </si>
  <si>
    <t>Local Shares</t>
  </si>
  <si>
    <t>MAE</t>
  </si>
  <si>
    <t>Machinery and Equipment</t>
  </si>
  <si>
    <t>MRF</t>
  </si>
  <si>
    <t>Margin Foreign Currency</t>
  </si>
  <si>
    <t>8% ccy mismatch</t>
  </si>
  <si>
    <t>MRL</t>
  </si>
  <si>
    <t>Margin Local Currency</t>
  </si>
  <si>
    <t>Mult Coll</t>
  </si>
  <si>
    <t>Multicollateral</t>
  </si>
  <si>
    <t>N/A</t>
  </si>
  <si>
    <t>OTH</t>
  </si>
  <si>
    <t>Others</t>
  </si>
  <si>
    <t>PCG</t>
  </si>
  <si>
    <t>Personal Guarantee</t>
  </si>
  <si>
    <t>PLG</t>
  </si>
  <si>
    <t>Special Personal Guarantee</t>
  </si>
  <si>
    <t>MOV</t>
  </si>
  <si>
    <t>Mortgage</t>
  </si>
  <si>
    <t>SAL</t>
  </si>
  <si>
    <t>Salary</t>
  </si>
  <si>
    <t>Outstanding</t>
  </si>
  <si>
    <t>LGD</t>
  </si>
  <si>
    <t>Outstanding (Collateral/Total Collateral) * Total Outstanding</t>
  </si>
  <si>
    <t>Outstanding * LGD</t>
  </si>
  <si>
    <t>Collateral-Specific LGD</t>
  </si>
  <si>
    <t>Haircut</t>
  </si>
  <si>
    <t>Capping the over-collateralization at 100%</t>
  </si>
  <si>
    <t>Not Capping the over-collateralization at 100%</t>
  </si>
  <si>
    <t>Haircut Adjusted Collateral</t>
  </si>
  <si>
    <t>Flooring the under-collateralization at given LGD</t>
  </si>
  <si>
    <t>Not flooring the under-collateralization at given LGD</t>
  </si>
  <si>
    <t>Table 1</t>
  </si>
  <si>
    <t>Table 2</t>
  </si>
  <si>
    <t>Table 3</t>
  </si>
  <si>
    <t>Table 4</t>
  </si>
  <si>
    <t>Unsecured LGD</t>
  </si>
  <si>
    <t>Basel LGD</t>
  </si>
  <si>
    <t xml:space="preserve">Cust id </t>
  </si>
  <si>
    <t>Collateral Type Description</t>
  </si>
  <si>
    <t>Collateral Amount QAR</t>
  </si>
  <si>
    <t>EAD</t>
  </si>
  <si>
    <t>New LGD</t>
  </si>
  <si>
    <t>ead*lgd</t>
  </si>
  <si>
    <t>final lgd</t>
  </si>
  <si>
    <t>Equities - Local Shares</t>
  </si>
  <si>
    <t>Special Personal guarantee</t>
  </si>
  <si>
    <t>QNB LGD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</si>
</sst>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0.0000%"/>
    <numFmt numFmtId="168" formatCode="0.0000000000%"/>
    <numFmt numFmtId="16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b/>
      <sz val="10"/>
      <color theme="5" tint="-0.249977111117893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185B"/>
      <name val="Times New Roman"/>
      <family val="1"/>
    </font>
    <font>
      <b/>
      <sz val="10"/>
      <color rgb="FF00B05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F3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2" applyFont="1"/>
    <xf numFmtId="9" fontId="3" fillId="0" borderId="0" xfId="3" applyFont="1"/>
    <xf numFmtId="9" fontId="3" fillId="0" borderId="0" xfId="2" applyNumberFormat="1" applyFont="1"/>
    <xf numFmtId="9" fontId="3" fillId="3" borderId="0" xfId="3" applyFont="1" applyFill="1"/>
    <xf numFmtId="0" fontId="3" fillId="4" borderId="0" xfId="0" applyFont="1" applyFill="1"/>
    <xf numFmtId="0" fontId="3" fillId="0" borderId="0" xfId="0" applyFont="1" applyAlignment="1"/>
    <xf numFmtId="0" fontId="4" fillId="2" borderId="1" xfId="0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right" vertical="center" readingOrder="1"/>
    </xf>
    <xf numFmtId="3" fontId="5" fillId="0" borderId="1" xfId="0" applyNumberFormat="1" applyFont="1" applyBorder="1" applyAlignment="1">
      <alignment horizontal="right" vertical="center" readingOrder="1"/>
    </xf>
    <xf numFmtId="0" fontId="4" fillId="2" borderId="1" xfId="0" applyFont="1" applyFill="1" applyBorder="1" applyAlignment="1">
      <alignment horizontal="center" vertical="center" wrapText="1" readingOrder="1"/>
    </xf>
    <xf numFmtId="3" fontId="6" fillId="0" borderId="1" xfId="0" applyNumberFormat="1" applyFont="1" applyBorder="1" applyAlignment="1">
      <alignment horizontal="right" readingOrder="1"/>
    </xf>
    <xf numFmtId="164" fontId="5" fillId="0" borderId="1" xfId="1" applyNumberFormat="1" applyFont="1" applyBorder="1" applyAlignment="1">
      <alignment horizontal="right" vertical="center" readingOrder="1"/>
    </xf>
    <xf numFmtId="0" fontId="7" fillId="0" borderId="1" xfId="0" applyFont="1" applyBorder="1" applyAlignment="1">
      <alignment horizontal="center" vertical="center" readingOrder="1"/>
    </xf>
    <xf numFmtId="3" fontId="8" fillId="0" borderId="1" xfId="0" applyNumberFormat="1" applyFont="1" applyBorder="1" applyAlignment="1">
      <alignment horizontal="right" readingOrder="1"/>
    </xf>
    <xf numFmtId="3" fontId="9" fillId="0" borderId="1" xfId="0" applyNumberFormat="1" applyFont="1" applyBorder="1" applyAlignment="1">
      <alignment horizontal="right" vertical="center" readingOrder="1"/>
    </xf>
    <xf numFmtId="0" fontId="7" fillId="0" borderId="2" xfId="0" applyFont="1" applyBorder="1" applyAlignment="1">
      <alignment vertical="center" readingOrder="1"/>
    </xf>
    <xf numFmtId="0" fontId="7" fillId="0" borderId="3" xfId="0" applyFont="1" applyBorder="1" applyAlignment="1">
      <alignment vertical="center" readingOrder="1"/>
    </xf>
    <xf numFmtId="0" fontId="5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164" fontId="10" fillId="0" borderId="1" xfId="1" applyNumberFormat="1" applyFont="1" applyBorder="1" applyAlignment="1">
      <alignment horizontal="center" vertical="center" wrapText="1" readingOrder="1"/>
    </xf>
    <xf numFmtId="9" fontId="10" fillId="0" borderId="1" xfId="4" applyFont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0" xfId="0" applyFont="1" applyBorder="1" applyAlignment="1">
      <alignment horizontal="center" vertical="center" wrapText="1" readingOrder="1"/>
    </xf>
    <xf numFmtId="164" fontId="10" fillId="0" borderId="0" xfId="1" applyNumberFormat="1" applyFont="1" applyBorder="1" applyAlignment="1">
      <alignment horizontal="center" vertical="center" wrapText="1" readingOrder="1"/>
    </xf>
    <xf numFmtId="9" fontId="10" fillId="0" borderId="0" xfId="4" applyFont="1" applyBorder="1" applyAlignment="1">
      <alignment horizontal="center" vertical="center" wrapText="1" readingOrder="1"/>
    </xf>
    <xf numFmtId="164" fontId="0" fillId="0" borderId="0" xfId="0" applyNumberFormat="1"/>
    <xf numFmtId="0" fontId="10" fillId="0" borderId="1" xfId="4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0" fontId="2" fillId="0" borderId="0" xfId="2"/>
    <xf numFmtId="166" fontId="2" fillId="0" borderId="0" xfId="5" applyNumberFormat="1" applyFont="1"/>
    <xf numFmtId="166" fontId="0" fillId="0" borderId="0" xfId="1" applyNumberFormat="1" applyFont="1"/>
    <xf numFmtId="9" fontId="0" fillId="0" borderId="0" xfId="0" applyNumberFormat="1"/>
    <xf numFmtId="167" fontId="0" fillId="0" borderId="0" xfId="4" applyNumberFormat="1" applyFont="1" applyAlignment="1">
      <alignment horizontal="center"/>
    </xf>
    <xf numFmtId="9" fontId="0" fillId="0" borderId="0" xfId="4" applyFont="1" applyAlignment="1">
      <alignment horizontal="center"/>
    </xf>
    <xf numFmtId="168" fontId="0" fillId="0" borderId="0" xfId="4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 vertical="center" wrapText="1" readingOrder="1"/>
    </xf>
    <xf numFmtId="9" fontId="5" fillId="0" borderId="1" xfId="4" applyFont="1" applyBorder="1" applyAlignment="1">
      <alignment horizontal="center" vertical="center" wrapText="1" readingOrder="1"/>
    </xf>
    <xf numFmtId="169" fontId="5" fillId="0" borderId="1" xfId="4" applyNumberFormat="1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9" fontId="11" fillId="0" borderId="5" xfId="4" applyFont="1" applyBorder="1" applyAlignment="1">
      <alignment horizontal="center" vertical="center" wrapText="1" readingOrder="1"/>
    </xf>
    <xf numFmtId="9" fontId="11" fillId="0" borderId="3" xfId="4" applyFont="1" applyBorder="1" applyAlignment="1">
      <alignment horizontal="center" vertical="center" wrapText="1" readingOrder="1"/>
    </xf>
    <xf numFmtId="9" fontId="11" fillId="0" borderId="2" xfId="4" applyFont="1" applyBorder="1" applyAlignment="1">
      <alignment horizontal="center" vertical="center" wrapText="1" readingOrder="1"/>
    </xf>
  </cellXfs>
  <cellStyles count="6">
    <cellStyle name="Comma" xfId="1" builtinId="3"/>
    <cellStyle name="Comma 2" xfId="5"/>
    <cellStyle name="Normal" xfId="0" builtinId="0"/>
    <cellStyle name="Normal 2" xfId="2"/>
    <cellStyle name="Percent" xfId="4" builtinId="5"/>
    <cellStyle name="Percent 2" xfId="3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377825</xdr:colOff>
      <xdr:row>0</xdr:row>
      <xdr:rowOff>0</xdr:rowOff>
    </xdr:from>
    <xdr:to>
      <xdr:col>9</xdr:col>
      <xdr:colOff>7408</xdr:colOff>
      <xdr:row>0</xdr:row>
      <xdr:rowOff>0</xdr:rowOff>
    </xdr:to>
    <xdr:cxnSp macro="">
      <xdr:nvCxnSpPr>
        <xdr:cNvPr id="5" name="Straight Connector 4"/>
        <xdr:cNvCxnSpPr/>
      </xdr:nvCxnSpPr>
      <xdr:spPr>
        <a:xfrm flipV="1">
          <a:off x="377825" y="2317750"/>
          <a:ext cx="91440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showGridLines="0" tabSelected="1" zoomScale="90" zoomScaleNormal="90" workbookViewId="0">
      <selection activeCell="B4" sqref="B4"/>
    </sheetView>
  </sheetViews>
  <sheetFormatPr defaultRowHeight="12.75" x14ac:dyDescent="0.2"/>
  <cols>
    <col min="1" max="1" width="6.140625" style="6" customWidth="1"/>
    <col min="2" max="2" width="13.42578125" style="6" bestFit="1" customWidth="1"/>
    <col min="3" max="3" width="10.28515625" style="6" bestFit="1" customWidth="1"/>
    <col min="4" max="4" width="20.85546875" style="6" bestFit="1" customWidth="1"/>
    <col min="5" max="5" width="15.5703125" style="6" bestFit="1" customWidth="1"/>
    <col min="6" max="6" width="13.42578125" style="6" bestFit="1" customWidth="1"/>
    <col min="7" max="7" width="15.5703125" style="6" bestFit="1" customWidth="1"/>
    <col min="8" max="8" width="18.42578125" style="6" bestFit="1" customWidth="1"/>
    <col min="9" max="9" width="32" style="6" customWidth="1"/>
    <col min="10" max="10" width="21.7109375" style="6" bestFit="1" customWidth="1"/>
    <col min="11" max="11" width="12.7109375" style="6" customWidth="1"/>
    <col min="12" max="12" width="12.140625" style="6" customWidth="1"/>
    <col min="13" max="16384" width="9.140625" style="6"/>
  </cols>
  <sheetData>
    <row r="1" spans="2:12" customFormat="1" ht="15.75" thickBot="1" x14ac:dyDescent="0.3"/>
    <row r="2" spans="2:12" customFormat="1" ht="15.75" thickBot="1" x14ac:dyDescent="0.3">
      <c r="B2" s="7" t="s">
        <v>0</v>
      </c>
      <c r="C2" s="8" t="s">
        <v>1</v>
      </c>
      <c r="D2" s="8" t="s">
        <v>2</v>
      </c>
    </row>
    <row r="3" spans="2:12" customFormat="1" ht="15.75" thickBot="1" x14ac:dyDescent="0.3">
      <c r="B3" s="9">
        <v>20202020</v>
      </c>
      <c r="C3" s="10">
        <v>19001</v>
      </c>
      <c r="D3" s="10">
        <v>3</v>
      </c>
    </row>
    <row r="4" spans="2:12" customFormat="1" ht="26.25" thickBot="1" x14ac:dyDescent="0.3">
      <c r="B4" s="9">
        <v>20202020</v>
      </c>
      <c r="C4" s="10">
        <v>19333</v>
      </c>
      <c r="D4" s="11">
        <v>4742</v>
      </c>
      <c r="F4" s="12" t="s">
        <v>0</v>
      </c>
      <c r="G4" s="12" t="s">
        <v>4</v>
      </c>
      <c r="H4" s="12" t="s">
        <v>5</v>
      </c>
      <c r="I4" s="12" t="s">
        <v>71</v>
      </c>
    </row>
    <row r="5" spans="2:12" customFormat="1" ht="15.75" thickBot="1" x14ac:dyDescent="0.3">
      <c r="B5" s="9">
        <v>20202020</v>
      </c>
      <c r="C5" s="10">
        <v>555999</v>
      </c>
      <c r="D5" s="11">
        <v>937695</v>
      </c>
      <c r="F5" s="9">
        <v>20202020</v>
      </c>
      <c r="G5" s="9" t="s">
        <v>6</v>
      </c>
      <c r="H5" s="13">
        <v>31787980</v>
      </c>
      <c r="I5" s="14">
        <f>(H5/$H$8)*$D$10</f>
        <v>3005510.7746827379</v>
      </c>
    </row>
    <row r="6" spans="2:12" customFormat="1" ht="15.75" thickBot="1" x14ac:dyDescent="0.3">
      <c r="B6" s="9">
        <v>20202020</v>
      </c>
      <c r="C6" s="10">
        <v>5559991</v>
      </c>
      <c r="D6" s="11">
        <v>1020408</v>
      </c>
      <c r="F6" s="9">
        <v>20202020</v>
      </c>
      <c r="G6" s="9" t="s">
        <v>6</v>
      </c>
      <c r="H6" s="13">
        <v>38741574</v>
      </c>
      <c r="I6" s="14">
        <f>(H6/$H$8)*$D$10</f>
        <v>3662963.7392866304</v>
      </c>
    </row>
    <row r="7" spans="2:12" customFormat="1" ht="15.75" thickBot="1" x14ac:dyDescent="0.3">
      <c r="B7" s="9">
        <v>20202020</v>
      </c>
      <c r="C7" s="10">
        <v>5559993</v>
      </c>
      <c r="D7" s="11">
        <v>1257143</v>
      </c>
      <c r="F7" s="9">
        <v>20202020</v>
      </c>
      <c r="G7" s="9" t="s">
        <v>7</v>
      </c>
      <c r="H7" s="13">
        <v>760714</v>
      </c>
      <c r="I7" s="14">
        <f>(H7/$H$8)*$D$10</f>
        <v>71924.486030631844</v>
      </c>
    </row>
    <row r="8" spans="2:12" customFormat="1" ht="15.75" thickBot="1" x14ac:dyDescent="0.3">
      <c r="B8" s="9">
        <v>20202020</v>
      </c>
      <c r="C8" s="10">
        <v>5559994</v>
      </c>
      <c r="D8" s="11">
        <v>3061224</v>
      </c>
      <c r="F8" s="15" t="s">
        <v>8</v>
      </c>
      <c r="G8" s="15"/>
      <c r="H8" s="16">
        <v>71290268</v>
      </c>
      <c r="I8" s="17">
        <f>SUM(I5:I7)</f>
        <v>6740399</v>
      </c>
    </row>
    <row r="9" spans="2:12" customFormat="1" ht="15.75" thickBot="1" x14ac:dyDescent="0.3">
      <c r="B9" s="9">
        <v>20202020</v>
      </c>
      <c r="C9" s="10">
        <v>5559995</v>
      </c>
      <c r="D9" s="11">
        <v>459184</v>
      </c>
    </row>
    <row r="10" spans="2:12" customFormat="1" ht="15.75" thickBot="1" x14ac:dyDescent="0.3">
      <c r="B10" s="18" t="s">
        <v>3</v>
      </c>
      <c r="C10" s="19"/>
      <c r="D10" s="17">
        <f>SUM(D3:D9)</f>
        <v>6740399</v>
      </c>
    </row>
    <row r="11" spans="2:12" customFormat="1" ht="15" x14ac:dyDescent="0.25"/>
    <row r="12" spans="2:12" ht="15.75" thickBot="1" x14ac:dyDescent="0.3">
      <c r="D12"/>
      <c r="E12"/>
      <c r="F12"/>
    </row>
    <row r="13" spans="2:12" ht="26.25" thickBot="1" x14ac:dyDescent="0.25">
      <c r="B13" s="12" t="s">
        <v>0</v>
      </c>
      <c r="C13" s="12" t="s">
        <v>4</v>
      </c>
      <c r="D13" s="12" t="s">
        <v>5</v>
      </c>
      <c r="E13" s="8" t="s">
        <v>69</v>
      </c>
      <c r="F13" s="12" t="s">
        <v>95</v>
      </c>
      <c r="G13" s="12" t="s">
        <v>74</v>
      </c>
      <c r="H13" s="12" t="s">
        <v>77</v>
      </c>
      <c r="I13" s="12" t="s">
        <v>84</v>
      </c>
      <c r="J13" s="12" t="s">
        <v>73</v>
      </c>
      <c r="K13" s="12" t="s">
        <v>72</v>
      </c>
      <c r="L13" s="12" t="s">
        <v>9</v>
      </c>
    </row>
    <row r="14" spans="2:12" ht="13.5" thickBot="1" x14ac:dyDescent="0.25">
      <c r="B14" s="20">
        <v>20202020</v>
      </c>
      <c r="C14" s="20" t="s">
        <v>6</v>
      </c>
      <c r="D14" s="40">
        <f>H5</f>
        <v>31787980</v>
      </c>
      <c r="E14" s="40">
        <f>I5</f>
        <v>3005510.7746827379</v>
      </c>
      <c r="F14" s="41">
        <v>0</v>
      </c>
      <c r="G14" s="41">
        <v>0.35</v>
      </c>
      <c r="H14" s="40">
        <f t="shared" ref="H14:H16" si="0">D14-(D14*G14)</f>
        <v>20662187</v>
      </c>
      <c r="I14" s="41">
        <v>0.45</v>
      </c>
      <c r="J14" s="42">
        <f>IF(H14/E14 &lt;1, ((E14-H14)/E14)*I14, 0)</f>
        <v>0</v>
      </c>
      <c r="K14" s="40">
        <f>E14*J14</f>
        <v>0</v>
      </c>
      <c r="L14" s="41">
        <f>IFERROR(MAX(IF(COUNTIF($B$14:$B$16,B14)=1,J14,(SUMIF($B$14:$B$16,B14,$K$14:$K$16)/SUMIF($B$14:$B$16,B14,$E$14:$E$16))),0.1),0.1)</f>
        <v>0.1</v>
      </c>
    </row>
    <row r="15" spans="2:12" ht="13.5" thickBot="1" x14ac:dyDescent="0.25">
      <c r="B15" s="20">
        <v>20202020</v>
      </c>
      <c r="C15" s="20" t="s">
        <v>6</v>
      </c>
      <c r="D15" s="40">
        <f t="shared" ref="D15:D17" si="1">H6</f>
        <v>38741574</v>
      </c>
      <c r="E15" s="40">
        <f t="shared" ref="E15:E17" si="2">I6</f>
        <v>3662963.7392866304</v>
      </c>
      <c r="F15" s="41">
        <v>0</v>
      </c>
      <c r="G15" s="41">
        <v>0.35</v>
      </c>
      <c r="H15" s="40">
        <f t="shared" si="0"/>
        <v>25182023.100000001</v>
      </c>
      <c r="I15" s="41">
        <v>0.45</v>
      </c>
      <c r="J15" s="42">
        <f>IF(H15/E15 &lt;1, ((E15-H15)/E15)*I15, 0)</f>
        <v>0</v>
      </c>
      <c r="K15" s="40">
        <f>E15*J15</f>
        <v>0</v>
      </c>
      <c r="L15" s="41">
        <f t="shared" ref="L15:L16" si="3">IFERROR(MAX(IF(COUNTIF($B$14:$B$16,B15)=1,J15,(SUMIF($B$14:$B$16,B15,$K$14:$K$16)/SUMIF($B$14:$B$16,B15,$E$14:$E$16))),0.1),0.1)</f>
        <v>0.1</v>
      </c>
    </row>
    <row r="16" spans="2:12" ht="13.5" thickBot="1" x14ac:dyDescent="0.25">
      <c r="B16" s="20">
        <v>20202020</v>
      </c>
      <c r="C16" s="20" t="s">
        <v>6</v>
      </c>
      <c r="D16" s="40">
        <f t="shared" si="1"/>
        <v>760714</v>
      </c>
      <c r="E16" s="40">
        <f t="shared" si="2"/>
        <v>71924.486030631844</v>
      </c>
      <c r="F16" s="41">
        <v>0</v>
      </c>
      <c r="G16" s="41">
        <v>0.35</v>
      </c>
      <c r="H16" s="40">
        <f t="shared" si="0"/>
        <v>494464.10000000003</v>
      </c>
      <c r="I16" s="41">
        <v>0.45</v>
      </c>
      <c r="J16" s="42">
        <f>IF(H16/E16 &lt;1, ((E16-H16)/E16)*I16, 0)</f>
        <v>0</v>
      </c>
      <c r="K16" s="40">
        <f>E16*J16</f>
        <v>0</v>
      </c>
      <c r="L16" s="41">
        <f t="shared" si="3"/>
        <v>0.1</v>
      </c>
    </row>
    <row r="17" spans="2:12" ht="13.5" thickBot="1" x14ac:dyDescent="0.25">
      <c r="B17" s="20" t="s">
        <v>8</v>
      </c>
      <c r="C17" s="20"/>
      <c r="D17" s="40">
        <f t="shared" si="1"/>
        <v>71290268</v>
      </c>
      <c r="E17" s="40">
        <f t="shared" si="2"/>
        <v>6740399</v>
      </c>
      <c r="F17" s="20"/>
      <c r="G17" s="20"/>
      <c r="H17" s="43">
        <f>SUM(H14:H16)</f>
        <v>46338674.200000003</v>
      </c>
      <c r="I17" s="20"/>
      <c r="J17" s="20"/>
      <c r="K17" s="40">
        <f>SUM(K14:K16)</f>
        <v>0</v>
      </c>
      <c r="L17" s="2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L27"/>
  <sheetViews>
    <sheetView showGridLines="0" workbookViewId="0">
      <selection activeCell="B5" sqref="B5"/>
    </sheetView>
  </sheetViews>
  <sheetFormatPr defaultRowHeight="15" x14ac:dyDescent="0.25"/>
  <cols>
    <col min="1" max="1" width="3.42578125" customWidth="1"/>
    <col min="3" max="3" width="9.85546875" customWidth="1"/>
    <col min="4" max="4" width="14.42578125" customWidth="1"/>
    <col min="5" max="5" width="25.28515625" customWidth="1"/>
    <col min="6" max="6" width="23.28515625" customWidth="1"/>
    <col min="7" max="7" width="14.28515625" customWidth="1"/>
    <col min="8" max="8" width="9.5703125" customWidth="1"/>
    <col min="9" max="9" width="15.28515625" customWidth="1"/>
    <col min="10" max="10" width="12.5703125" customWidth="1"/>
    <col min="11" max="11" width="8.140625" customWidth="1"/>
    <col min="12" max="12" width="17" customWidth="1"/>
    <col min="13" max="13" width="16.85546875" customWidth="1"/>
  </cols>
  <sheetData>
    <row r="1" spans="2:12" ht="15.75" thickBot="1" x14ac:dyDescent="0.3"/>
    <row r="2" spans="2:12" ht="15.75" thickBot="1" x14ac:dyDescent="0.3">
      <c r="B2" s="44" t="s">
        <v>80</v>
      </c>
      <c r="C2" s="47" t="s">
        <v>75</v>
      </c>
      <c r="D2" s="47"/>
      <c r="E2" s="47"/>
      <c r="F2" s="48"/>
    </row>
    <row r="3" spans="2:12" ht="26.25" thickBot="1" x14ac:dyDescent="0.3">
      <c r="B3" s="45"/>
      <c r="C3" s="24" t="s">
        <v>0</v>
      </c>
      <c r="D3" s="12" t="s">
        <v>4</v>
      </c>
      <c r="E3" s="12" t="s">
        <v>5</v>
      </c>
      <c r="F3" s="12" t="s">
        <v>69</v>
      </c>
      <c r="G3" s="12" t="s">
        <v>73</v>
      </c>
      <c r="H3" s="12" t="s">
        <v>74</v>
      </c>
      <c r="I3" s="12" t="s">
        <v>77</v>
      </c>
      <c r="J3" s="12" t="s">
        <v>73</v>
      </c>
    </row>
    <row r="4" spans="2:12" ht="15.75" thickBot="1" x14ac:dyDescent="0.3">
      <c r="B4" s="46"/>
      <c r="C4" s="25">
        <v>20202020</v>
      </c>
      <c r="D4" s="22" t="s">
        <v>24</v>
      </c>
      <c r="E4" s="22">
        <v>4000000</v>
      </c>
      <c r="F4" s="22">
        <v>3000000</v>
      </c>
      <c r="G4" s="23">
        <v>0.35</v>
      </c>
      <c r="H4" s="23">
        <v>0.1</v>
      </c>
      <c r="I4" s="22">
        <f>E4-(E4*H4)</f>
        <v>3600000</v>
      </c>
      <c r="J4" s="23">
        <f>IF(I4&gt;F4,1, F4/I4)*G4</f>
        <v>0.35</v>
      </c>
    </row>
    <row r="5" spans="2:12" ht="15.75" thickBot="1" x14ac:dyDescent="0.3"/>
    <row r="6" spans="2:12" ht="15.75" thickBot="1" x14ac:dyDescent="0.3">
      <c r="B6" s="44" t="s">
        <v>81</v>
      </c>
      <c r="C6" s="47" t="s">
        <v>76</v>
      </c>
      <c r="D6" s="47"/>
      <c r="E6" s="47"/>
      <c r="F6" s="48"/>
    </row>
    <row r="7" spans="2:12" ht="26.25" thickBot="1" x14ac:dyDescent="0.3">
      <c r="B7" s="45"/>
      <c r="C7" s="24" t="s">
        <v>0</v>
      </c>
      <c r="D7" s="12" t="s">
        <v>4</v>
      </c>
      <c r="E7" s="12" t="s">
        <v>5</v>
      </c>
      <c r="F7" s="12" t="s">
        <v>69</v>
      </c>
      <c r="G7" s="12" t="s">
        <v>73</v>
      </c>
      <c r="H7" s="12" t="s">
        <v>74</v>
      </c>
      <c r="I7" s="12" t="s">
        <v>77</v>
      </c>
      <c r="J7" s="12" t="s">
        <v>73</v>
      </c>
    </row>
    <row r="8" spans="2:12" ht="15.75" thickBot="1" x14ac:dyDescent="0.3">
      <c r="B8" s="46"/>
      <c r="C8" s="30">
        <v>20202020</v>
      </c>
      <c r="D8" s="22" t="s">
        <v>6</v>
      </c>
      <c r="E8" s="22">
        <v>33333333</v>
      </c>
      <c r="F8" s="22">
        <v>2625000</v>
      </c>
      <c r="G8" s="23">
        <v>0.35</v>
      </c>
      <c r="H8" s="23">
        <v>0.1</v>
      </c>
      <c r="I8" s="22">
        <f>E8-(E8*H8)</f>
        <v>29999999.699999999</v>
      </c>
      <c r="J8" s="23">
        <f>IF(I8&gt;F8,F8/I8, 1)*G8</f>
        <v>3.062500030625E-2</v>
      </c>
    </row>
    <row r="9" spans="2:12" ht="15.75" thickBot="1" x14ac:dyDescent="0.3">
      <c r="C9" s="30">
        <v>20202020</v>
      </c>
      <c r="D9" s="22" t="s">
        <v>6</v>
      </c>
      <c r="E9" s="22">
        <v>44444444</v>
      </c>
      <c r="F9" s="22">
        <v>3500000</v>
      </c>
      <c r="G9" s="23">
        <v>0.35</v>
      </c>
      <c r="H9" s="23">
        <v>0.1</v>
      </c>
      <c r="I9" s="22">
        <f>E9-(E9*H9)</f>
        <v>39999999.600000001</v>
      </c>
      <c r="J9" s="23">
        <f>IF(I9&gt;F9,F9/I9, 1)*G9</f>
        <v>3.062500030625E-2</v>
      </c>
      <c r="L9" s="29"/>
    </row>
    <row r="10" spans="2:12" ht="15.75" thickBot="1" x14ac:dyDescent="0.3">
      <c r="C10" s="30">
        <v>20202020</v>
      </c>
      <c r="D10" s="22" t="s">
        <v>6</v>
      </c>
      <c r="E10" s="22">
        <v>11111111</v>
      </c>
      <c r="F10" s="22">
        <v>875000</v>
      </c>
      <c r="G10" s="23">
        <v>0.45</v>
      </c>
      <c r="H10" s="23">
        <v>0.1</v>
      </c>
      <c r="I10" s="22">
        <f>E10-(E10*H10)</f>
        <v>9999999.9000000004</v>
      </c>
      <c r="J10" s="23">
        <f>IF(I10&gt;F10,F10/I10, 1)*G10</f>
        <v>3.9375000393750005E-2</v>
      </c>
    </row>
    <row r="11" spans="2:12" x14ac:dyDescent="0.25">
      <c r="C11" s="26"/>
      <c r="D11" s="27"/>
      <c r="E11" s="27"/>
      <c r="F11" s="27"/>
      <c r="G11" s="28"/>
      <c r="H11" s="28"/>
      <c r="I11" s="27"/>
      <c r="J11" s="28"/>
    </row>
    <row r="12" spans="2:12" x14ac:dyDescent="0.25">
      <c r="C12" s="26"/>
      <c r="D12" s="27"/>
      <c r="E12" s="27"/>
      <c r="F12" s="27"/>
      <c r="G12" s="28"/>
      <c r="H12" s="28"/>
      <c r="I12" s="27"/>
      <c r="J12" s="28"/>
    </row>
    <row r="13" spans="2:12" ht="15.75" thickBot="1" x14ac:dyDescent="0.3"/>
    <row r="14" spans="2:12" ht="15.75" thickBot="1" x14ac:dyDescent="0.3">
      <c r="B14" s="44" t="s">
        <v>82</v>
      </c>
      <c r="C14" s="49" t="s">
        <v>79</v>
      </c>
      <c r="D14" s="47"/>
      <c r="E14" s="47"/>
      <c r="F14" s="48"/>
    </row>
    <row r="15" spans="2:12" ht="26.25" thickBot="1" x14ac:dyDescent="0.3">
      <c r="B15" s="45"/>
      <c r="C15" s="12" t="s">
        <v>0</v>
      </c>
      <c r="D15" s="12" t="s">
        <v>4</v>
      </c>
      <c r="E15" s="12" t="s">
        <v>5</v>
      </c>
      <c r="F15" s="12" t="s">
        <v>69</v>
      </c>
      <c r="G15" s="12" t="s">
        <v>85</v>
      </c>
      <c r="H15" s="12" t="s">
        <v>74</v>
      </c>
      <c r="I15" s="12" t="s">
        <v>77</v>
      </c>
      <c r="J15" s="12" t="s">
        <v>73</v>
      </c>
      <c r="K15" s="12" t="s">
        <v>84</v>
      </c>
    </row>
    <row r="16" spans="2:12" ht="15.75" thickBot="1" x14ac:dyDescent="0.3">
      <c r="B16" s="46"/>
      <c r="C16" s="21">
        <v>20202020</v>
      </c>
      <c r="D16" s="22" t="s">
        <v>24</v>
      </c>
      <c r="E16" s="22">
        <v>2000000</v>
      </c>
      <c r="F16" s="22">
        <v>3000000</v>
      </c>
      <c r="G16" s="23">
        <v>0.4</v>
      </c>
      <c r="H16" s="23">
        <v>0.1</v>
      </c>
      <c r="I16" s="22">
        <f>E16-(E16*H16)</f>
        <v>1800000</v>
      </c>
      <c r="J16" s="23">
        <f>(I16/F16)*G16+ (1-(I16/F16))*$K$16</f>
        <v>0.42000000000000004</v>
      </c>
      <c r="K16" s="23">
        <v>0.45</v>
      </c>
    </row>
    <row r="17" spans="2:11" ht="15.75" thickBot="1" x14ac:dyDescent="0.3"/>
    <row r="18" spans="2:11" ht="15.75" thickBot="1" x14ac:dyDescent="0.3">
      <c r="B18" s="44" t="s">
        <v>83</v>
      </c>
      <c r="C18" s="49" t="s">
        <v>78</v>
      </c>
      <c r="D18" s="47"/>
      <c r="E18" s="47"/>
      <c r="F18" s="48"/>
    </row>
    <row r="19" spans="2:11" ht="26.25" thickBot="1" x14ac:dyDescent="0.3">
      <c r="B19" s="45"/>
      <c r="C19" s="12" t="s">
        <v>0</v>
      </c>
      <c r="D19" s="12" t="s">
        <v>4</v>
      </c>
      <c r="E19" s="12" t="s">
        <v>5</v>
      </c>
      <c r="F19" s="12" t="s">
        <v>69</v>
      </c>
      <c r="G19" s="12" t="s">
        <v>85</v>
      </c>
      <c r="H19" s="12" t="s">
        <v>74</v>
      </c>
      <c r="I19" s="12" t="s">
        <v>77</v>
      </c>
      <c r="J19" s="12" t="s">
        <v>73</v>
      </c>
      <c r="K19" s="12" t="s">
        <v>84</v>
      </c>
    </row>
    <row r="20" spans="2:11" ht="15.75" thickBot="1" x14ac:dyDescent="0.3">
      <c r="B20" s="46"/>
      <c r="C20" s="21">
        <v>20202020</v>
      </c>
      <c r="D20" s="22" t="s">
        <v>24</v>
      </c>
      <c r="E20" s="22">
        <v>11111111</v>
      </c>
      <c r="F20" s="22">
        <v>2625000</v>
      </c>
      <c r="G20" s="23">
        <v>0.35</v>
      </c>
      <c r="H20" s="23">
        <v>0.1</v>
      </c>
      <c r="I20" s="22">
        <f t="shared" ref="I20:I22" si="0">E20-(E20*H20)</f>
        <v>9999999.9000000004</v>
      </c>
      <c r="J20" s="23">
        <f>$G$20+(1-(I16/F16))*$K$16</f>
        <v>0.53</v>
      </c>
      <c r="K20" s="23">
        <v>0.45</v>
      </c>
    </row>
    <row r="21" spans="2:11" ht="15.75" thickBot="1" x14ac:dyDescent="0.3">
      <c r="C21" s="21">
        <v>20202020</v>
      </c>
      <c r="D21" s="22" t="s">
        <v>24</v>
      </c>
      <c r="E21" s="22">
        <v>3333333</v>
      </c>
      <c r="F21" s="22">
        <v>3500000</v>
      </c>
      <c r="G21" s="23">
        <v>0.35</v>
      </c>
      <c r="H21" s="23">
        <v>0.1</v>
      </c>
      <c r="I21" s="22">
        <f t="shared" si="0"/>
        <v>2999999.7</v>
      </c>
      <c r="J21" s="23">
        <f>$G$21+(1-(I21/F21))*$K$16</f>
        <v>0.41428575285714281</v>
      </c>
      <c r="K21" s="23">
        <v>0.45</v>
      </c>
    </row>
    <row r="22" spans="2:11" ht="15.75" thickBot="1" x14ac:dyDescent="0.3">
      <c r="C22" s="21">
        <v>20202020</v>
      </c>
      <c r="D22" s="22" t="s">
        <v>24</v>
      </c>
      <c r="E22" s="22">
        <v>222222</v>
      </c>
      <c r="F22" s="22">
        <v>875000</v>
      </c>
      <c r="G22" s="23">
        <v>0.35</v>
      </c>
      <c r="H22" s="23">
        <v>0.1</v>
      </c>
      <c r="I22" s="22">
        <f t="shared" si="0"/>
        <v>199999.8</v>
      </c>
      <c r="J22" s="23">
        <f>$G$22+(1-(I22/F22))*$K$16</f>
        <v>0.69714295999999998</v>
      </c>
      <c r="K22" s="23">
        <v>0.45</v>
      </c>
    </row>
    <row r="24" spans="2:11" x14ac:dyDescent="0.25">
      <c r="C24" s="31" t="s">
        <v>86</v>
      </c>
      <c r="D24" s="31" t="s">
        <v>4</v>
      </c>
      <c r="E24" s="31" t="s">
        <v>87</v>
      </c>
      <c r="F24" s="32" t="s">
        <v>88</v>
      </c>
      <c r="G24" s="31" t="s">
        <v>89</v>
      </c>
      <c r="H24" s="31" t="s">
        <v>85</v>
      </c>
      <c r="I24" s="31" t="s">
        <v>90</v>
      </c>
      <c r="J24" s="31" t="s">
        <v>91</v>
      </c>
      <c r="K24" s="31" t="s">
        <v>92</v>
      </c>
    </row>
    <row r="25" spans="2:11" x14ac:dyDescent="0.25">
      <c r="C25">
        <v>9</v>
      </c>
      <c r="D25" s="33" t="s">
        <v>6</v>
      </c>
      <c r="E25" s="33" t="s">
        <v>24</v>
      </c>
      <c r="F25" s="34">
        <v>7405360650</v>
      </c>
      <c r="G25" s="35">
        <v>2104148383.0943141</v>
      </c>
      <c r="H25" s="36">
        <v>0.35</v>
      </c>
      <c r="I25" s="37">
        <f>IFERROR(IF(F25/G25&gt;100%,G25/F25,F25/G25)*H25+(1-IF(F25/G25&gt;100%,100%,F25/G25))*45%,0.45)</f>
        <v>9.9448489937219997E-2</v>
      </c>
      <c r="J25" s="35">
        <f>I25*G25</f>
        <v>209254379.30257264</v>
      </c>
      <c r="K25" s="38">
        <f>IFERROR(IF(COUNTIF($A$2:$A$4,C25)=1,I25,(SUMIF($A$2:$A$4,C25,$G$2:$G$4)/SUMIF($A$2:$A$4,C25,$E$2:$E$4))),0.45)</f>
        <v>0.45</v>
      </c>
    </row>
    <row r="26" spans="2:11" x14ac:dyDescent="0.25">
      <c r="C26">
        <v>9</v>
      </c>
      <c r="D26" s="33" t="s">
        <v>47</v>
      </c>
      <c r="E26" s="33" t="s">
        <v>93</v>
      </c>
      <c r="F26" s="34">
        <v>1000000</v>
      </c>
      <c r="G26" s="35">
        <v>65500277.764330134</v>
      </c>
      <c r="H26" s="36">
        <v>0.35</v>
      </c>
      <c r="I26" s="39">
        <f t="shared" ref="I26:I27" si="1">IFERROR(IF(F26/G26&gt;100%,G26/F26,F26/G26)*H26+(1-IF(F26/G26&gt;100%,100%,F26/G26))*45%,0.45)</f>
        <v>0.44847328891703636</v>
      </c>
      <c r="J26" s="35">
        <f>I26*G26</f>
        <v>29375124.99394856</v>
      </c>
      <c r="K26" s="38">
        <f>IFERROR(IF(COUNTIF($A$2:$A$4,C26)=1,I26,(SUMIF($A$2:$A$4,C26,$G$2:$G$4)/SUMIF($A$2:$A$4,C26,$E$2:$E$4))),0.45)</f>
        <v>0.45</v>
      </c>
    </row>
    <row r="27" spans="2:11" x14ac:dyDescent="0.25">
      <c r="C27">
        <v>9</v>
      </c>
      <c r="D27" s="33" t="s">
        <v>63</v>
      </c>
      <c r="E27" s="33" t="s">
        <v>94</v>
      </c>
      <c r="F27" s="34">
        <v>2000000</v>
      </c>
      <c r="G27" s="35">
        <v>2000000</v>
      </c>
      <c r="H27" s="36">
        <v>0.35</v>
      </c>
      <c r="I27" s="37">
        <f t="shared" si="1"/>
        <v>0.35</v>
      </c>
      <c r="J27" s="35">
        <f>I27*G27</f>
        <v>700000</v>
      </c>
      <c r="K27" s="38">
        <f>IFERROR(IF(COUNTIF($A$2:$A$4,C27)=1,I27,(SUMIF($A$2:$A$4,C27,$G$2:$G$4)/SUMIF($A$2:$A$4,C27,$E$2:$E$4))),0.45)</f>
        <v>0.45</v>
      </c>
    </row>
  </sheetData>
  <mergeCells count="8">
    <mergeCell ref="B2:B4"/>
    <mergeCell ref="B6:B8"/>
    <mergeCell ref="B14:B16"/>
    <mergeCell ref="B18:B20"/>
    <mergeCell ref="C2:F2"/>
    <mergeCell ref="C6:F6"/>
    <mergeCell ref="C14:F14"/>
    <mergeCell ref="C18:F18"/>
  </mergeCells>
  <conditionalFormatting sqref="C6:F6">
    <cfRule type="containsText" dxfId="7" priority="8" operator="containsText" text="Not Capping the over-collateralization at 100%">
      <formula>NOT(ISERROR(SEARCH("Not Capping the over-collateralization at 100%",C6)))</formula>
    </cfRule>
  </conditionalFormatting>
  <conditionalFormatting sqref="C2:F2">
    <cfRule type="containsText" dxfId="6" priority="6" operator="containsText" text="Capping the over-collateralization at 100%">
      <formula>NOT(ISERROR(SEARCH("Capping the over-collateralization at 100%",C2)))</formula>
    </cfRule>
    <cfRule type="containsText" dxfId="5" priority="7" operator="containsText" text="Not Capping the over-collateralization at 100%">
      <formula>NOT(ISERROR(SEARCH("Not Capping the over-collateralization at 100%",C2)))</formula>
    </cfRule>
  </conditionalFormatting>
  <conditionalFormatting sqref="C14:F14">
    <cfRule type="containsText" dxfId="4" priority="4" operator="containsText" text="Not flooring the under-collateralization at given LGD">
      <formula>NOT(ISERROR(SEARCH("Not flooring the under-collateralization at given LGD",C14)))</formula>
    </cfRule>
    <cfRule type="containsText" dxfId="3" priority="5" operator="containsText" text="Not Capping the over-collateralization at 100%">
      <formula>NOT(ISERROR(SEARCH("Not Capping the over-collateralization at 100%",C14)))</formula>
    </cfRule>
  </conditionalFormatting>
  <conditionalFormatting sqref="C18:F18">
    <cfRule type="containsText" dxfId="2" priority="1" operator="containsText" text="Flooring the under-collateralization at given LGD">
      <formula>NOT(ISERROR(SEARCH("Flooring the under-collateralization at given LGD",C18)))</formula>
    </cfRule>
    <cfRule type="containsText" dxfId="1" priority="2" operator="containsText" text="Not flooring the under-collateralization at given LGD">
      <formula>NOT(ISERROR(SEARCH("Not flooring the under-collateralization at given LGD",C18)))</formula>
    </cfRule>
    <cfRule type="containsText" dxfId="0" priority="3" operator="containsText" text="Not Capping the over-collateralization at 100%">
      <formula>NOT(ISERROR(SEARCH("Not Capping the over-collateralization at 100%",C18)))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8"/>
  <sheetViews>
    <sheetView workbookViewId="0">
      <selection activeCell="B14" sqref="B14"/>
    </sheetView>
  </sheetViews>
  <sheetFormatPr defaultRowHeight="15" x14ac:dyDescent="0.25"/>
  <cols>
    <col min="2" max="2" width="14" bestFit="1" customWidth="1"/>
    <col min="3" max="3" width="20.7109375" bestFit="1" customWidth="1"/>
    <col min="4" max="4" width="4.85546875" bestFit="1" customWidth="1"/>
    <col min="5" max="5" width="49.85546875" bestFit="1" customWidth="1"/>
    <col min="6" max="6" width="12.28515625" bestFit="1" customWidth="1"/>
  </cols>
  <sheetData>
    <row r="2" spans="2:6" x14ac:dyDescent="0.25">
      <c r="B2" s="5" t="s">
        <v>4</v>
      </c>
      <c r="C2" s="5" t="s">
        <v>10</v>
      </c>
      <c r="D2" s="5" t="s">
        <v>74</v>
      </c>
      <c r="E2" s="5" t="s">
        <v>11</v>
      </c>
      <c r="F2" s="5" t="s">
        <v>70</v>
      </c>
    </row>
    <row r="3" spans="2:6" x14ac:dyDescent="0.25">
      <c r="B3" s="1" t="s">
        <v>7</v>
      </c>
      <c r="C3" s="1" t="s">
        <v>12</v>
      </c>
      <c r="D3" s="1"/>
      <c r="E3" s="1" t="s">
        <v>13</v>
      </c>
      <c r="F3" s="2">
        <v>0.45</v>
      </c>
    </row>
    <row r="4" spans="2:6" x14ac:dyDescent="0.25">
      <c r="B4" s="1" t="s">
        <v>14</v>
      </c>
      <c r="C4" s="1" t="s">
        <v>15</v>
      </c>
      <c r="D4" s="1"/>
      <c r="E4" s="1" t="s">
        <v>13</v>
      </c>
      <c r="F4" s="2">
        <v>0.35</v>
      </c>
    </row>
    <row r="5" spans="2:6" x14ac:dyDescent="0.25">
      <c r="B5" s="1" t="s">
        <v>16</v>
      </c>
      <c r="C5" s="1" t="s">
        <v>15</v>
      </c>
      <c r="D5" s="1"/>
      <c r="E5" s="1" t="s">
        <v>13</v>
      </c>
      <c r="F5" s="2">
        <v>0.35</v>
      </c>
    </row>
    <row r="6" spans="2:6" x14ac:dyDescent="0.25">
      <c r="B6" s="1" t="s">
        <v>17</v>
      </c>
      <c r="C6" s="1" t="s">
        <v>18</v>
      </c>
      <c r="D6" s="1"/>
      <c r="E6" s="1" t="s">
        <v>13</v>
      </c>
      <c r="F6" s="2">
        <v>0.35</v>
      </c>
    </row>
    <row r="7" spans="2:6" x14ac:dyDescent="0.25">
      <c r="B7" s="1" t="s">
        <v>19</v>
      </c>
      <c r="C7" s="1" t="s">
        <v>20</v>
      </c>
      <c r="D7" s="3">
        <v>0</v>
      </c>
      <c r="E7" s="1" t="s">
        <v>21</v>
      </c>
      <c r="F7" s="2">
        <v>0.3</v>
      </c>
    </row>
    <row r="8" spans="2:6" x14ac:dyDescent="0.25">
      <c r="B8" s="1" t="s">
        <v>22</v>
      </c>
      <c r="C8" s="1" t="s">
        <v>23</v>
      </c>
      <c r="D8" s="1"/>
      <c r="E8" s="1" t="s">
        <v>13</v>
      </c>
      <c r="F8" s="2">
        <v>0.45</v>
      </c>
    </row>
    <row r="9" spans="2:6" x14ac:dyDescent="0.25">
      <c r="B9" s="1" t="s">
        <v>6</v>
      </c>
      <c r="C9" s="1" t="s">
        <v>24</v>
      </c>
      <c r="D9" s="1"/>
      <c r="E9" s="1" t="s">
        <v>13</v>
      </c>
      <c r="F9" s="2">
        <v>0.35</v>
      </c>
    </row>
    <row r="10" spans="2:6" x14ac:dyDescent="0.25">
      <c r="B10" s="1" t="s">
        <v>25</v>
      </c>
      <c r="C10" s="1" t="s">
        <v>26</v>
      </c>
      <c r="D10" s="3">
        <v>0.08</v>
      </c>
      <c r="E10" s="1" t="s">
        <v>27</v>
      </c>
      <c r="F10" s="2">
        <v>0.45</v>
      </c>
    </row>
    <row r="11" spans="2:6" x14ac:dyDescent="0.25">
      <c r="B11" s="1" t="s">
        <v>28</v>
      </c>
      <c r="C11" s="1" t="s">
        <v>29</v>
      </c>
      <c r="D11" s="3">
        <v>0.06</v>
      </c>
      <c r="E11" s="1" t="s">
        <v>30</v>
      </c>
      <c r="F11" s="2">
        <v>0.45</v>
      </c>
    </row>
    <row r="12" spans="2:6" x14ac:dyDescent="0.25">
      <c r="B12" s="1" t="s">
        <v>31</v>
      </c>
      <c r="C12" s="1" t="s">
        <v>32</v>
      </c>
      <c r="D12" s="3">
        <v>0.08</v>
      </c>
      <c r="E12" s="1" t="s">
        <v>33</v>
      </c>
      <c r="F12" s="2">
        <v>0.45</v>
      </c>
    </row>
    <row r="13" spans="2:6" x14ac:dyDescent="0.25">
      <c r="B13" s="1" t="s">
        <v>34</v>
      </c>
      <c r="C13" s="1" t="s">
        <v>35</v>
      </c>
      <c r="D13" s="3">
        <v>0</v>
      </c>
      <c r="E13" s="1" t="s">
        <v>36</v>
      </c>
      <c r="F13" s="2">
        <v>0.1</v>
      </c>
    </row>
    <row r="14" spans="2:6" x14ac:dyDescent="0.25">
      <c r="B14" s="1" t="s">
        <v>37</v>
      </c>
      <c r="C14" s="1" t="s">
        <v>38</v>
      </c>
      <c r="D14" s="3">
        <v>0</v>
      </c>
      <c r="E14" s="1" t="s">
        <v>21</v>
      </c>
      <c r="F14" s="2">
        <v>0.1</v>
      </c>
    </row>
    <row r="15" spans="2:6" x14ac:dyDescent="0.25">
      <c r="B15" s="1" t="s">
        <v>39</v>
      </c>
      <c r="C15" s="1" t="s">
        <v>40</v>
      </c>
      <c r="D15" s="3">
        <v>0.15</v>
      </c>
      <c r="E15" s="1" t="s">
        <v>36</v>
      </c>
      <c r="F15" s="2">
        <v>0.45</v>
      </c>
    </row>
    <row r="16" spans="2:6" x14ac:dyDescent="0.25">
      <c r="B16" s="1" t="s">
        <v>41</v>
      </c>
      <c r="C16" s="1" t="s">
        <v>42</v>
      </c>
      <c r="D16" s="3">
        <v>0.06</v>
      </c>
      <c r="E16" s="1" t="s">
        <v>30</v>
      </c>
      <c r="F16" s="2">
        <v>0.45</v>
      </c>
    </row>
    <row r="17" spans="2:6" x14ac:dyDescent="0.25">
      <c r="B17" s="1" t="s">
        <v>43</v>
      </c>
      <c r="C17" s="1" t="s">
        <v>44</v>
      </c>
      <c r="D17" s="3">
        <v>0.06</v>
      </c>
      <c r="E17" s="1" t="s">
        <v>30</v>
      </c>
      <c r="F17" s="2">
        <v>0.45</v>
      </c>
    </row>
    <row r="18" spans="2:6" x14ac:dyDescent="0.25">
      <c r="B18" s="1" t="s">
        <v>45</v>
      </c>
      <c r="C18" s="1" t="s">
        <v>46</v>
      </c>
      <c r="D18" s="1"/>
      <c r="E18" s="1" t="s">
        <v>13</v>
      </c>
      <c r="F18" s="2">
        <v>0.4</v>
      </c>
    </row>
    <row r="19" spans="2:6" x14ac:dyDescent="0.25">
      <c r="B19" s="1" t="s">
        <v>47</v>
      </c>
      <c r="C19" s="1" t="s">
        <v>48</v>
      </c>
      <c r="D19" s="3">
        <v>0.15</v>
      </c>
      <c r="E19" s="1" t="s">
        <v>36</v>
      </c>
      <c r="F19" s="2">
        <v>0.2</v>
      </c>
    </row>
    <row r="20" spans="2:6" x14ac:dyDescent="0.25">
      <c r="B20" s="1" t="s">
        <v>49</v>
      </c>
      <c r="C20" s="1" t="s">
        <v>50</v>
      </c>
      <c r="D20" s="1"/>
      <c r="E20" s="1" t="s">
        <v>13</v>
      </c>
      <c r="F20" s="2">
        <v>0.4</v>
      </c>
    </row>
    <row r="21" spans="2:6" x14ac:dyDescent="0.25">
      <c r="B21" s="1" t="s">
        <v>51</v>
      </c>
      <c r="C21" s="1" t="s">
        <v>52</v>
      </c>
      <c r="D21" s="3">
        <v>0.08</v>
      </c>
      <c r="E21" s="1" t="s">
        <v>53</v>
      </c>
      <c r="F21" s="2">
        <v>0.45</v>
      </c>
    </row>
    <row r="22" spans="2:6" x14ac:dyDescent="0.25">
      <c r="B22" s="1" t="s">
        <v>54</v>
      </c>
      <c r="C22" s="1" t="s">
        <v>55</v>
      </c>
      <c r="D22" s="3">
        <v>0</v>
      </c>
      <c r="E22" s="1" t="s">
        <v>36</v>
      </c>
      <c r="F22" s="2">
        <v>0.45</v>
      </c>
    </row>
    <row r="23" spans="2:6" x14ac:dyDescent="0.25">
      <c r="B23" s="1" t="s">
        <v>56</v>
      </c>
      <c r="C23" s="1" t="s">
        <v>57</v>
      </c>
      <c r="D23" s="1"/>
      <c r="E23" s="1" t="s">
        <v>13</v>
      </c>
      <c r="F23" s="2" t="s">
        <v>58</v>
      </c>
    </row>
    <row r="24" spans="2:6" x14ac:dyDescent="0.25">
      <c r="B24" s="1" t="s">
        <v>59</v>
      </c>
      <c r="C24" s="1" t="s">
        <v>60</v>
      </c>
      <c r="D24" s="1"/>
      <c r="E24" s="1" t="s">
        <v>13</v>
      </c>
      <c r="F24" s="4">
        <v>0.75</v>
      </c>
    </row>
    <row r="25" spans="2:6" x14ac:dyDescent="0.25">
      <c r="B25" s="1" t="s">
        <v>61</v>
      </c>
      <c r="C25" s="1" t="s">
        <v>62</v>
      </c>
      <c r="D25" s="1"/>
      <c r="E25" s="1" t="s">
        <v>13</v>
      </c>
      <c r="F25" s="4">
        <v>0.75</v>
      </c>
    </row>
    <row r="26" spans="2:6" x14ac:dyDescent="0.25">
      <c r="B26" s="1" t="s">
        <v>63</v>
      </c>
      <c r="C26" s="1" t="s">
        <v>64</v>
      </c>
      <c r="D26" s="1"/>
      <c r="E26" s="1" t="s">
        <v>13</v>
      </c>
      <c r="F26" s="4">
        <v>0.75</v>
      </c>
    </row>
    <row r="27" spans="2:6" x14ac:dyDescent="0.25">
      <c r="B27" s="1" t="s">
        <v>65</v>
      </c>
      <c r="C27" s="1" t="s">
        <v>66</v>
      </c>
      <c r="D27" s="1"/>
      <c r="E27" s="1" t="s">
        <v>13</v>
      </c>
      <c r="F27" s="2">
        <v>0.35</v>
      </c>
    </row>
    <row r="28" spans="2:6" x14ac:dyDescent="0.25">
      <c r="B28" s="1" t="s">
        <v>67</v>
      </c>
      <c r="C28" s="1" t="s">
        <v>68</v>
      </c>
      <c r="D28" s="1"/>
      <c r="E28" s="1" t="s">
        <v>13</v>
      </c>
      <c r="F28" s="2">
        <v>0.45</v>
      </c>
    </row>
  </sheetData>
  <pageMargins left="0.7" right="0.7" top="0.75" bottom="0.75" header="0.3" footer="0.3"/>
</worksheet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21675</vt:lpwstr>
  </property>
  <property fmtid="{D5CDD505-2E9C-101B-9397-08002B2CF9AE}" pid="4" name="OptimizationTime">
    <vt:lpwstr>20170716_1500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New Rules for Collateral</vt:lpstr>
      <vt:lpstr>Haircut Mapping</vt:lpstr>
    </vt:vector>
  </TitlesOfParts>
  <Company>Ernst &amp; Young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Vishal Kumar</cp:lastModifiedBy>
  <dcterms:created xsi:type="dcterms:W3CDTF">2017-05-24T11:46:56Z</dcterms:created>
  <dcterms:modified xsi:type="dcterms:W3CDTF">2017-07-10T09:59:46Z</dcterms:modified>
</cp:coreProperties>
</file>