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naren\Documents\Dubai boot camp_IFRS9\"/>
    </mc:Choice>
  </mc:AlternateContent>
  <xr:revisionPtr revIDLastSave="0" documentId="13_ncr:1_{46AB4FB0-C246-47B0-B88C-50237E2DB48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" l="1"/>
  <c r="K13" i="1" s="1"/>
  <c r="L13" i="1" s="1"/>
  <c r="M13" i="1" s="1"/>
</calcChain>
</file>

<file path=xl/sharedStrings.xml><?xml version="1.0" encoding="utf-8"?>
<sst xmlns="http://schemas.openxmlformats.org/spreadsheetml/2006/main" count="42" uniqueCount="30">
  <si>
    <t>Collateral=0, EAD&gt;0</t>
  </si>
  <si>
    <t>Customer</t>
  </si>
  <si>
    <t>Collteral</t>
  </si>
  <si>
    <t>EAD</t>
  </si>
  <si>
    <t>LGD</t>
  </si>
  <si>
    <t>022254-RPT</t>
  </si>
  <si>
    <t>035956-RPT</t>
  </si>
  <si>
    <t>000339-SYR</t>
  </si>
  <si>
    <t>035149-RPT</t>
  </si>
  <si>
    <t>003048-RPT</t>
  </si>
  <si>
    <t>Collateral&gt;EAD</t>
  </si>
  <si>
    <t>000124-KWT</t>
  </si>
  <si>
    <t>044964-RPT</t>
  </si>
  <si>
    <t>004202013-RPT</t>
  </si>
  <si>
    <t>000372-SYR</t>
  </si>
  <si>
    <t>012322-RPT</t>
  </si>
  <si>
    <t>Collateral&gt;0, EAD=0</t>
  </si>
  <si>
    <t>000075-LEB</t>
  </si>
  <si>
    <t>000089-LEB</t>
  </si>
  <si>
    <t>000069-LEB</t>
  </si>
  <si>
    <t>451296-SYR</t>
  </si>
  <si>
    <t>000388-SYR</t>
  </si>
  <si>
    <t>Collateral&lt;EAD</t>
  </si>
  <si>
    <t>000229-SGP</t>
  </si>
  <si>
    <t>002214-RPT</t>
  </si>
  <si>
    <t>045629-RPT</t>
  </si>
  <si>
    <t>027579-RPT</t>
  </si>
  <si>
    <t>000305-OMN</t>
  </si>
  <si>
    <t>unsecured</t>
  </si>
  <si>
    <t>Haircut adjusted collateral(secured)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</si>
</sst>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10" fontId="0" fillId="0" borderId="0" xfId="0" applyNumberFormat="1"/>
    <xf numFmtId="164" fontId="0" fillId="0" borderId="0" xfId="1" applyNumberFormat="1" applyFont="1"/>
    <xf numFmtId="0" fontId="2" fillId="0" borderId="0" xfId="0" applyFont="1"/>
    <xf numFmtId="43" fontId="0" fillId="0" borderId="0" xfId="0" applyNumberFormat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Normal="100" workbookViewId="0">
      <selection activeCell="L13" sqref="L13"/>
    </sheetView>
  </sheetViews>
  <sheetFormatPr defaultRowHeight="14.4" x14ac:dyDescent="0.3"/>
  <cols>
    <col min="1" max="1" width="17.33203125" bestFit="1" customWidth="1"/>
    <col min="2" max="2" width="16.21875" bestFit="1" customWidth="1"/>
    <col min="3" max="3" width="13.6640625" bestFit="1" customWidth="1"/>
    <col min="6" max="6" width="13.88671875" bestFit="1" customWidth="1"/>
    <col min="7" max="7" width="14.77734375" bestFit="1" customWidth="1"/>
    <col min="8" max="8" width="16.109375" bestFit="1" customWidth="1"/>
    <col min="10" max="10" width="30.109375" customWidth="1"/>
    <col min="11" max="12" width="15.33203125" bestFit="1" customWidth="1"/>
  </cols>
  <sheetData>
    <row r="1" spans="1:13" s="4" customFormat="1" x14ac:dyDescent="0.3">
      <c r="A1" s="4" t="s">
        <v>16</v>
      </c>
      <c r="F1" s="4" t="s">
        <v>10</v>
      </c>
    </row>
    <row r="2" spans="1:13" s="4" customFormat="1" x14ac:dyDescent="0.3">
      <c r="A2" s="4" t="s">
        <v>1</v>
      </c>
      <c r="B2" s="4" t="s">
        <v>2</v>
      </c>
      <c r="C2" s="4" t="s">
        <v>3</v>
      </c>
      <c r="D2" s="4" t="s">
        <v>4</v>
      </c>
      <c r="F2" s="4" t="s">
        <v>1</v>
      </c>
      <c r="G2" s="4" t="s">
        <v>2</v>
      </c>
      <c r="H2" s="4" t="s">
        <v>3</v>
      </c>
      <c r="I2" s="4" t="s">
        <v>4</v>
      </c>
    </row>
    <row r="3" spans="1:13" x14ac:dyDescent="0.3">
      <c r="A3" t="s">
        <v>5</v>
      </c>
      <c r="B3" s="3">
        <v>1449250</v>
      </c>
      <c r="C3" s="3">
        <v>0</v>
      </c>
      <c r="D3" s="1">
        <v>0.1</v>
      </c>
      <c r="F3" t="s">
        <v>11</v>
      </c>
      <c r="G3" s="3">
        <v>19205</v>
      </c>
      <c r="H3" s="3">
        <v>18020</v>
      </c>
      <c r="I3" s="1">
        <v>0.1</v>
      </c>
    </row>
    <row r="4" spans="1:13" x14ac:dyDescent="0.3">
      <c r="A4" t="s">
        <v>6</v>
      </c>
      <c r="B4" s="3">
        <v>1052023251</v>
      </c>
      <c r="C4" s="3">
        <v>0</v>
      </c>
      <c r="D4" s="1">
        <v>0.1</v>
      </c>
      <c r="F4" t="s">
        <v>12</v>
      </c>
      <c r="G4" s="3">
        <v>409080210</v>
      </c>
      <c r="H4" s="3">
        <v>42902449</v>
      </c>
      <c r="I4" s="1">
        <v>0.1</v>
      </c>
    </row>
    <row r="5" spans="1:13" x14ac:dyDescent="0.3">
      <c r="A5" t="s">
        <v>7</v>
      </c>
      <c r="B5" s="3">
        <v>7888</v>
      </c>
      <c r="C5" s="3">
        <v>0</v>
      </c>
      <c r="D5" s="1">
        <v>0.1</v>
      </c>
      <c r="F5" t="s">
        <v>13</v>
      </c>
      <c r="G5" s="3">
        <v>1908021</v>
      </c>
      <c r="H5" s="3">
        <v>75000</v>
      </c>
      <c r="I5" s="1">
        <v>0.1</v>
      </c>
    </row>
    <row r="6" spans="1:13" x14ac:dyDescent="0.3">
      <c r="A6" t="s">
        <v>8</v>
      </c>
      <c r="B6" s="3">
        <v>1228332175</v>
      </c>
      <c r="C6" s="3">
        <v>0</v>
      </c>
      <c r="D6" s="1">
        <v>0.1</v>
      </c>
      <c r="F6" t="s">
        <v>14</v>
      </c>
      <c r="G6" s="3">
        <v>5283569</v>
      </c>
      <c r="H6" s="3">
        <v>1636611</v>
      </c>
      <c r="I6" s="1">
        <v>0.1</v>
      </c>
    </row>
    <row r="7" spans="1:13" x14ac:dyDescent="0.3">
      <c r="A7" t="s">
        <v>9</v>
      </c>
      <c r="B7" s="3">
        <v>53500</v>
      </c>
      <c r="C7" s="3">
        <v>0</v>
      </c>
      <c r="D7" s="1">
        <v>0.1</v>
      </c>
      <c r="F7" t="s">
        <v>15</v>
      </c>
      <c r="G7" s="3">
        <v>182025000</v>
      </c>
      <c r="H7" s="3">
        <v>7584375</v>
      </c>
      <c r="I7" s="1">
        <v>0.1</v>
      </c>
    </row>
    <row r="10" spans="1:13" ht="16.8" customHeight="1" x14ac:dyDescent="0.3"/>
    <row r="11" spans="1:13" s="4" customFormat="1" x14ac:dyDescent="0.3">
      <c r="A11" s="4" t="s">
        <v>0</v>
      </c>
      <c r="F11" s="4" t="s">
        <v>22</v>
      </c>
    </row>
    <row r="12" spans="1:13" s="4" customFormat="1" x14ac:dyDescent="0.3">
      <c r="A12" s="4" t="s">
        <v>1</v>
      </c>
      <c r="B12" s="4" t="s">
        <v>2</v>
      </c>
      <c r="C12" s="4" t="s">
        <v>3</v>
      </c>
      <c r="D12" s="4" t="s">
        <v>4</v>
      </c>
      <c r="F12" s="4" t="s">
        <v>1</v>
      </c>
      <c r="G12" s="4" t="s">
        <v>2</v>
      </c>
      <c r="H12" s="4" t="s">
        <v>3</v>
      </c>
      <c r="I12" s="4" t="s">
        <v>4</v>
      </c>
      <c r="J12" s="4" t="s">
        <v>29</v>
      </c>
      <c r="K12" s="4" t="s">
        <v>28</v>
      </c>
    </row>
    <row r="13" spans="1:13" x14ac:dyDescent="0.3">
      <c r="A13" t="s">
        <v>17</v>
      </c>
      <c r="B13" s="3">
        <v>0</v>
      </c>
      <c r="C13" s="3">
        <v>20330372</v>
      </c>
      <c r="D13" s="1">
        <v>0.5</v>
      </c>
      <c r="F13" t="s">
        <v>23</v>
      </c>
      <c r="G13" s="3">
        <v>11204065</v>
      </c>
      <c r="H13" s="3">
        <v>290875950</v>
      </c>
      <c r="I13" s="2">
        <v>0.49230000000000002</v>
      </c>
      <c r="J13" s="3">
        <f>G13*0.5</f>
        <v>5602032.5</v>
      </c>
      <c r="K13" s="3">
        <f>H13-J13</f>
        <v>285273917.5</v>
      </c>
      <c r="L13" s="5">
        <f>K13*0.5+J13*0</f>
        <v>142636958.75</v>
      </c>
      <c r="M13" s="6">
        <f>L13/H13</f>
        <v>0.49037040961963341</v>
      </c>
    </row>
    <row r="14" spans="1:13" x14ac:dyDescent="0.3">
      <c r="A14" t="s">
        <v>18</v>
      </c>
      <c r="B14" s="3">
        <v>0</v>
      </c>
      <c r="C14" s="3">
        <v>25122729</v>
      </c>
      <c r="D14" s="1">
        <v>0.5</v>
      </c>
      <c r="F14" t="s">
        <v>24</v>
      </c>
      <c r="G14" s="3">
        <v>800910000</v>
      </c>
      <c r="H14" s="3">
        <v>2495081457</v>
      </c>
      <c r="I14" s="2">
        <v>0.46789999999999998</v>
      </c>
      <c r="J14" s="5"/>
    </row>
    <row r="15" spans="1:13" x14ac:dyDescent="0.3">
      <c r="A15" t="s">
        <v>19</v>
      </c>
      <c r="B15" s="3">
        <v>0</v>
      </c>
      <c r="C15" s="3">
        <v>72810000</v>
      </c>
      <c r="D15" s="1">
        <v>0.5</v>
      </c>
      <c r="F15" t="s">
        <v>25</v>
      </c>
      <c r="G15" s="3">
        <v>40908021</v>
      </c>
      <c r="H15" s="3">
        <v>37449019</v>
      </c>
      <c r="I15" s="2">
        <v>0.39090000000000003</v>
      </c>
      <c r="J15" s="5"/>
    </row>
    <row r="16" spans="1:13" x14ac:dyDescent="0.3">
      <c r="A16" t="s">
        <v>20</v>
      </c>
      <c r="B16" s="3">
        <v>0</v>
      </c>
      <c r="C16" s="3">
        <v>153062</v>
      </c>
      <c r="D16" s="1">
        <v>0.5</v>
      </c>
      <c r="F16" t="s">
        <v>26</v>
      </c>
      <c r="G16" s="3">
        <v>771786000</v>
      </c>
      <c r="H16" s="3">
        <v>569411539</v>
      </c>
      <c r="I16" s="2">
        <v>0.36449999999999999</v>
      </c>
      <c r="J16" s="5"/>
    </row>
    <row r="17" spans="1:10" x14ac:dyDescent="0.3">
      <c r="A17" t="s">
        <v>21</v>
      </c>
      <c r="B17" s="3">
        <v>0</v>
      </c>
      <c r="C17" s="3">
        <v>113902</v>
      </c>
      <c r="D17" s="1">
        <v>0.5</v>
      </c>
      <c r="F17" t="s">
        <v>27</v>
      </c>
      <c r="G17" s="3">
        <v>145620000</v>
      </c>
      <c r="H17" s="3">
        <v>78877497</v>
      </c>
      <c r="I17" s="2">
        <v>0.31540000000000001</v>
      </c>
      <c r="J1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Ernst &amp; Young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Sahu</dc:creator>
  <cp:lastModifiedBy>narendra sahu</cp:lastModifiedBy>
  <dcterms:created xsi:type="dcterms:W3CDTF">2017-08-30T07:17:25Z</dcterms:created>
  <dcterms:modified xsi:type="dcterms:W3CDTF">2020-12-29T16:12:16Z</dcterms:modified>
</cp:coreProperties>
</file>