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hubham.agarwal\Desktop\"/>
    </mc:Choice>
  </mc:AlternateContent>
  <bookViews>
    <workbookView xWindow="360" yWindow="435" windowWidth="12435" windowHeight="5595"/>
  </bookViews>
  <sheets>
    <sheet name="Sheet2" sheetId="5" r:id="rId1"/>
  </sheets>
  <calcPr calcId="152511" calcMode="manual"/>
</workbook>
</file>

<file path=xl/calcChain.xml><?xml version="1.0" encoding="utf-8"?>
<calcChain xmlns="http://schemas.openxmlformats.org/spreadsheetml/2006/main">
  <c r="C6" i="5" l="1"/>
  <c r="C7" i="5" l="1"/>
  <c r="C13" i="5" l="1"/>
  <c r="C14" i="5" s="1"/>
  <c r="C17" i="5" l="1"/>
  <c r="C16" i="5"/>
</calcChain>
</file>

<file path=xl/sharedStrings.xml><?xml version="1.0" encoding="utf-8"?>
<sst xmlns="http://schemas.openxmlformats.org/spreadsheetml/2006/main" count="12" uniqueCount="12">
  <si>
    <t>TTC PD</t>
  </si>
  <si>
    <t>C PD 2017</t>
  </si>
  <si>
    <t>C PD 2018</t>
  </si>
  <si>
    <t>LGD TTC</t>
  </si>
  <si>
    <t>k</t>
  </si>
  <si>
    <t>Asset co</t>
  </si>
  <si>
    <t>EL TTC</t>
  </si>
  <si>
    <t>C LGD 2017</t>
  </si>
  <si>
    <t>C LGD 2018</t>
  </si>
  <si>
    <t>Conditional LGD Estimate</t>
  </si>
  <si>
    <t>Input Cell</t>
  </si>
  <si>
    <t>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</si>
</sst>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8">
    <xf numFmtId="0" fontId="0" fillId="0" borderId="0" xfId="0"/>
    <xf numFmtId="0" fontId="0" fillId="0" borderId="0" xfId="0" applyFont="1" applyFill="1" applyBorder="1"/>
    <xf numFmtId="0" fontId="0" fillId="0" borderId="4" xfId="0" applyFont="1" applyFill="1" applyBorder="1"/>
    <xf numFmtId="0" fontId="0" fillId="0" borderId="5" xfId="0" applyFont="1" applyFill="1" applyBorder="1"/>
    <xf numFmtId="0" fontId="2" fillId="0" borderId="0" xfId="0" applyFont="1" applyFill="1"/>
    <xf numFmtId="0" fontId="0" fillId="0" borderId="0" xfId="0" applyFont="1" applyFill="1"/>
    <xf numFmtId="0" fontId="0" fillId="0" borderId="1" xfId="0" applyFont="1" applyFill="1" applyBorder="1" applyAlignment="1">
      <alignment horizontal="center"/>
    </xf>
    <xf numFmtId="10" fontId="0" fillId="0" borderId="1" xfId="1" applyNumberFormat="1" applyFont="1" applyFill="1" applyBorder="1" applyAlignment="1">
      <alignment horizontal="center"/>
    </xf>
    <xf numFmtId="0" fontId="0" fillId="0" borderId="0" xfId="0" applyFont="1" applyFill="1" applyAlignment="1">
      <alignment horizontal="center"/>
    </xf>
    <xf numFmtId="2" fontId="0" fillId="0" borderId="1" xfId="1" applyNumberFormat="1" applyFont="1" applyFill="1" applyBorder="1" applyAlignment="1">
      <alignment horizontal="center"/>
    </xf>
    <xf numFmtId="0" fontId="0" fillId="0" borderId="2" xfId="0" applyFont="1" applyFill="1" applyBorder="1"/>
    <xf numFmtId="9" fontId="0" fillId="0" borderId="3" xfId="0" applyNumberFormat="1" applyFont="1" applyFill="1" applyBorder="1" applyAlignment="1">
      <alignment horizontal="center"/>
    </xf>
    <xf numFmtId="9" fontId="0" fillId="0" borderId="0" xfId="0" applyNumberFormat="1" applyFont="1" applyFill="1" applyBorder="1" applyAlignment="1">
      <alignment horizontal="center"/>
    </xf>
    <xf numFmtId="10" fontId="0" fillId="0" borderId="0" xfId="1" applyNumberFormat="1" applyFont="1" applyFill="1" applyBorder="1" applyAlignment="1">
      <alignment horizontal="center"/>
    </xf>
    <xf numFmtId="2" fontId="0" fillId="0" borderId="6" xfId="0" applyNumberFormat="1" applyFont="1" applyFill="1" applyBorder="1" applyAlignment="1">
      <alignment horizontal="center"/>
    </xf>
    <xf numFmtId="2" fontId="0" fillId="0" borderId="0" xfId="0" applyNumberFormat="1" applyFont="1" applyFill="1" applyBorder="1" applyAlignment="1">
      <alignment horizontal="center"/>
    </xf>
    <xf numFmtId="0" fontId="0" fillId="0" borderId="1" xfId="0" applyFont="1" applyFill="1" applyBorder="1"/>
    <xf numFmtId="10" fontId="3" fillId="0" borderId="0" xfId="1" applyNumberFormat="1" applyFont="1" applyFill="1" applyAlignment="1">
      <alignment horizontal="right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E18"/>
  <sheetViews>
    <sheetView showGridLines="0" tabSelected="1" zoomScale="80" zoomScaleNormal="80" workbookViewId="0">
      <selection activeCell="B7" sqref="B7"/>
    </sheetView>
  </sheetViews>
  <sheetFormatPr defaultRowHeight="15" x14ac:dyDescent="0.25"/>
  <cols>
    <col min="1" max="1" width="9.140625" style="5"/>
    <col min="2" max="2" width="33" style="5" bestFit="1" customWidth="1"/>
    <col min="3" max="3" width="8" style="5" bestFit="1" customWidth="1"/>
    <col min="4" max="4" width="9.140625" style="5"/>
    <col min="5" max="5" width="5.7109375" style="5" bestFit="1" customWidth="1"/>
    <col min="6" max="16384" width="9.140625" style="5"/>
  </cols>
  <sheetData>
    <row r="2" spans="2:5" s="5" customFormat="1" ht="19.5" x14ac:dyDescent="0.3">
      <c r="B2" s="4" t="s">
        <v>9</v>
      </c>
      <c r="C2" s="4"/>
    </row>
    <row r="5" spans="2:5" s="5" customFormat="1" x14ac:dyDescent="0.25">
      <c r="B5" s="6" t="s">
        <v>0</v>
      </c>
      <c r="C5" s="7">
        <v>5.0000000000000002E-5</v>
      </c>
      <c r="E5" s="8" t="s">
        <v>11</v>
      </c>
    </row>
    <row r="6" spans="2:5" s="5" customFormat="1" x14ac:dyDescent="0.25">
      <c r="B6" s="6" t="s">
        <v>1</v>
      </c>
      <c r="C6" s="7">
        <f>NORMSDIST((NORMSINV(C$5)-SQRT($C$12)*$E6)/SQRT(1-$C$12))</f>
        <v>4.9337249019264809E-5</v>
      </c>
      <c r="E6" s="9">
        <v>-0.85932419602537413</v>
      </c>
    </row>
    <row r="7" spans="2:5" s="5" customFormat="1" x14ac:dyDescent="0.25">
      <c r="B7" s="6" t="s">
        <v>2</v>
      </c>
      <c r="C7" s="7">
        <f>NORMSDIST((NORMSINV(C$5)-SQRT($C$12)*$E7)/SQRT(1-$C$12))</f>
        <v>5.0968988605865828E-5</v>
      </c>
      <c r="E7" s="9">
        <v>-0.87617757348956937</v>
      </c>
    </row>
    <row r="8" spans="2:5" s="5" customFormat="1" hidden="1" x14ac:dyDescent="0.25">
      <c r="B8" s="6"/>
      <c r="C8" s="6"/>
    </row>
    <row r="9" spans="2:5" s="5" customFormat="1" hidden="1" x14ac:dyDescent="0.25">
      <c r="B9" s="6"/>
      <c r="C9" s="6"/>
    </row>
    <row r="10" spans="2:5" s="5" customFormat="1" ht="15.75" thickBot="1" x14ac:dyDescent="0.3"/>
    <row r="11" spans="2:5" s="5" customFormat="1" x14ac:dyDescent="0.25">
      <c r="B11" s="10" t="s">
        <v>3</v>
      </c>
      <c r="C11" s="11">
        <v>0.6</v>
      </c>
    </row>
    <row r="12" spans="2:5" s="5" customFormat="1" x14ac:dyDescent="0.25">
      <c r="B12" s="2" t="s">
        <v>5</v>
      </c>
      <c r="C12" s="12">
        <v>0.18</v>
      </c>
    </row>
    <row r="13" spans="2:5" s="5" customFormat="1" x14ac:dyDescent="0.25">
      <c r="B13" s="2" t="s">
        <v>6</v>
      </c>
      <c r="C13" s="13">
        <f>C11*C5</f>
        <v>3.0000000000000001E-5</v>
      </c>
    </row>
    <row r="14" spans="2:5" s="5" customFormat="1" ht="15.75" thickBot="1" x14ac:dyDescent="0.3">
      <c r="B14" s="3" t="s">
        <v>4</v>
      </c>
      <c r="C14" s="14">
        <f>(NORMSINV(C5)-NORMSINV(C13))/SQRT(1-C12)</f>
        <v>0.13496822370417502</v>
      </c>
    </row>
    <row r="15" spans="2:5" s="5" customFormat="1" x14ac:dyDescent="0.25">
      <c r="B15" s="1"/>
      <c r="C15" s="15"/>
    </row>
    <row r="16" spans="2:5" s="5" customFormat="1" x14ac:dyDescent="0.25">
      <c r="B16" s="16" t="s">
        <v>7</v>
      </c>
      <c r="C16" s="7">
        <f>NORMSDIST((NORMSINV(C6)-C$14))/C6</f>
        <v>0.56816211474329892</v>
      </c>
    </row>
    <row r="17" spans="2:3" s="5" customFormat="1" x14ac:dyDescent="0.25">
      <c r="B17" s="16" t="s">
        <v>8</v>
      </c>
      <c r="C17" s="7">
        <f>NORMSDIST((NORMSINV(C7)-C$14))/C7</f>
        <v>0.56873918430765802</v>
      </c>
    </row>
    <row r="18" spans="2:3" s="5" customFormat="1" x14ac:dyDescent="0.25">
      <c r="C18" s="17" t="s">
        <v>10</v>
      </c>
    </row>
  </sheetData>
  <pageMargins left="0.7" right="0.7" top="0.75" bottom="0.75" header="0.3" footer="0.3"/>
  <pageSetup paperSize="9" orientation="portrait" horizontalDpi="300" verticalDpi="0" copies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Sheet2</vt:lpstr>
    </vt:vector>
  </TitlesOfParts>
  <Company>Ernst &amp; Young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Anand Balasubramanian</dc:creator>
  <cp:lastModifiedBy>Shubham Agarwal</cp:lastModifiedBy>
  <dcterms:created xsi:type="dcterms:W3CDTF">2015-11-05T01:40:21Z</dcterms:created>
  <dcterms:modified xsi:type="dcterms:W3CDTF">2017-05-13T13:38:19Z</dcterms:modified>
</cp:coreProperties>
</file>