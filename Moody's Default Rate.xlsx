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50" yWindow="120" windowWidth="18150" windowHeight="11250" tabRatio="876" activeTab="30"/>
  </bookViews>
  <sheets>
    <sheet name="Title Page" sheetId="81" r:id="rId1"/>
    <sheet name="Table of Contents" sheetId="82" r:id="rId2"/>
    <sheet name="1" sheetId="71" r:id="rId3"/>
    <sheet name="2" sheetId="72" r:id="rId4"/>
    <sheet name="3" sheetId="6" r:id="rId5"/>
    <sheet name="4" sheetId="73" r:id="rId6"/>
    <sheet name="5" sheetId="52" r:id="rId7"/>
    <sheet name="6" sheetId="74" r:id="rId8"/>
    <sheet name="7" sheetId="54" r:id="rId9"/>
    <sheet name="8" sheetId="55" r:id="rId10"/>
    <sheet name="9" sheetId="75" r:id="rId11"/>
    <sheet name="10" sheetId="77" r:id="rId12"/>
    <sheet name="11" sheetId="58" r:id="rId13"/>
    <sheet name="12" sheetId="59" r:id="rId14"/>
    <sheet name="13" sheetId="78" r:id="rId15"/>
    <sheet name="14" sheetId="79" r:id="rId16"/>
    <sheet name="15" sheetId="61" r:id="rId17"/>
    <sheet name="16" sheetId="45" r:id="rId18"/>
    <sheet name="17" sheetId="18" r:id="rId19"/>
    <sheet name="18" sheetId="19" r:id="rId20"/>
    <sheet name="19" sheetId="20" r:id="rId21"/>
    <sheet name="20" sheetId="21" r:id="rId22"/>
    <sheet name="21" sheetId="22" r:id="rId23"/>
    <sheet name="22" sheetId="23" r:id="rId24"/>
    <sheet name="23" sheetId="24" r:id="rId25"/>
    <sheet name="24" sheetId="62" r:id="rId26"/>
    <sheet name="25" sheetId="63" r:id="rId27"/>
    <sheet name="26" sheetId="64" r:id="rId28"/>
    <sheet name="27" sheetId="65" r:id="rId29"/>
    <sheet name="28" sheetId="66" r:id="rId30"/>
    <sheet name="29" sheetId="67" r:id="rId31"/>
    <sheet name="30" sheetId="31" r:id="rId32"/>
    <sheet name="31" sheetId="32" r:id="rId33"/>
    <sheet name="32" sheetId="33" r:id="rId34"/>
    <sheet name="33" sheetId="34" r:id="rId35"/>
    <sheet name="34" sheetId="35" r:id="rId36"/>
    <sheet name="35" sheetId="36" r:id="rId37"/>
    <sheet name="36" sheetId="37" r:id="rId38"/>
    <sheet name="37" sheetId="38" r:id="rId39"/>
    <sheet name="38" sheetId="39" r:id="rId40"/>
    <sheet name="39" sheetId="40" r:id="rId41"/>
    <sheet name="40" sheetId="41" r:id="rId42"/>
    <sheet name="41" sheetId="42" r:id="rId43"/>
  </sheets>
  <externalReferences>
    <externalReference r:id="rId44"/>
    <externalReference r:id="rId45"/>
  </externalReferences>
  <definedNames>
    <definedName name="_xlnm._FilterDatabase" localSheetId="2" hidden="1">'1'!$A$2:$E$44</definedName>
    <definedName name="_xlnm._FilterDatabase" localSheetId="14" hidden="1">'13'!$A$3:$C$40</definedName>
    <definedName name="_xlnm._FilterDatabase" localSheetId="16" hidden="1">'15'!$A$3:$F$75</definedName>
    <definedName name="_xlnm._FilterDatabase" localSheetId="17" hidden="1">'16'!$A$3:$D$3</definedName>
    <definedName name="_xlnm._FilterDatabase" localSheetId="20" hidden="1">'19'!$A$1:$H$65</definedName>
    <definedName name="_xlnm._FilterDatabase" localSheetId="39" hidden="1">'38'!$A$48:$A$48</definedName>
    <definedName name="_xlnm._FilterDatabase" localSheetId="5">'4'!$A$3:$B$97</definedName>
    <definedName name="_xlnm._FilterDatabase" localSheetId="42" hidden="1">'41'!$A$3:$V$518</definedName>
    <definedName name="a">#REF!</definedName>
    <definedName name="b">#REF!</definedName>
    <definedName name="ButtonGoto" localSheetId="2">'1'!ButtonGoto</definedName>
    <definedName name="ButtonGoto" localSheetId="11">#N/A</definedName>
    <definedName name="ButtonGoto" localSheetId="14">'13'!ButtonGoto</definedName>
    <definedName name="ButtonGoto" localSheetId="15">#N/A</definedName>
    <definedName name="ButtonGoto" localSheetId="3">'2'!ButtonGoto</definedName>
    <definedName name="ButtonGoto" localSheetId="5">'4'!ButtonGoto</definedName>
    <definedName name="ButtonGoto" localSheetId="7">'6'!ButtonGoto</definedName>
    <definedName name="ButtonGoto" localSheetId="10">'9'!ButtonGoto</definedName>
    <definedName name="ButtonGoto">'1'!ButtonGoto</definedName>
    <definedName name="CreditMetrixPropabilities" localSheetId="2">'1'!CreditMetrixPropabilities</definedName>
    <definedName name="CreditMetrixPropabilities" localSheetId="11">#N/A</definedName>
    <definedName name="CreditMetrixPropabilities" localSheetId="14">'13'!CreditMetrixPropabilities</definedName>
    <definedName name="CreditMetrixPropabilities" localSheetId="15">#N/A</definedName>
    <definedName name="CreditMetrixPropabilities" localSheetId="3">'2'!CreditMetrixPropabilities</definedName>
    <definedName name="CreditMetrixPropabilities" localSheetId="5">'4'!CreditMetrixPropabilities</definedName>
    <definedName name="CreditMetrixPropabilities" localSheetId="7">'6'!CreditMetrixPropabilities</definedName>
    <definedName name="CreditMetrixPropabilities" localSheetId="10">'9'!CreditMetrixPropabilities</definedName>
    <definedName name="CreditMetrixPropabilities">'1'!CreditMetrixPropabilities</definedName>
    <definedName name="d">'[1]Letter Numerators'!#REF!</definedName>
    <definedName name="e">'[1]Alpha Numeric WACD Rates'!#REF!</definedName>
    <definedName name="m_CohortDate" localSheetId="2">#REF!</definedName>
    <definedName name="m_CohortDate" localSheetId="11">#REF!</definedName>
    <definedName name="m_CohortDate" localSheetId="14">#REF!</definedName>
    <definedName name="m_CohortDate" localSheetId="15">#REF!</definedName>
    <definedName name="m_CohortDate" localSheetId="3">#REF!</definedName>
    <definedName name="m_CohortDate" localSheetId="5">#REF!</definedName>
    <definedName name="m_CohortDate" localSheetId="7">#REF!</definedName>
    <definedName name="m_CohortDate" localSheetId="10">#REF!</definedName>
    <definedName name="m_CohortDate">#REF!</definedName>
    <definedName name="m_ColRef" localSheetId="2">#REF!</definedName>
    <definedName name="m_ColRef" localSheetId="11">#REF!</definedName>
    <definedName name="m_ColRef" localSheetId="14">#REF!</definedName>
    <definedName name="m_ColRef" localSheetId="15">#REF!</definedName>
    <definedName name="m_ColRef" localSheetId="3">#REF!</definedName>
    <definedName name="m_ColRef" localSheetId="5">#REF!</definedName>
    <definedName name="m_ColRef" localSheetId="7">#REF!</definedName>
    <definedName name="m_ColRef" localSheetId="10">#REF!</definedName>
    <definedName name="m_ColRef">#REF!</definedName>
    <definedName name="m_ColRef1" localSheetId="2">#REF!</definedName>
    <definedName name="m_ColRef1" localSheetId="11">#REF!</definedName>
    <definedName name="m_ColRef1" localSheetId="14">#REF!</definedName>
    <definedName name="m_ColRef1" localSheetId="15">#REF!</definedName>
    <definedName name="m_ColRef1" localSheetId="3">#REF!</definedName>
    <definedName name="m_ColRef1" localSheetId="5">#REF!</definedName>
    <definedName name="m_ColRef1" localSheetId="7">#REF!</definedName>
    <definedName name="m_ColRef1" localSheetId="10">#REF!</definedName>
    <definedName name="m_ColRef1">#REF!</definedName>
    <definedName name="m_CriteriaField" localSheetId="2">#REF!</definedName>
    <definedName name="m_CriteriaField" localSheetId="11">#REF!</definedName>
    <definedName name="m_CriteriaField" localSheetId="14">#REF!</definedName>
    <definedName name="m_CriteriaField" localSheetId="15">#REF!</definedName>
    <definedName name="m_CriteriaField" localSheetId="3">#REF!</definedName>
    <definedName name="m_CriteriaField" localSheetId="5">#REF!</definedName>
    <definedName name="m_CriteriaField" localSheetId="7">#REF!</definedName>
    <definedName name="m_CriteriaField" localSheetId="10">#REF!</definedName>
    <definedName name="m_CriteriaField">#REF!</definedName>
    <definedName name="M_DataStartPoint1" localSheetId="2">#REF!</definedName>
    <definedName name="M_DataStartPoint1" localSheetId="11">#REF!</definedName>
    <definedName name="M_DataStartPoint1" localSheetId="14">#REF!</definedName>
    <definedName name="M_DataStartPoint1" localSheetId="15">#REF!</definedName>
    <definedName name="M_DataStartPoint1" localSheetId="3">#REF!</definedName>
    <definedName name="M_DataStartPoint1" localSheetId="5">#REF!</definedName>
    <definedName name="M_DataStartPoint1" localSheetId="7">#REF!</definedName>
    <definedName name="M_DataStartPoint1" localSheetId="10">#REF!</definedName>
    <definedName name="M_DataStartPoint1">#REF!</definedName>
    <definedName name="M_DataStartPoint2" localSheetId="2">#REF!</definedName>
    <definedName name="M_DataStartPoint2" localSheetId="11">#REF!</definedName>
    <definedName name="M_DataStartPoint2" localSheetId="14">#REF!</definedName>
    <definedName name="M_DataStartPoint2" localSheetId="15">#REF!</definedName>
    <definedName name="M_DataStartPoint2" localSheetId="3">#REF!</definedName>
    <definedName name="M_DataStartPoint2" localSheetId="5">#REF!</definedName>
    <definedName name="M_DataStartPoint2" localSheetId="7">#REF!</definedName>
    <definedName name="M_DataStartPoint2" localSheetId="10">#REF!</definedName>
    <definedName name="M_DataStartPoint2">#REF!</definedName>
    <definedName name="m_Destination1" localSheetId="2">'[1]Letter Denominators'!#REF!</definedName>
    <definedName name="m_Destination1" localSheetId="11">'[1]Letter Denominators'!#REF!</definedName>
    <definedName name="m_Destination1" localSheetId="14">'[1]Letter Denominators'!#REF!</definedName>
    <definedName name="m_Destination1" localSheetId="15">'[1]Letter Denominators'!#REF!</definedName>
    <definedName name="m_Destination1" localSheetId="3">'[1]Letter Denominators'!#REF!</definedName>
    <definedName name="m_Destination1" localSheetId="5">'[1]Letter Denominators'!#REF!</definedName>
    <definedName name="m_Destination1" localSheetId="7">'[1]Letter Denominators'!#REF!</definedName>
    <definedName name="m_Destination1" localSheetId="10">'[1]Letter Denominators'!#REF!</definedName>
    <definedName name="m_Destination1">'[1]Letter Denominators'!#REF!</definedName>
    <definedName name="m_Destination2" localSheetId="2">'[1]Letter Numerators'!#REF!</definedName>
    <definedName name="m_Destination2" localSheetId="11">'[1]Letter Numerators'!#REF!</definedName>
    <definedName name="m_Destination2" localSheetId="14">'[1]Letter Numerators'!#REF!</definedName>
    <definedName name="m_Destination2" localSheetId="15">'[1]Letter Numerators'!#REF!</definedName>
    <definedName name="m_Destination2" localSheetId="3">'[1]Letter Numerators'!#REF!</definedName>
    <definedName name="m_Destination2" localSheetId="5">'[1]Letter Numerators'!#REF!</definedName>
    <definedName name="m_Destination2" localSheetId="7">'[1]Letter Numerators'!#REF!</definedName>
    <definedName name="m_Destination2" localSheetId="10">'[1]Letter Numerators'!#REF!</definedName>
    <definedName name="m_Destination2">'[1]Letter Numerators'!#REF!</definedName>
    <definedName name="m_Destination3" localSheetId="2">'[1]Letter Marginal Default Rates'!#REF!</definedName>
    <definedName name="m_Destination3" localSheetId="14">'[1]Letter Marginal Default Rates'!#REF!</definedName>
    <definedName name="m_Destination3" localSheetId="3">'[1]Letter Marginal Default Rates'!#REF!</definedName>
    <definedName name="m_Destination3" localSheetId="5">'[1]Letter Marginal Default Rates'!#REF!</definedName>
    <definedName name="m_Destination3">'[1]Letter Marginal Default Rates'!#REF!</definedName>
    <definedName name="m_Destination4" localSheetId="2">'[1]Letter Cumulative Default Rates'!#REF!</definedName>
    <definedName name="m_Destination4" localSheetId="14">'[1]Letter Cumulative Default Rates'!#REF!</definedName>
    <definedName name="m_Destination4" localSheetId="3">'[1]Letter Cumulative Default Rates'!#REF!</definedName>
    <definedName name="m_Destination4" localSheetId="5">'[1]Letter Cumulative Default Rates'!#REF!</definedName>
    <definedName name="m_Destination4">'[1]Letter Cumulative Default Rates'!#REF!</definedName>
    <definedName name="m_Destination5" localSheetId="2">#REF!</definedName>
    <definedName name="m_Destination5" localSheetId="11">#REF!</definedName>
    <definedName name="m_Destination5" localSheetId="14">#REF!</definedName>
    <definedName name="m_Destination5" localSheetId="15">#REF!</definedName>
    <definedName name="m_Destination5" localSheetId="3">#REF!</definedName>
    <definedName name="m_Destination5" localSheetId="5">#REF!</definedName>
    <definedName name="m_Destination5" localSheetId="7">#REF!</definedName>
    <definedName name="m_Destination5" localSheetId="10">#REF!</definedName>
    <definedName name="m_Destination5">#REF!</definedName>
    <definedName name="m_ExtractofIntervals" localSheetId="2">#REF!</definedName>
    <definedName name="m_ExtractofIntervals" localSheetId="11">#REF!</definedName>
    <definedName name="m_ExtractofIntervals" localSheetId="14">#REF!</definedName>
    <definedName name="m_ExtractofIntervals" localSheetId="15">#REF!</definedName>
    <definedName name="m_ExtractofIntervals" localSheetId="3">#REF!</definedName>
    <definedName name="m_ExtractofIntervals" localSheetId="5">#REF!</definedName>
    <definedName name="m_ExtractofIntervals" localSheetId="7">#REF!</definedName>
    <definedName name="m_ExtractofIntervals" localSheetId="10">#REF!</definedName>
    <definedName name="m_ExtractofIntervals">#REF!</definedName>
    <definedName name="m_Fill1" localSheetId="2">#REF!</definedName>
    <definedName name="m_Fill1" localSheetId="11">#REF!</definedName>
    <definedName name="m_Fill1" localSheetId="14">#REF!</definedName>
    <definedName name="m_Fill1" localSheetId="15">#REF!</definedName>
    <definedName name="m_Fill1" localSheetId="3">#REF!</definedName>
    <definedName name="m_Fill1" localSheetId="5">#REF!</definedName>
    <definedName name="m_Fill1" localSheetId="7">#REF!</definedName>
    <definedName name="m_Fill1" localSheetId="10">#REF!</definedName>
    <definedName name="m_Fill1">#REF!</definedName>
    <definedName name="m_Fill2" localSheetId="2">#REF!</definedName>
    <definedName name="m_Fill2" localSheetId="11">#REF!</definedName>
    <definedName name="m_Fill2" localSheetId="14">#REF!</definedName>
    <definedName name="m_Fill2" localSheetId="15">#REF!</definedName>
    <definedName name="m_Fill2" localSheetId="3">#REF!</definedName>
    <definedName name="m_Fill2" localSheetId="5">#REF!</definedName>
    <definedName name="m_Fill2" localSheetId="7">#REF!</definedName>
    <definedName name="m_Fill2" localSheetId="10">#REF!</definedName>
    <definedName name="m_Fill2">#REF!</definedName>
    <definedName name="m_Fill3" localSheetId="2">#REF!</definedName>
    <definedName name="m_Fill3" localSheetId="11">#REF!</definedName>
    <definedName name="m_Fill3" localSheetId="14">#REF!</definedName>
    <definedName name="m_Fill3" localSheetId="15">#REF!</definedName>
    <definedName name="m_Fill3" localSheetId="3">#REF!</definedName>
    <definedName name="m_Fill3" localSheetId="5">#REF!</definedName>
    <definedName name="m_Fill3" localSheetId="7">#REF!</definedName>
    <definedName name="m_Fill3" localSheetId="10">#REF!</definedName>
    <definedName name="m_Fill3">#REF!</definedName>
    <definedName name="m_Fill4" localSheetId="2">#REF!</definedName>
    <definedName name="m_Fill4" localSheetId="11">#REF!</definedName>
    <definedName name="m_Fill4" localSheetId="14">#REF!</definedName>
    <definedName name="m_Fill4" localSheetId="15">#REF!</definedName>
    <definedName name="m_Fill4" localSheetId="3">#REF!</definedName>
    <definedName name="m_Fill4" localSheetId="5">#REF!</definedName>
    <definedName name="m_Fill4" localSheetId="7">#REF!</definedName>
    <definedName name="m_Fill4" localSheetId="10">#REF!</definedName>
    <definedName name="m_Fill4">#REF!</definedName>
    <definedName name="m_Fill5" localSheetId="2">#REF!</definedName>
    <definedName name="m_Fill5" localSheetId="11">#REF!</definedName>
    <definedName name="m_Fill5" localSheetId="14">#REF!</definedName>
    <definedName name="m_Fill5" localSheetId="15">#REF!</definedName>
    <definedName name="m_Fill5" localSheetId="3">#REF!</definedName>
    <definedName name="m_Fill5" localSheetId="5">#REF!</definedName>
    <definedName name="m_Fill5" localSheetId="7">#REF!</definedName>
    <definedName name="m_Fill5" localSheetId="10">#REF!</definedName>
    <definedName name="m_Fill5">#REF!</definedName>
    <definedName name="m_FirstDate">[1]wParm!$C$24</definedName>
    <definedName name="m_FromRange" localSheetId="2">#REF!</definedName>
    <definedName name="m_FromRange" localSheetId="11">#REF!</definedName>
    <definedName name="m_FromRange" localSheetId="14">#REF!</definedName>
    <definedName name="m_FromRange" localSheetId="15">#REF!</definedName>
    <definedName name="m_FromRange" localSheetId="3">#REF!</definedName>
    <definedName name="m_FromRange" localSheetId="5">#REF!</definedName>
    <definedName name="m_FromRange" localSheetId="7">#REF!</definedName>
    <definedName name="m_FromRange" localSheetId="10">#REF!</definedName>
    <definedName name="m_FromRange">#REF!</definedName>
    <definedName name="m_FromRange1" localSheetId="2">#REF!</definedName>
    <definedName name="m_FromRange1" localSheetId="11">#REF!</definedName>
    <definedName name="m_FromRange1" localSheetId="14">#REF!</definedName>
    <definedName name="m_FromRange1" localSheetId="15">#REF!</definedName>
    <definedName name="m_FromRange1" localSheetId="3">#REF!</definedName>
    <definedName name="m_FromRange1" localSheetId="5">#REF!</definedName>
    <definedName name="m_FromRange1" localSheetId="7">#REF!</definedName>
    <definedName name="m_FromRange1" localSheetId="10">#REF!</definedName>
    <definedName name="m_FromRange1">#REF!</definedName>
    <definedName name="m_IntervalRecords" localSheetId="2">#REF!</definedName>
    <definedName name="m_IntervalRecords" localSheetId="11">#REF!</definedName>
    <definedName name="m_IntervalRecords" localSheetId="14">#REF!</definedName>
    <definedName name="m_IntervalRecords" localSheetId="15">#REF!</definedName>
    <definedName name="m_IntervalRecords" localSheetId="3">#REF!</definedName>
    <definedName name="m_IntervalRecords" localSheetId="5">#REF!</definedName>
    <definedName name="m_IntervalRecords" localSheetId="7">#REF!</definedName>
    <definedName name="m_IntervalRecords" localSheetId="10">#REF!</definedName>
    <definedName name="m_IntervalRecords">#REF!</definedName>
    <definedName name="m_IntervalRecords1" localSheetId="2">#REF!</definedName>
    <definedName name="m_IntervalRecords1" localSheetId="11">#REF!</definedName>
    <definedName name="m_IntervalRecords1" localSheetId="14">#REF!</definedName>
    <definedName name="m_IntervalRecords1" localSheetId="15">#REF!</definedName>
    <definedName name="m_IntervalRecords1" localSheetId="3">#REF!</definedName>
    <definedName name="m_IntervalRecords1" localSheetId="5">#REF!</definedName>
    <definedName name="m_IntervalRecords1" localSheetId="7">#REF!</definedName>
    <definedName name="m_IntervalRecords1" localSheetId="10">#REF!</definedName>
    <definedName name="m_IntervalRecords1">#REF!</definedName>
    <definedName name="m_LastDate">[1]wParm!$C$25</definedName>
    <definedName name="M_QueryData_1" localSheetId="2">#REF!</definedName>
    <definedName name="M_QueryData_1" localSheetId="11">#REF!</definedName>
    <definedName name="M_QueryData_1" localSheetId="14">#REF!</definedName>
    <definedName name="M_QueryData_1" localSheetId="15">#REF!</definedName>
    <definedName name="M_QueryData_1" localSheetId="3">#REF!</definedName>
    <definedName name="M_QueryData_1" localSheetId="5">#REF!</definedName>
    <definedName name="M_QueryData_1" localSheetId="7">#REF!</definedName>
    <definedName name="M_QueryData_1" localSheetId="10">#REF!</definedName>
    <definedName name="M_QueryData_1">#REF!</definedName>
    <definedName name="M_QueryData_2" localSheetId="2">#REF!</definedName>
    <definedName name="M_QueryData_2" localSheetId="11">#REF!</definedName>
    <definedName name="M_QueryData_2" localSheetId="14">#REF!</definedName>
    <definedName name="M_QueryData_2" localSheetId="15">#REF!</definedName>
    <definedName name="M_QueryData_2" localSheetId="3">#REF!</definedName>
    <definedName name="M_QueryData_2" localSheetId="5">#REF!</definedName>
    <definedName name="M_QueryData_2" localSheetId="7">#REF!</definedName>
    <definedName name="M_QueryData_2" localSheetId="10">#REF!</definedName>
    <definedName name="M_QueryData_2">#REF!</definedName>
    <definedName name="m_RatingScale" localSheetId="2">#REF!</definedName>
    <definedName name="m_RatingScale" localSheetId="11">#REF!</definedName>
    <definedName name="m_RatingScale" localSheetId="14">#REF!</definedName>
    <definedName name="m_RatingScale" localSheetId="15">#REF!</definedName>
    <definedName name="m_RatingScale" localSheetId="3">#REF!</definedName>
    <definedName name="m_RatingScale" localSheetId="5">#REF!</definedName>
    <definedName name="m_RatingScale" localSheetId="7">#REF!</definedName>
    <definedName name="m_RatingScale" localSheetId="10">#REF!</definedName>
    <definedName name="m_RatingScale">#REF!</definedName>
    <definedName name="m_RowRef" localSheetId="2">#REF!</definedName>
    <definedName name="m_RowRef" localSheetId="11">#REF!</definedName>
    <definedName name="m_RowRef" localSheetId="14">#REF!</definedName>
    <definedName name="m_RowRef" localSheetId="15">#REF!</definedName>
    <definedName name="m_RowRef" localSheetId="3">#REF!</definedName>
    <definedName name="m_RowRef" localSheetId="5">#REF!</definedName>
    <definedName name="m_RowRef" localSheetId="7">#REF!</definedName>
    <definedName name="m_RowRef" localSheetId="10">#REF!</definedName>
    <definedName name="m_RowRef">#REF!</definedName>
    <definedName name="m_RowRef1" localSheetId="2">#REF!</definedName>
    <definedName name="m_RowRef1" localSheetId="11">#REF!</definedName>
    <definedName name="m_RowRef1" localSheetId="14">#REF!</definedName>
    <definedName name="m_RowRef1" localSheetId="15">#REF!</definedName>
    <definedName name="m_RowRef1" localSheetId="3">#REF!</definedName>
    <definedName name="m_RowRef1" localSheetId="5">#REF!</definedName>
    <definedName name="m_RowRef1" localSheetId="7">#REF!</definedName>
    <definedName name="m_RowRef1" localSheetId="10">#REF!</definedName>
    <definedName name="m_RowRef1">#REF!</definedName>
    <definedName name="m_SortedSquareDes" localSheetId="2">#REF!</definedName>
    <definedName name="m_SortedSquareDes" localSheetId="11">#REF!</definedName>
    <definedName name="m_SortedSquareDes" localSheetId="14">#REF!</definedName>
    <definedName name="m_SortedSquareDes" localSheetId="15">#REF!</definedName>
    <definedName name="m_SortedSquareDes" localSheetId="3">#REF!</definedName>
    <definedName name="m_SortedSquareDes" localSheetId="5">#REF!</definedName>
    <definedName name="m_SortedSquareDes" localSheetId="7">#REF!</definedName>
    <definedName name="m_SortedSquareDes" localSheetId="10">#REF!</definedName>
    <definedName name="m_SortedSquareDes">#REF!</definedName>
    <definedName name="m_SortedSquareDes1" localSheetId="2">#REF!</definedName>
    <definedName name="m_SortedSquareDes1" localSheetId="11">#REF!</definedName>
    <definedName name="m_SortedSquareDes1" localSheetId="14">#REF!</definedName>
    <definedName name="m_SortedSquareDes1" localSheetId="15">#REF!</definedName>
    <definedName name="m_SortedSquareDes1" localSheetId="3">#REF!</definedName>
    <definedName name="m_SortedSquareDes1" localSheetId="5">#REF!</definedName>
    <definedName name="m_SortedSquareDes1" localSheetId="7">#REF!</definedName>
    <definedName name="m_SortedSquareDes1" localSheetId="10">#REF!</definedName>
    <definedName name="m_SortedSquareDes1">#REF!</definedName>
    <definedName name="m_Source1" localSheetId="2">#REF!</definedName>
    <definedName name="m_Source1" localSheetId="11">#REF!</definedName>
    <definedName name="m_Source1" localSheetId="14">#REF!</definedName>
    <definedName name="m_Source1" localSheetId="15">#REF!</definedName>
    <definedName name="m_Source1" localSheetId="3">#REF!</definedName>
    <definedName name="m_Source1" localSheetId="5">#REF!</definedName>
    <definedName name="m_Source1" localSheetId="7">#REF!</definedName>
    <definedName name="m_Source1" localSheetId="10">#REF!</definedName>
    <definedName name="m_Source1">#REF!</definedName>
    <definedName name="m_Source10" localSheetId="2">'[1]Alpha Num Marginal Def Rate'!#REF!</definedName>
    <definedName name="m_Source10" localSheetId="11">'[1]Alpha Num Marginal Def Rate'!#REF!</definedName>
    <definedName name="m_Source10" localSheetId="14">'[1]Alpha Num Marginal Def Rate'!#REF!</definedName>
    <definedName name="m_Source10" localSheetId="15">'[1]Alpha Num Marginal Def Rate'!#REF!</definedName>
    <definedName name="m_Source10" localSheetId="3">'[1]Alpha Num Marginal Def Rate'!#REF!</definedName>
    <definedName name="m_Source10" localSheetId="5">'[1]Alpha Num Marginal Def Rate'!#REF!</definedName>
    <definedName name="m_Source10" localSheetId="7">'[1]Alpha Num Marginal Def Rate'!#REF!</definedName>
    <definedName name="m_Source10" localSheetId="10">'[1]Alpha Num Marginal Def Rate'!#REF!</definedName>
    <definedName name="m_Source10">'[1]Alpha Num Marginal Def Rate'!#REF!</definedName>
    <definedName name="m_Source11" localSheetId="2">'[1]Alpha Num Cumulative  DR'!#REF!</definedName>
    <definedName name="m_Source11" localSheetId="11">'[1]Alpha Num Cumulative  DR'!#REF!</definedName>
    <definedName name="m_Source11" localSheetId="14">'[1]Alpha Num Cumulative  DR'!#REF!</definedName>
    <definedName name="m_Source11" localSheetId="15">'[1]Alpha Num Cumulative  DR'!#REF!</definedName>
    <definedName name="m_Source11" localSheetId="3">'[1]Alpha Num Cumulative  DR'!#REF!</definedName>
    <definedName name="m_Source11" localSheetId="5">'[1]Alpha Num Cumulative  DR'!#REF!</definedName>
    <definedName name="m_Source11" localSheetId="7">'[1]Alpha Num Cumulative  DR'!#REF!</definedName>
    <definedName name="m_Source11" localSheetId="10">'[1]Alpha Num Cumulative  DR'!#REF!</definedName>
    <definedName name="m_Source11">'[1]Alpha Num Cumulative  DR'!#REF!</definedName>
    <definedName name="m_Source12" localSheetId="2">#REF!</definedName>
    <definedName name="m_Source12" localSheetId="11">#REF!</definedName>
    <definedName name="m_Source12" localSheetId="14">#REF!</definedName>
    <definedName name="m_Source12" localSheetId="15">#REF!</definedName>
    <definedName name="m_Source12" localSheetId="3">#REF!</definedName>
    <definedName name="m_Source12" localSheetId="5">#REF!</definedName>
    <definedName name="m_Source12" localSheetId="7">#REF!</definedName>
    <definedName name="m_Source12" localSheetId="10">#REF!</definedName>
    <definedName name="m_Source12">#REF!</definedName>
    <definedName name="m_Source2" localSheetId="2">'[1]Letter Numerators'!#REF!</definedName>
    <definedName name="m_Source2" localSheetId="11">'[1]Letter Numerators'!#REF!</definedName>
    <definedName name="m_Source2" localSheetId="14">'[1]Letter Numerators'!#REF!</definedName>
    <definedName name="m_Source2" localSheetId="15">'[1]Letter Numerators'!#REF!</definedName>
    <definedName name="m_Source2" localSheetId="3">'[1]Letter Numerators'!#REF!</definedName>
    <definedName name="m_Source2" localSheetId="5">'[1]Letter Numerators'!#REF!</definedName>
    <definedName name="m_Source2" localSheetId="7">'[1]Letter Numerators'!#REF!</definedName>
    <definedName name="m_Source2" localSheetId="10">'[1]Letter Numerators'!#REF!</definedName>
    <definedName name="m_Source2">'[1]Letter Numerators'!#REF!</definedName>
    <definedName name="m_Source3" localSheetId="2">'[1]Letter Denominators'!#REF!</definedName>
    <definedName name="m_Source3" localSheetId="11">'[1]Letter Denominators'!#REF!</definedName>
    <definedName name="m_Source3" localSheetId="14">'[1]Letter Denominators'!#REF!</definedName>
    <definedName name="m_Source3" localSheetId="15">'[1]Letter Denominators'!#REF!</definedName>
    <definedName name="m_Source3" localSheetId="3">'[1]Letter Denominators'!#REF!</definedName>
    <definedName name="m_Source3" localSheetId="5">'[1]Letter Denominators'!#REF!</definedName>
    <definedName name="m_Source3" localSheetId="7">'[1]Letter Denominators'!#REF!</definedName>
    <definedName name="m_Source3" localSheetId="10">'[1]Letter Denominators'!#REF!</definedName>
    <definedName name="m_Source3">'[1]Letter Denominators'!#REF!</definedName>
    <definedName name="m_Source4" localSheetId="2">'[1]Letter Marginal Default Rates'!#REF!</definedName>
    <definedName name="m_Source4" localSheetId="14">'[1]Letter Marginal Default Rates'!#REF!</definedName>
    <definedName name="m_Source4" localSheetId="3">'[1]Letter Marginal Default Rates'!#REF!</definedName>
    <definedName name="m_Source4" localSheetId="5">'[1]Letter Marginal Default Rates'!#REF!</definedName>
    <definedName name="m_Source4">'[1]Letter Marginal Default Rates'!#REF!</definedName>
    <definedName name="m_Source5" localSheetId="2">'[1]Letter Cumulative Default Rates'!#REF!</definedName>
    <definedName name="m_Source5" localSheetId="14">'[1]Letter Cumulative Default Rates'!#REF!</definedName>
    <definedName name="m_Source5" localSheetId="3">'[1]Letter Cumulative Default Rates'!#REF!</definedName>
    <definedName name="m_Source5" localSheetId="5">'[1]Letter Cumulative Default Rates'!#REF!</definedName>
    <definedName name="m_Source5">'[1]Letter Cumulative Default Rates'!#REF!</definedName>
    <definedName name="m_Source6" localSheetId="2">#REF!</definedName>
    <definedName name="m_Source6" localSheetId="11">#REF!</definedName>
    <definedName name="m_Source6" localSheetId="14">#REF!</definedName>
    <definedName name="m_Source6" localSheetId="15">#REF!</definedName>
    <definedName name="m_Source6" localSheetId="3">#REF!</definedName>
    <definedName name="m_Source6" localSheetId="5">#REF!</definedName>
    <definedName name="m_Source6" localSheetId="7">#REF!</definedName>
    <definedName name="m_Source6" localSheetId="10">#REF!</definedName>
    <definedName name="m_Source6">#REF!</definedName>
    <definedName name="m_Source7" localSheetId="2">#REF!</definedName>
    <definedName name="m_Source7" localSheetId="11">#REF!</definedName>
    <definedName name="m_Source7" localSheetId="14">#REF!</definedName>
    <definedName name="m_Source7" localSheetId="15">#REF!</definedName>
    <definedName name="m_Source7" localSheetId="3">#REF!</definedName>
    <definedName name="m_Source7" localSheetId="5">#REF!</definedName>
    <definedName name="m_Source7" localSheetId="7">#REF!</definedName>
    <definedName name="m_Source7" localSheetId="10">#REF!</definedName>
    <definedName name="m_Source7">#REF!</definedName>
    <definedName name="m_Source8" localSheetId="2">'[2]Alpha Numeric Numerators'!#REF!</definedName>
    <definedName name="m_Source8" localSheetId="11">'[2]Alpha Numeric Numerators'!#REF!</definedName>
    <definedName name="m_Source8" localSheetId="14">'[2]Alpha Numeric Numerators'!#REF!</definedName>
    <definedName name="m_Source8" localSheetId="15">'[2]Alpha Numeric Numerators'!#REF!</definedName>
    <definedName name="m_Source8" localSheetId="3">'[2]Alpha Numeric Numerators'!#REF!</definedName>
    <definedName name="m_Source8" localSheetId="5">'[2]Alpha Numeric Numerators'!#REF!</definedName>
    <definedName name="m_Source8" localSheetId="7">'[2]Alpha Numeric Numerators'!#REF!</definedName>
    <definedName name="m_Source8" localSheetId="10">'[2]Alpha Numeric Numerators'!#REF!</definedName>
    <definedName name="m_Source8">'[2]Alpha Numeric Numerators'!#REF!</definedName>
    <definedName name="m_Source9" localSheetId="2">'[1]Alpha Numeric Denominators'!#REF!</definedName>
    <definedName name="m_Source9" localSheetId="11">'[1]Alpha Numeric Denominators'!#REF!</definedName>
    <definedName name="m_Source9" localSheetId="14">'[1]Alpha Numeric Denominators'!#REF!</definedName>
    <definedName name="m_Source9" localSheetId="15">'[1]Alpha Numeric Denominators'!#REF!</definedName>
    <definedName name="m_Source9" localSheetId="3">'[1]Alpha Numeric Denominators'!#REF!</definedName>
    <definedName name="m_Source9" localSheetId="5">'[1]Alpha Numeric Denominators'!#REF!</definedName>
    <definedName name="m_Source9" localSheetId="7">'[1]Alpha Numeric Denominators'!#REF!</definedName>
    <definedName name="m_Source9" localSheetId="10">'[1]Alpha Numeric Denominators'!#REF!</definedName>
    <definedName name="m_Source9">'[1]Alpha Numeric Denominators'!#REF!</definedName>
    <definedName name="m_SquaredRange" localSheetId="2">#REF!</definedName>
    <definedName name="m_SquaredRange" localSheetId="11">#REF!</definedName>
    <definedName name="m_SquaredRange" localSheetId="14">#REF!</definedName>
    <definedName name="m_SquaredRange" localSheetId="15">#REF!</definedName>
    <definedName name="m_SquaredRange" localSheetId="3">#REF!</definedName>
    <definedName name="m_SquaredRange" localSheetId="5">#REF!</definedName>
    <definedName name="m_SquaredRange" localSheetId="7">#REF!</definedName>
    <definedName name="m_SquaredRange" localSheetId="10">#REF!</definedName>
    <definedName name="m_SquaredRange">#REF!</definedName>
    <definedName name="m_SquaredRange1" localSheetId="2">#REF!</definedName>
    <definedName name="m_SquaredRange1" localSheetId="11">#REF!</definedName>
    <definedName name="m_SquaredRange1" localSheetId="14">#REF!</definedName>
    <definedName name="m_SquaredRange1" localSheetId="15">#REF!</definedName>
    <definedName name="m_SquaredRange1" localSheetId="3">#REF!</definedName>
    <definedName name="m_SquaredRange1" localSheetId="5">#REF!</definedName>
    <definedName name="m_SquaredRange1" localSheetId="7">#REF!</definedName>
    <definedName name="m_SquaredRange1" localSheetId="10">#REF!</definedName>
    <definedName name="m_SquaredRange1">#REF!</definedName>
    <definedName name="m_SquareRef" localSheetId="2">#REF!</definedName>
    <definedName name="m_SquareRef" localSheetId="11">#REF!</definedName>
    <definedName name="m_SquareRef" localSheetId="14">#REF!</definedName>
    <definedName name="m_SquareRef" localSheetId="15">#REF!</definedName>
    <definedName name="m_SquareRef" localSheetId="3">#REF!</definedName>
    <definedName name="m_SquareRef" localSheetId="5">#REF!</definedName>
    <definedName name="m_SquareRef" localSheetId="7">#REF!</definedName>
    <definedName name="m_SquareRef" localSheetId="10">#REF!</definedName>
    <definedName name="m_SquareRef">#REF!</definedName>
    <definedName name="m_SummAlpha_1" localSheetId="2">'[1]Alpha Numeric WACD Rates'!#REF!</definedName>
    <definedName name="m_SummAlpha_1" localSheetId="11">'[1]Alpha Numeric WACD Rates'!#REF!</definedName>
    <definedName name="m_SummAlpha_1" localSheetId="14">'[1]Alpha Numeric WACD Rates'!#REF!</definedName>
    <definedName name="m_SummAlpha_1" localSheetId="15">'[1]Alpha Numeric WACD Rates'!#REF!</definedName>
    <definedName name="m_SummAlpha_1" localSheetId="3">'[1]Alpha Numeric WACD Rates'!#REF!</definedName>
    <definedName name="m_SummAlpha_1" localSheetId="5">'[1]Alpha Numeric WACD Rates'!#REF!</definedName>
    <definedName name="m_SummAlpha_1" localSheetId="7">'[1]Alpha Numeric WACD Rates'!#REF!</definedName>
    <definedName name="m_SummAlpha_1" localSheetId="10">'[1]Alpha Numeric WACD Rates'!#REF!</definedName>
    <definedName name="m_SummAlpha_1">'[1]Alpha Numeric WACD Rates'!#REF!</definedName>
    <definedName name="m_SummAlpha_2" localSheetId="2">'[1]Alpha Numeric WACD Rates'!#REF!</definedName>
    <definedName name="m_SummAlpha_2" localSheetId="11">'[1]Alpha Numeric WACD Rates'!#REF!</definedName>
    <definedName name="m_SummAlpha_2" localSheetId="14">'[1]Alpha Numeric WACD Rates'!#REF!</definedName>
    <definedName name="m_SummAlpha_2" localSheetId="15">'[1]Alpha Numeric WACD Rates'!#REF!</definedName>
    <definedName name="m_SummAlpha_2" localSheetId="3">'[1]Alpha Numeric WACD Rates'!#REF!</definedName>
    <definedName name="m_SummAlpha_2" localSheetId="5">'[1]Alpha Numeric WACD Rates'!#REF!</definedName>
    <definedName name="m_SummAlpha_2" localSheetId="7">'[1]Alpha Numeric WACD Rates'!#REF!</definedName>
    <definedName name="m_SummAlpha_2" localSheetId="10">'[1]Alpha Numeric WACD Rates'!#REF!</definedName>
    <definedName name="m_SummAlpha_2">'[1]Alpha Numeric WACD Rates'!#REF!</definedName>
    <definedName name="m_SummLett_1" localSheetId="2">'[1]Letter WACD Rates'!#REF!</definedName>
    <definedName name="m_SummLett_1" localSheetId="14">'[1]Letter WACD Rates'!#REF!</definedName>
    <definedName name="m_SummLett_1" localSheetId="3">'[1]Letter WACD Rates'!#REF!</definedName>
    <definedName name="m_SummLett_1" localSheetId="5">'[1]Letter WACD Rates'!#REF!</definedName>
    <definedName name="m_SummLett_1">'[1]Letter WACD Rates'!#REF!</definedName>
    <definedName name="m_SummLett_2" localSheetId="2">'[1]Letter WACD Rates'!#REF!</definedName>
    <definedName name="m_SummLett_2" localSheetId="14">'[1]Letter WACD Rates'!#REF!</definedName>
    <definedName name="m_SummLett_2" localSheetId="3">'[1]Letter WACD Rates'!#REF!</definedName>
    <definedName name="m_SummLett_2" localSheetId="5">'[1]Letter WACD Rates'!#REF!</definedName>
    <definedName name="m_SummLett_2">'[1]Letter WACD Rates'!#REF!</definedName>
    <definedName name="m_ToRange" localSheetId="2">#REF!</definedName>
    <definedName name="m_ToRange" localSheetId="11">#REF!</definedName>
    <definedName name="m_ToRange" localSheetId="14">#REF!</definedName>
    <definedName name="m_ToRange" localSheetId="15">#REF!</definedName>
    <definedName name="m_ToRange" localSheetId="3">#REF!</definedName>
    <definedName name="m_ToRange" localSheetId="5">#REF!</definedName>
    <definedName name="m_ToRange" localSheetId="7">#REF!</definedName>
    <definedName name="m_ToRange" localSheetId="10">#REF!</definedName>
    <definedName name="m_ToRange">#REF!</definedName>
    <definedName name="mANDefaultRate" localSheetId="2">#REF!</definedName>
    <definedName name="mANDefaultRate" localSheetId="11">#REF!</definedName>
    <definedName name="mANDefaultRate" localSheetId="14">#REF!</definedName>
    <definedName name="mANDefaultRate" localSheetId="15">#REF!</definedName>
    <definedName name="mANDefaultRate" localSheetId="3">#REF!</definedName>
    <definedName name="mANDefaultRate" localSheetId="5">#REF!</definedName>
    <definedName name="mANDefaultRate" localSheetId="7">#REF!</definedName>
    <definedName name="mANDefaultRate" localSheetId="10">#REF!</definedName>
    <definedName name="mANDefaultRate">#REF!</definedName>
    <definedName name="mDefaultRate" localSheetId="2">#REF!</definedName>
    <definedName name="mDefaultRate" localSheetId="11">#REF!</definedName>
    <definedName name="mDefaultRate" localSheetId="14">#REF!</definedName>
    <definedName name="mDefaultRate" localSheetId="15">#REF!</definedName>
    <definedName name="mDefaultRate" localSheetId="3">#REF!</definedName>
    <definedName name="mDefaultRate" localSheetId="5">#REF!</definedName>
    <definedName name="mDefaultRate" localSheetId="7">#REF!</definedName>
    <definedName name="mDefaultRate" localSheetId="10">#REF!</definedName>
    <definedName name="mDefaultRate">#REF!</definedName>
    <definedName name="mDemoninator" localSheetId="2">#REF!</definedName>
    <definedName name="mDemoninator" localSheetId="11">#REF!</definedName>
    <definedName name="mDemoninator" localSheetId="14">#REF!</definedName>
    <definedName name="mDemoninator" localSheetId="15">#REF!</definedName>
    <definedName name="mDemoninator" localSheetId="3">#REF!</definedName>
    <definedName name="mDemoninator" localSheetId="5">#REF!</definedName>
    <definedName name="mDemoninator" localSheetId="7">#REF!</definedName>
    <definedName name="mDemoninator" localSheetId="10">#REF!</definedName>
    <definedName name="mDemoninator">#REF!</definedName>
    <definedName name="mDenominator" localSheetId="2">#REF!</definedName>
    <definedName name="mDenominator" localSheetId="11">#REF!</definedName>
    <definedName name="mDenominator" localSheetId="14">#REF!</definedName>
    <definedName name="mDenominator" localSheetId="15">#REF!</definedName>
    <definedName name="mDenominator" localSheetId="3">#REF!</definedName>
    <definedName name="mDenominator" localSheetId="5">#REF!</definedName>
    <definedName name="mDenominator" localSheetId="7">#REF!</definedName>
    <definedName name="mDenominator" localSheetId="10">#REF!</definedName>
    <definedName name="mDenominator">#REF!</definedName>
    <definedName name="mNumerator" localSheetId="2">#REF!</definedName>
    <definedName name="mNumerator" localSheetId="11">#REF!</definedName>
    <definedName name="mNumerator" localSheetId="14">#REF!</definedName>
    <definedName name="mNumerator" localSheetId="15">#REF!</definedName>
    <definedName name="mNumerator" localSheetId="3">#REF!</definedName>
    <definedName name="mNumerator" localSheetId="5">#REF!</definedName>
    <definedName name="mNumerator" localSheetId="7">#REF!</definedName>
    <definedName name="mNumerator" localSheetId="10">#REF!</definedName>
    <definedName name="mNumerator">#REF!</definedName>
    <definedName name="ou" localSheetId="2">'1'!ou</definedName>
    <definedName name="ou" localSheetId="11">#N/A</definedName>
    <definedName name="ou" localSheetId="14">'13'!ou</definedName>
    <definedName name="ou" localSheetId="15">#N/A</definedName>
    <definedName name="ou" localSheetId="3">'2'!ou</definedName>
    <definedName name="ou" localSheetId="5">'4'!ou</definedName>
    <definedName name="ou" localSheetId="7">'6'!ou</definedName>
    <definedName name="ou" localSheetId="10">'9'!ou</definedName>
    <definedName name="ou">'1'!ou</definedName>
  </definedNames>
  <calcPr calcId="145621"/>
</workbook>
</file>

<file path=xl/calcChain.xml><?xml version="1.0" encoding="utf-8"?>
<calcChain xmlns="http://schemas.openxmlformats.org/spreadsheetml/2006/main">
  <c r="H5" i="18" l="1"/>
  <c r="H48" i="18" l="1"/>
  <c r="I47" i="18"/>
  <c r="H47" i="18"/>
  <c r="G47" i="18"/>
  <c r="D47" i="18"/>
  <c r="D46" i="18"/>
  <c r="J47" i="18" l="1"/>
  <c r="B98" i="31" l="1"/>
  <c r="C98" i="31"/>
  <c r="D98" i="31"/>
  <c r="E98" i="31"/>
  <c r="F98" i="31"/>
  <c r="G98" i="31"/>
  <c r="H98" i="31"/>
  <c r="I98" i="31"/>
  <c r="J98" i="31"/>
  <c r="K98" i="31"/>
  <c r="X39" i="32" l="1"/>
  <c r="W39" i="32"/>
  <c r="V39" i="32"/>
  <c r="U39" i="32"/>
  <c r="T39" i="32"/>
  <c r="S39" i="32"/>
  <c r="R39" i="32"/>
  <c r="Q39" i="32"/>
  <c r="P39" i="32"/>
  <c r="O39" i="32"/>
  <c r="N39" i="32"/>
  <c r="M39" i="32"/>
  <c r="L39" i="32"/>
  <c r="K39" i="32"/>
  <c r="J39" i="32"/>
  <c r="I39" i="32"/>
  <c r="H39" i="32"/>
  <c r="G39" i="32"/>
  <c r="F39" i="32"/>
  <c r="E39" i="32"/>
  <c r="D39" i="32"/>
  <c r="C39" i="32"/>
  <c r="X38" i="32"/>
  <c r="W38" i="32"/>
  <c r="V38" i="32"/>
  <c r="U38" i="32"/>
  <c r="T38" i="32"/>
  <c r="S38" i="32"/>
  <c r="R38" i="32"/>
  <c r="Q38" i="32"/>
  <c r="P38" i="32"/>
  <c r="O38" i="32"/>
  <c r="N38" i="32"/>
  <c r="M38" i="32"/>
  <c r="L38" i="32"/>
  <c r="K38" i="32"/>
  <c r="J38" i="32"/>
  <c r="I38" i="32"/>
  <c r="H38" i="32"/>
  <c r="G38" i="32"/>
  <c r="F38" i="32"/>
  <c r="E38" i="32"/>
  <c r="D38" i="32"/>
  <c r="C38" i="32"/>
  <c r="X37" i="32"/>
  <c r="W37" i="32"/>
  <c r="V37" i="32"/>
  <c r="U37" i="32"/>
  <c r="T37" i="32"/>
  <c r="S37" i="32"/>
  <c r="R37" i="32"/>
  <c r="Q37" i="32"/>
  <c r="P37" i="32"/>
  <c r="O37" i="32"/>
  <c r="N37" i="32"/>
  <c r="M37" i="32"/>
  <c r="L37" i="32"/>
  <c r="K37" i="32"/>
  <c r="J37" i="32"/>
  <c r="I37" i="32"/>
  <c r="H37" i="32"/>
  <c r="G37" i="32"/>
  <c r="F37" i="32"/>
  <c r="E37" i="32"/>
  <c r="D37" i="32"/>
  <c r="C37" i="32"/>
  <c r="X36" i="32"/>
  <c r="W36" i="32"/>
  <c r="V36" i="32"/>
  <c r="U36" i="32"/>
  <c r="T36" i="32"/>
  <c r="S36" i="32"/>
  <c r="R36" i="32"/>
  <c r="Q36" i="32"/>
  <c r="P36" i="32"/>
  <c r="O36" i="32"/>
  <c r="N36" i="32"/>
  <c r="M36" i="32"/>
  <c r="L36" i="32"/>
  <c r="K36" i="32"/>
  <c r="J36" i="32"/>
  <c r="I36" i="32"/>
  <c r="H36" i="32"/>
  <c r="G36" i="32"/>
  <c r="F36" i="32"/>
  <c r="E36" i="32"/>
  <c r="D36" i="32"/>
  <c r="C36" i="32"/>
  <c r="X35" i="32"/>
  <c r="W35" i="32"/>
  <c r="V35" i="32"/>
  <c r="U35" i="32"/>
  <c r="T35" i="32"/>
  <c r="S35" i="32"/>
  <c r="R35" i="32"/>
  <c r="Q35" i="32"/>
  <c r="P35" i="32"/>
  <c r="O35" i="32"/>
  <c r="N35" i="32"/>
  <c r="M35" i="32"/>
  <c r="L35" i="32"/>
  <c r="K35" i="32"/>
  <c r="J35" i="32"/>
  <c r="I35" i="32"/>
  <c r="H35" i="32"/>
  <c r="G35" i="32"/>
  <c r="F35" i="32"/>
  <c r="E35" i="32"/>
  <c r="D35" i="32"/>
  <c r="C35" i="32"/>
  <c r="K102" i="31"/>
  <c r="J102" i="31"/>
  <c r="I102" i="31"/>
  <c r="H102" i="31"/>
  <c r="G102" i="31"/>
  <c r="F102" i="31"/>
  <c r="E102" i="31"/>
  <c r="D102" i="31"/>
  <c r="C102" i="31"/>
  <c r="K101" i="31"/>
  <c r="J101" i="31"/>
  <c r="I101" i="31"/>
  <c r="H101" i="31"/>
  <c r="G101" i="31"/>
  <c r="F101" i="31"/>
  <c r="E101" i="31"/>
  <c r="D101" i="31"/>
  <c r="C101" i="31"/>
  <c r="K100" i="31"/>
  <c r="J100" i="31"/>
  <c r="I100" i="31"/>
  <c r="H100" i="31"/>
  <c r="G100" i="31"/>
  <c r="F100" i="31"/>
  <c r="E100" i="31"/>
  <c r="D100" i="31"/>
  <c r="C100" i="31"/>
  <c r="K99" i="31"/>
  <c r="J99" i="31"/>
  <c r="I99" i="31"/>
  <c r="H99" i="31"/>
  <c r="G99" i="31"/>
  <c r="F99" i="31"/>
  <c r="E99" i="31"/>
  <c r="D99" i="31"/>
  <c r="C99" i="31"/>
  <c r="K38" i="24"/>
  <c r="J38" i="24"/>
  <c r="I38" i="24"/>
  <c r="H38" i="24"/>
  <c r="G38" i="24"/>
  <c r="F38" i="24"/>
  <c r="E38" i="24"/>
  <c r="D38" i="24"/>
  <c r="C38" i="24"/>
  <c r="K37" i="24"/>
  <c r="J37" i="24"/>
  <c r="I37" i="24"/>
  <c r="H37" i="24"/>
  <c r="G37" i="24"/>
  <c r="F37" i="24"/>
  <c r="E37" i="24"/>
  <c r="D37" i="24"/>
  <c r="C37" i="24"/>
  <c r="K36" i="24"/>
  <c r="J36" i="24"/>
  <c r="I36" i="24"/>
  <c r="H36" i="24"/>
  <c r="G36" i="24"/>
  <c r="F36" i="24"/>
  <c r="E36" i="24"/>
  <c r="D36" i="24"/>
  <c r="C36" i="24"/>
  <c r="B38" i="24"/>
  <c r="B37" i="24"/>
  <c r="B36" i="24"/>
  <c r="I48" i="18"/>
  <c r="I46" i="18"/>
  <c r="H46" i="18"/>
  <c r="I45" i="18"/>
  <c r="H45" i="18"/>
  <c r="I44" i="18"/>
  <c r="H44" i="18"/>
  <c r="I43" i="18"/>
  <c r="H43" i="18"/>
  <c r="I42" i="18"/>
  <c r="H42" i="18"/>
  <c r="I41" i="18"/>
  <c r="H41" i="18"/>
  <c r="I40" i="18"/>
  <c r="H40" i="18"/>
  <c r="I39" i="18"/>
  <c r="H39" i="18"/>
  <c r="I38" i="18"/>
  <c r="H38" i="18"/>
  <c r="I37" i="18"/>
  <c r="H37" i="18"/>
  <c r="I36" i="18"/>
  <c r="H36" i="18"/>
  <c r="I35" i="18"/>
  <c r="H35" i="18"/>
  <c r="I34" i="18"/>
  <c r="H34" i="18"/>
  <c r="I33" i="18"/>
  <c r="H33" i="18"/>
  <c r="I32" i="18"/>
  <c r="H32" i="18"/>
  <c r="I31" i="18"/>
  <c r="H31" i="18"/>
  <c r="I30" i="18"/>
  <c r="H30" i="18"/>
  <c r="I29" i="18"/>
  <c r="H29" i="18"/>
  <c r="I28" i="18"/>
  <c r="H28" i="18"/>
  <c r="I27" i="18"/>
  <c r="H27" i="18"/>
  <c r="I26" i="18"/>
  <c r="H26" i="18"/>
  <c r="I25" i="18"/>
  <c r="H25" i="18"/>
  <c r="I24" i="18"/>
  <c r="H24" i="18"/>
  <c r="I23" i="18"/>
  <c r="H23" i="18"/>
  <c r="I22" i="18"/>
  <c r="H22" i="18"/>
  <c r="I21" i="18"/>
  <c r="H21" i="18"/>
  <c r="I20" i="18"/>
  <c r="H20" i="18"/>
  <c r="I19" i="18"/>
  <c r="H19" i="18"/>
  <c r="I18" i="18"/>
  <c r="H18" i="18"/>
  <c r="I17" i="18"/>
  <c r="H17" i="18"/>
  <c r="I16" i="18"/>
  <c r="H16" i="18"/>
  <c r="I15" i="18"/>
  <c r="H15" i="18"/>
  <c r="I14" i="18"/>
  <c r="H14" i="18"/>
  <c r="I13" i="18"/>
  <c r="H13" i="18"/>
  <c r="I12" i="18"/>
  <c r="H12" i="18"/>
  <c r="I11" i="18"/>
  <c r="H11" i="18"/>
  <c r="I10" i="18"/>
  <c r="H10" i="18"/>
  <c r="I9" i="18"/>
  <c r="H9" i="18"/>
  <c r="I8" i="18"/>
  <c r="H8" i="18"/>
  <c r="I7" i="18"/>
  <c r="H7" i="18"/>
  <c r="I6" i="18"/>
  <c r="H6" i="18"/>
  <c r="I5" i="18"/>
  <c r="G48"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D48"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J6" i="18" l="1"/>
  <c r="J10" i="18"/>
  <c r="J14" i="18"/>
  <c r="J18" i="18"/>
  <c r="J22" i="18"/>
  <c r="J26" i="18"/>
  <c r="J30" i="18"/>
  <c r="J34" i="18"/>
  <c r="J38" i="18"/>
  <c r="J42" i="18"/>
  <c r="J46" i="18"/>
  <c r="J5" i="18"/>
  <c r="J8" i="18"/>
  <c r="J12" i="18"/>
  <c r="J16" i="18"/>
  <c r="J20" i="18"/>
  <c r="J24" i="18"/>
  <c r="J28" i="18"/>
  <c r="J32" i="18"/>
  <c r="J36" i="18"/>
  <c r="J40" i="18"/>
  <c r="J44" i="18"/>
  <c r="J7" i="18"/>
  <c r="J9" i="18"/>
  <c r="J11" i="18"/>
  <c r="J13" i="18"/>
  <c r="J15" i="18"/>
  <c r="J17" i="18"/>
  <c r="J19" i="18"/>
  <c r="J21" i="18"/>
  <c r="J23" i="18"/>
  <c r="J25" i="18"/>
  <c r="J27" i="18"/>
  <c r="J29" i="18"/>
  <c r="J31" i="18"/>
  <c r="J33" i="18"/>
  <c r="J35" i="18"/>
  <c r="J37" i="18"/>
  <c r="J39" i="18"/>
  <c r="J41" i="18"/>
  <c r="J43" i="18"/>
  <c r="J45" i="18"/>
  <c r="J48" i="18"/>
  <c r="B39" i="32" l="1"/>
  <c r="B38" i="32"/>
  <c r="B37" i="32"/>
  <c r="B36" i="32"/>
  <c r="B35" i="32"/>
  <c r="B102" i="31"/>
  <c r="B101" i="31"/>
  <c r="B100" i="31"/>
  <c r="B99" i="31"/>
</calcChain>
</file>

<file path=xl/sharedStrings.xml><?xml version="1.0" encoding="utf-8"?>
<sst xmlns="http://schemas.openxmlformats.org/spreadsheetml/2006/main" count="3996" uniqueCount="396">
  <si>
    <t>Rating</t>
  </si>
  <si>
    <t>Aaa</t>
  </si>
  <si>
    <t>Aa</t>
  </si>
  <si>
    <t>A</t>
  </si>
  <si>
    <t>Baa</t>
  </si>
  <si>
    <t>Ba</t>
  </si>
  <si>
    <t>B</t>
  </si>
  <si>
    <t>Caa_C</t>
  </si>
  <si>
    <t>IG</t>
  </si>
  <si>
    <t>SG</t>
  </si>
  <si>
    <t>Cohort Year</t>
  </si>
  <si>
    <t>B3</t>
  </si>
  <si>
    <t>Caa3</t>
  </si>
  <si>
    <t>B2</t>
  </si>
  <si>
    <t>B1</t>
  </si>
  <si>
    <t>Baa1</t>
  </si>
  <si>
    <t>Ba3</t>
  </si>
  <si>
    <t>Caa2</t>
  </si>
  <si>
    <t>Ba1</t>
  </si>
  <si>
    <t>Caa1</t>
  </si>
  <si>
    <t>WR</t>
  </si>
  <si>
    <t>Baa2</t>
  </si>
  <si>
    <t>Ba2</t>
  </si>
  <si>
    <t>A1</t>
  </si>
  <si>
    <t>Aa3</t>
  </si>
  <si>
    <t>A2</t>
  </si>
  <si>
    <t>Baa3</t>
  </si>
  <si>
    <t>A3</t>
  </si>
  <si>
    <t>Aa2</t>
  </si>
  <si>
    <t>Aa1</t>
  </si>
  <si>
    <t>Caa</t>
  </si>
  <si>
    <t>Ca_C</t>
  </si>
  <si>
    <t>1-Year</t>
  </si>
  <si>
    <t>5-Year</t>
  </si>
  <si>
    <t>From/To:</t>
  </si>
  <si>
    <t>Default</t>
  </si>
  <si>
    <t xml:space="preserve">Aa </t>
  </si>
  <si>
    <t xml:space="preserve">Ba </t>
  </si>
  <si>
    <t>Ca-C</t>
  </si>
  <si>
    <t>* Data in percent</t>
  </si>
  <si>
    <t>Year</t>
  </si>
  <si>
    <t>Inv Grade</t>
  </si>
  <si>
    <t>Spec Grade</t>
  </si>
  <si>
    <t>All rated</t>
  </si>
  <si>
    <t>n.a.</t>
  </si>
  <si>
    <t>Mean</t>
  </si>
  <si>
    <t>Median</t>
  </si>
  <si>
    <t>St Dev</t>
  </si>
  <si>
    <t>Min</t>
  </si>
  <si>
    <t>Max</t>
  </si>
  <si>
    <t>StDev</t>
  </si>
  <si>
    <t>North America</t>
  </si>
  <si>
    <t>Transportation</t>
  </si>
  <si>
    <t>Capital Industries</t>
  </si>
  <si>
    <t>Technology</t>
  </si>
  <si>
    <t>Latin America</t>
  </si>
  <si>
    <t>Energy &amp; Environment</t>
  </si>
  <si>
    <t>Consumer Industries</t>
  </si>
  <si>
    <t>Retail &amp; Distribution</t>
  </si>
  <si>
    <t>Asia Pacific</t>
  </si>
  <si>
    <t>Media &amp; Publishing</t>
  </si>
  <si>
    <t>Europe</t>
  </si>
  <si>
    <t>Utilities</t>
  </si>
  <si>
    <t>Banking</t>
  </si>
  <si>
    <t>Africa &amp; Middle East</t>
  </si>
  <si>
    <t>Inv-Grade</t>
  </si>
  <si>
    <t>Spec-Grade</t>
  </si>
  <si>
    <t>All-Rated</t>
  </si>
  <si>
    <t>Issuer Counts</t>
  </si>
  <si>
    <t>Dollar Volumes (US$ mil)</t>
  </si>
  <si>
    <t>Rating/Year</t>
  </si>
  <si>
    <t>Caa-C</t>
  </si>
  <si>
    <t>*Data in percent</t>
  </si>
  <si>
    <t>Non-Bank Finance</t>
  </si>
  <si>
    <t>Government Related Issuers</t>
  </si>
  <si>
    <t>Broad Industry</t>
  </si>
  <si>
    <t>Default Rates*</t>
  </si>
  <si>
    <t xml:space="preserve">*Issuer-Weighted </t>
  </si>
  <si>
    <t>n(0)</t>
  </si>
  <si>
    <t>All</t>
  </si>
  <si>
    <t>Exhibit 3 - Default Rate Highest in the Media &amp; Publishing Sector</t>
  </si>
  <si>
    <t>Exhibit 7 - Average Corporate Debt Recovery Rates Measured by Post-Default Trading Prices</t>
  </si>
  <si>
    <t>Exhibit 11 - Watchlist/Outlook Assignments for Caa or Below Issuers</t>
  </si>
  <si>
    <t>Exhibit 12 - One-Year Corporate Default Rate Forecasts by Industry</t>
  </si>
  <si>
    <t>Default Count</t>
  </si>
  <si>
    <t>Volume ($ Bil)</t>
  </si>
  <si>
    <t>Total</t>
  </si>
  <si>
    <t>Quarter End</t>
  </si>
  <si>
    <t>Issuer-weighted</t>
  </si>
  <si>
    <t>Volume-weighted</t>
  </si>
  <si>
    <t>Lien Position</t>
  </si>
  <si>
    <t>1st Lien Bank Loan</t>
  </si>
  <si>
    <t>2nd Lien Bank Loan*</t>
  </si>
  <si>
    <t>Sr. Secured Bond</t>
  </si>
  <si>
    <t>Sr. Unsecured Bond</t>
  </si>
  <si>
    <t>Subordinated Bond</t>
  </si>
  <si>
    <t>Jr. Subordinated Bond</t>
  </si>
  <si>
    <t>Emergence Year</t>
  </si>
  <si>
    <t>Default Year</t>
  </si>
  <si>
    <t>Loans</t>
  </si>
  <si>
    <t>Sr. Secured Bonds</t>
  </si>
  <si>
    <t>Sr. Unsecured Bonds*</t>
  </si>
  <si>
    <t>Subordinated Bonds**</t>
  </si>
  <si>
    <t>** Includes senior subordinated, subordinated, and junior subordinated bonds.</t>
  </si>
  <si>
    <t>All Rated</t>
  </si>
  <si>
    <t>Actual</t>
  </si>
  <si>
    <t>US</t>
  </si>
  <si>
    <t>Negative Outlook</t>
  </si>
  <si>
    <t>Stable Outlook</t>
  </si>
  <si>
    <t>Positive Outlook</t>
  </si>
  <si>
    <t>Industry</t>
  </si>
  <si>
    <t>Energy: Oil &amp; Gas</t>
  </si>
  <si>
    <t>Forest Products &amp; Paper*</t>
  </si>
  <si>
    <t>Capital Equipment</t>
  </si>
  <si>
    <t>Retail</t>
  </si>
  <si>
    <t>Construction &amp; Building</t>
  </si>
  <si>
    <t>Services: Business</t>
  </si>
  <si>
    <t>Automotive</t>
  </si>
  <si>
    <t>Services: Consumer*</t>
  </si>
  <si>
    <t>Consumer goods: non-durable*</t>
  </si>
  <si>
    <t>Hotel, Gaming, &amp; Leisure</t>
  </si>
  <si>
    <t>Energy: Electricity*</t>
  </si>
  <si>
    <t>Metals &amp; Mining</t>
  </si>
  <si>
    <t>FIRE: Insurance</t>
  </si>
  <si>
    <t>Containers, Packaging, &amp; Glass</t>
  </si>
  <si>
    <t>Chemicals, Plastics, &amp; Rubber</t>
  </si>
  <si>
    <t>Media: Broadcasting &amp; Subscription</t>
  </si>
  <si>
    <t>Beverage, Food, &amp; Tobacco</t>
  </si>
  <si>
    <t>Consumer goods: durable*</t>
  </si>
  <si>
    <t>Media: Diversified &amp; Production*</t>
  </si>
  <si>
    <t>Healthcare &amp; Pharmaceuticals</t>
  </si>
  <si>
    <t>Wholesale*</t>
  </si>
  <si>
    <t>Environmental Industries*</t>
  </si>
  <si>
    <t>Utilities: Oil &amp; Gas</t>
  </si>
  <si>
    <t>Transportation: Cargo</t>
  </si>
  <si>
    <t>Utilities: Electric</t>
  </si>
  <si>
    <t>Telecommunications</t>
  </si>
  <si>
    <t>Sovereign &amp; Public Finance</t>
  </si>
  <si>
    <t>High Tech Industries</t>
  </si>
  <si>
    <t>Transportation: Consumer*</t>
  </si>
  <si>
    <t>FIRE: Finance</t>
  </si>
  <si>
    <t>Utilities: Water*</t>
  </si>
  <si>
    <t>* Default rate forecasts are not reported in these sectors in either Europe or the US due to small sample size (less than ten issuers).</t>
  </si>
  <si>
    <t>Months Prior to Default</t>
  </si>
  <si>
    <t>Company</t>
  </si>
  <si>
    <t>Country</t>
  </si>
  <si>
    <t>Initial Default Type</t>
  </si>
  <si>
    <t>Bonds (US$ mil)</t>
  </si>
  <si>
    <t>Loans (US$ mil)</t>
  </si>
  <si>
    <t>Liquidated</t>
  </si>
  <si>
    <t>United States</t>
  </si>
  <si>
    <t>Distressed exchange</t>
  </si>
  <si>
    <t>Prepackaged Chapter 11</t>
  </si>
  <si>
    <t>Missed interest payment</t>
  </si>
  <si>
    <t>Chapter 11</t>
  </si>
  <si>
    <t>Brazil</t>
  </si>
  <si>
    <t>Kazakhstan</t>
  </si>
  <si>
    <t>Canada</t>
  </si>
  <si>
    <t>Bankruptcy</t>
  </si>
  <si>
    <t>Chukchansi Economic Development Authority</t>
  </si>
  <si>
    <t>Missed principal payment</t>
  </si>
  <si>
    <t>Cyprus Popular Bank Public Co Ltd</t>
  </si>
  <si>
    <t>Cyprus</t>
  </si>
  <si>
    <t>Dex Media East, Inc.</t>
  </si>
  <si>
    <t>Dex Media West, Inc.</t>
  </si>
  <si>
    <t>Dex One Corporation</t>
  </si>
  <si>
    <t>Energy Future Holdings Corp.</t>
  </si>
  <si>
    <t>Ireland</t>
  </si>
  <si>
    <t>Spain</t>
  </si>
  <si>
    <t>Lupatech S.A.</t>
  </si>
  <si>
    <t>Penson Worldwide, Inc.</t>
  </si>
  <si>
    <t>R.H. Donnelley Inc.</t>
  </si>
  <si>
    <t/>
  </si>
  <si>
    <t>Investment Grade</t>
  </si>
  <si>
    <t>Speculative Grade</t>
  </si>
  <si>
    <t>All Ratings</t>
  </si>
  <si>
    <t>Bond</t>
  </si>
  <si>
    <t>Loan</t>
  </si>
  <si>
    <t>* Default volume in millions of USD</t>
  </si>
  <si>
    <t>Bank Loans</t>
  </si>
  <si>
    <t>Bonds</t>
  </si>
  <si>
    <t>1st Lien</t>
  </si>
  <si>
    <t>2nd Lien</t>
  </si>
  <si>
    <t>Sr. Sec.</t>
  </si>
  <si>
    <t>Sr. Unsec.</t>
  </si>
  <si>
    <t>Sr. Sub.</t>
  </si>
  <si>
    <t>Sub.</t>
  </si>
  <si>
    <t>bankruptcy</t>
  </si>
  <si>
    <t>payment default</t>
  </si>
  <si>
    <t>distressed exchange</t>
  </si>
  <si>
    <t>Jr. Sub.</t>
  </si>
  <si>
    <t>All Bonds</t>
  </si>
  <si>
    <t>* Issuer-weighted, based on post default trading prices</t>
  </si>
  <si>
    <t>* Issuer-weighted, based on post default trading prices.</t>
  </si>
  <si>
    <t>Year 1</t>
  </si>
  <si>
    <t>Year 2</t>
  </si>
  <si>
    <t>Year 3</t>
  </si>
  <si>
    <t>Year 4</t>
  </si>
  <si>
    <t>Year 5</t>
  </si>
  <si>
    <t>Aaa**</t>
  </si>
  <si>
    <t>** The Aaa recovery rates are based on five observations, three of which are Icelandic banks that have an average recovery rate of 3.33%.</t>
  </si>
  <si>
    <t>* Based on average default rates and senior unsecured bond recoveries measured on issuer-weighted basis</t>
  </si>
  <si>
    <t>Average</t>
  </si>
  <si>
    <t>* Based on issuer-weighted average default rates and issuer-weighted senior unsecured bond recovery rates.</t>
  </si>
  <si>
    <t>Broad Industry Group</t>
  </si>
  <si>
    <t>Gov't-Related Issuers</t>
  </si>
  <si>
    <t>All- Rated</t>
  </si>
  <si>
    <t>Rating / Year</t>
  </si>
  <si>
    <t>Watch/Outlook Assignments</t>
  </si>
  <si>
    <t>On Watch for Downgrade</t>
  </si>
  <si>
    <t>On Watch for Upgrade</t>
  </si>
  <si>
    <t>Negative Outlook + On Watch for Downgrade</t>
  </si>
  <si>
    <t>Exhibit 20 - Annual Defaulted Corporate Bond and Loan Recoveries*</t>
  </si>
  <si>
    <t>Exhibit 14 - One- and Five-Year Average Default Position by Cohort Year, 1983-2013</t>
  </si>
  <si>
    <t>Exhibit 16 - Annual Moody's-Rated Global Corporate Issuer Default Counts, 1920-2013</t>
  </si>
  <si>
    <t>Exhibit 24 - 2013 One-Year Letter Rating Migration Rates</t>
  </si>
  <si>
    <t>Exhibit 25 - Average One-Year Letter Rating Migration Rates, 1920-2013</t>
  </si>
  <si>
    <t>Exhibit 26 - Average One-Year Letter Rating Migration Rates, 1970-2013</t>
  </si>
  <si>
    <t>Exhibit 27 - Average Five-Year Letter Rating Migration Rates, 1970-2013*</t>
  </si>
  <si>
    <t>Exhibit 28 - 2013 One-Year Alphanumeric Rating Migration Rates*</t>
  </si>
  <si>
    <t>Exhibit 29 - Average One-Year Alphanumeric Rating Migration Rates, 1983-2013*</t>
  </si>
  <si>
    <t>Exhibit 30 - Annual Issuer-Weighted Corporate Default Rates by Letter Rating, 1920-2013*</t>
  </si>
  <si>
    <t>Exhibit 31 - Annual Issuer-Weighted Corporate Default Rates by Alphanumeric Rating, 1983-2013*</t>
  </si>
  <si>
    <t>Exhibit 32 - Average Cumulative Issuer-Weighted Global Default Rates by Letter Rating, 1920-2013*</t>
  </si>
  <si>
    <t>Exhibit 33 - Average Cumulative Issuer-Weighted Global Default Rates by Letter Rating, 1970-2013*</t>
  </si>
  <si>
    <t>Exhibit 34 - Average Cumulative Issuer-Weighted Global Default Rates by Letter Rating, 1983-2013*</t>
  </si>
  <si>
    <t>Exhibit 35 - Average Cumulative Issuer-Weighted Global Default Rates by Alphanumeric Rating, 1983-2013*</t>
  </si>
  <si>
    <t>Exhibit 36 - Average Cumulative Issuer-Weighted Global Default Rates by Alphanumeric Rating, 1998-2013*</t>
  </si>
  <si>
    <t>Exhibit 37 - Average Cumulative Issuer-Weighted Global Default Rates by Broad Industry Group, 1970-2013*</t>
  </si>
  <si>
    <t>Exhibit 38 - Annual Default Rates by Broad Industry Group, 1970-2013*</t>
  </si>
  <si>
    <t>Exhibit 41 - Cumulative Issuer-Weighted Default Rates by Annual Cohort, 1970-2013 (Data in Percent)</t>
  </si>
  <si>
    <t>Affinion Group Holdings, Inc.</t>
  </si>
  <si>
    <t>yes</t>
  </si>
  <si>
    <t>AGY Holding Corp.</t>
  </si>
  <si>
    <t>Alliance Bank</t>
  </si>
  <si>
    <t>American Petroleum Tankers Parent LLC</t>
  </si>
  <si>
    <t>ATU Auto-Teile-Unger Handels GmbH &amp; Co. KG</t>
  </si>
  <si>
    <t>Germany</t>
  </si>
  <si>
    <t>Axtel, S.A.B. de C.V.</t>
  </si>
  <si>
    <t>Mexico</t>
  </si>
  <si>
    <t>Banco BVA S.A.</t>
  </si>
  <si>
    <t>Banco CEISS</t>
  </si>
  <si>
    <t>Banco Financiero y de Ahorros</t>
  </si>
  <si>
    <t>Bank Finance and Credit JSC</t>
  </si>
  <si>
    <t>Ukraine</t>
  </si>
  <si>
    <t>Placed under administration</t>
  </si>
  <si>
    <t>Catalunya Banc SA</t>
  </si>
  <si>
    <t>Cengage Learning Acquisitions, Inc.</t>
  </si>
  <si>
    <t>no</t>
  </si>
  <si>
    <t>Central European Distribution Corporation</t>
  </si>
  <si>
    <t>Poland</t>
  </si>
  <si>
    <t>CEVA Group plc</t>
  </si>
  <si>
    <t>United Kingdom</t>
  </si>
  <si>
    <t>Codere S.A.</t>
  </si>
  <si>
    <t>Co-Operative Bank Plc</t>
  </si>
  <si>
    <t>Corporacion GEO, S.A.B. DE C.V.</t>
  </si>
  <si>
    <t>Desarrolladora Homex, S.A.B. de C.V.</t>
  </si>
  <si>
    <t>Energy Future Intermediate Holding Company</t>
  </si>
  <si>
    <t>Evergreen International Aviation, Inc.</t>
  </si>
  <si>
    <t>Missed principal and interest payments</t>
  </si>
  <si>
    <t>Exide Technologies, Inc.</t>
  </si>
  <si>
    <t>GateHouse Media Operating, Inc.</t>
  </si>
  <si>
    <t>Geokinetics Holdings USA, Inc.</t>
  </si>
  <si>
    <t>GMX Resources Inc.</t>
  </si>
  <si>
    <t>Green Field Energy Services, Inc.</t>
  </si>
  <si>
    <t>Irish Bank Resolution Corporation Limited</t>
  </si>
  <si>
    <t>Jacuzzi Brands Corp.</t>
  </si>
  <si>
    <t>KIK Custom Products Inc.</t>
  </si>
  <si>
    <t>Liberbank</t>
  </si>
  <si>
    <t>LodgeNet Interactive Corporation</t>
  </si>
  <si>
    <t>Lone Pine Resources Canada Ltd.</t>
  </si>
  <si>
    <t>Magyar Telecom B.V.</t>
  </si>
  <si>
    <t>Netherlands</t>
  </si>
  <si>
    <t>Marfrig Alimentos S.A.</t>
  </si>
  <si>
    <t>Maxcom Telecomunicaciones, S.A.B. de C.V.</t>
  </si>
  <si>
    <t>Milagro Oil &amp; Gas, Inc.</t>
  </si>
  <si>
    <t>Mirabela Nickel Ltd</t>
  </si>
  <si>
    <t>Australia</t>
  </si>
  <si>
    <t>NCG Banco S.A.</t>
  </si>
  <si>
    <t>Northland Resources AB</t>
  </si>
  <si>
    <t>Sweden</t>
  </si>
  <si>
    <t>Nova Ljubljanska banka d.d.</t>
  </si>
  <si>
    <t>Slovenia</t>
  </si>
  <si>
    <t>OGX Petroleo e Gas Participacoes SA</t>
  </si>
  <si>
    <t>OnCure Holdings, Inc.</t>
  </si>
  <si>
    <t>Orchard Supply Hardware Corporation</t>
  </si>
  <si>
    <t>Physiotherapy Associates Holdings, Inc. (NEW)</t>
  </si>
  <si>
    <t>Preferred Proppants, LLC</t>
  </si>
  <si>
    <t>Reader's Digest Association, Inc. (The)</t>
  </si>
  <si>
    <t>Revel Atlantic City, LLC</t>
  </si>
  <si>
    <t>Rotech Healthcare, Inc.</t>
  </si>
  <si>
    <t>Rural/Metro Corporation</t>
  </si>
  <si>
    <t>Schoeller Arca Systems Holding B.V.</t>
  </si>
  <si>
    <t>Seat Pagine Gialle Italia S.p.A</t>
  </si>
  <si>
    <t>Italy</t>
  </si>
  <si>
    <t>SNS Bank N.V.</t>
  </si>
  <si>
    <t>SNS Reaal N.V.</t>
  </si>
  <si>
    <t>Sotera Defense Solutions, Inc.</t>
  </si>
  <si>
    <t>SuperMedia Inc.</t>
  </si>
  <si>
    <t>Synagro Technologies, Inc.</t>
  </si>
  <si>
    <t>UniTek Global Services, Inc.</t>
  </si>
  <si>
    <t>Urbi, Desarrollos Urbanos, S.A.B. de C.V.</t>
  </si>
  <si>
    <t>Winsway Coking Coal Holdings Limited</t>
  </si>
  <si>
    <t>1yr SG defrt</t>
  </si>
  <si>
    <t>China</t>
  </si>
  <si>
    <t>European</t>
  </si>
  <si>
    <t>Non Finance</t>
  </si>
  <si>
    <t>Finance</t>
  </si>
  <si>
    <t>1982-2013</t>
  </si>
  <si>
    <t>Sr. Unsecured Bank Loan</t>
  </si>
  <si>
    <t>Sr. Subordinated Bond*</t>
  </si>
  <si>
    <t>* The average recovery for 2012's and 2013's second lien bank loans were based on three observations.</t>
  </si>
  <si>
    <t xml:space="preserve">   The average recovery for 2013's senior subordinated bonds was based on four issuers.</t>
  </si>
  <si>
    <t>1987-2013</t>
  </si>
  <si>
    <t>* 2013's senior unsecured bond recovery rate is based on five observations.</t>
  </si>
  <si>
    <t>Trailing_12m_Ending</t>
  </si>
  <si>
    <t>Baseline_Forecast</t>
  </si>
  <si>
    <t>Pessimistic_Forecast</t>
  </si>
  <si>
    <t>Media: Advertising, Printing &amp; Publishing*</t>
  </si>
  <si>
    <t>Aerospace &amp; Defense</t>
  </si>
  <si>
    <t>FIRE: Real Estate</t>
  </si>
  <si>
    <t>1983-2013</t>
  </si>
  <si>
    <t>Exhibit 17 - Annual Rated Global Corporate Bond and Loan Default Volumes, 1970 - 2013*</t>
  </si>
  <si>
    <t>Excel Maritime Carriers Ltd.</t>
  </si>
  <si>
    <t>JSC Alliance Bank</t>
  </si>
  <si>
    <t>Powerwave Technologies, Inc.</t>
  </si>
  <si>
    <t>School Specialty, Inc.</t>
  </si>
  <si>
    <t>Exhibit 19 - 2013 Defaulted Corporate Bond and Loan Recoveries*</t>
  </si>
  <si>
    <t>Exhibit 21 - Average Sr. Unsecured Bond Recovery Rates by Year Prior to Default, 1982 - 2013*</t>
  </si>
  <si>
    <t>Exhibit 22 - Average Cumulative Credit Loss Rates by Letter Rating, 1982 - 2013*</t>
  </si>
  <si>
    <t>From/To</t>
  </si>
  <si>
    <t>Exhibit 5 - Rating Drift Up Slightly in 2013</t>
  </si>
  <si>
    <t>Exhibit 6 - European Credit Quality Is Stabilizing</t>
  </si>
  <si>
    <t>Exhibit 8 - Average Corporate Debt Recovery Rates Measured by Ultimate Recoveries, 1987 - 2013</t>
  </si>
  <si>
    <t>Exhibit 9 - Credit Loss Rates Unchanged in 2013</t>
  </si>
  <si>
    <t>Exhibit 10 - Speculative-Grade Default Rate Expected to Stay low in 2014</t>
  </si>
  <si>
    <t>Exhibit 18 - Annual Issuer Default Counts and Volume Totals by Geographical Region, 1986-2013</t>
  </si>
  <si>
    <t>Exhibit 23 - Annual Credit Loss Rates by Letter Rating, 1982 - 2013*</t>
  </si>
  <si>
    <t>Exhibit 39 - Annual Volume-weighted Corporate Bond Default Rates by Letter Rating, 1994-2013*</t>
  </si>
  <si>
    <t>Exhibit 40 - Average Volume-weighted Corporate Bond Default Rates by Letter Rating, 1994-2013*</t>
  </si>
  <si>
    <t xml:space="preserve">     2013's subordinated bond recovery rate is based on one observation.</t>
  </si>
  <si>
    <t>in Jan 2013 cohort?**</t>
  </si>
  <si>
    <t>Lone Pine Resources Inc.***</t>
  </si>
  <si>
    <t>Table of Contents</t>
  </si>
  <si>
    <t>Exhibit 1 - Defaults Remained Low in 2013</t>
  </si>
  <si>
    <t>Exhibit 2 - 2013 Default Counts and Volumes by Broad Industry</t>
  </si>
  <si>
    <t>Exhibit 4 - Global Speculative-Grade Default Rate Remained Low in 2013</t>
  </si>
  <si>
    <t>Exhibit 13 - Median Ratings Prior to Default, 2013 vs. Long-Term Average</t>
  </si>
  <si>
    <t>Exhibit 14 - One- and Five-Year Average Default Position by Cohort Year, 1983 - 2013</t>
  </si>
  <si>
    <t>Exhibit 15 - Moody’s-Rated 2013 Corporate Bond and Loan Defaults*</t>
  </si>
  <si>
    <t>Annual Default Study: Corporate Default and Recovery Rates, 1920-2013 - Excel data</t>
  </si>
  <si>
    <t>Pct of Def Issr Count</t>
  </si>
  <si>
    <t>Pct of Def Vol</t>
  </si>
  <si>
    <t>Rating Drift</t>
  </si>
  <si>
    <t xml:space="preserve">* This list only includes companies that have rated bonds and/or loans within one year prior to default. Companies that only have Corporate </t>
  </si>
  <si>
    <t xml:space="preserve">   Family Ratings but no rated bonds or loans (e.g. Songa Offshore SE) are excluded. For details, please refer to footnote 1 on page 2.</t>
  </si>
  <si>
    <t>Zlomrex International Finance S.A.</t>
  </si>
  <si>
    <t>*** This company defaulted on debts that it guaranteed. Guaranteed debts are only added to the issuers but not the guarantors to avoid double counting.</t>
  </si>
  <si>
    <t>** Only issuers included in the Jan 1st cohort are included in Moody's default rates in this report.</t>
  </si>
  <si>
    <t>Bank of Cyprus Public Company Limited</t>
  </si>
  <si>
    <t>Irish Bank Resolution Corporation Limited****</t>
  </si>
  <si>
    <t>Banco CEISS**</t>
  </si>
  <si>
    <t>Banco Financiero y de Ahorros**</t>
  </si>
  <si>
    <t>Bank Finance and Credit, OJSC**</t>
  </si>
  <si>
    <t>Cyprus Popular Bank Public Co Ltd***</t>
  </si>
  <si>
    <t>NCG Banco S.A.**</t>
  </si>
  <si>
    <t>SNS Bank N.V.**</t>
  </si>
  <si>
    <t xml:space="preserve">          For those deposits that remained at IBRC at the time of liquidation, some were eligible to be covered by the joint safeguards of the DGS and/or the ELG scheme while others </t>
  </si>
  <si>
    <t xml:space="preserve">          were treated in the same way as other unsecured creditors.</t>
  </si>
  <si>
    <t>* Based on post default trading prices.</t>
  </si>
  <si>
    <t>** These banks did not default on their deposit obligations.</t>
  </si>
  <si>
    <t>*** Cyprus Popular Bank also defaulted on uninsured deposit obligations. Uninsured deposit recoveries are not reported in the above table due to unavailability of market data.</t>
  </si>
  <si>
    <t xml:space="preserve">**** The vast majority of IBRC's original deposit book moved to AIB and Permanent TSB in the first half of 2011 and those deposits were unaffected by IRBC's liquidation in 2013. </t>
  </si>
  <si>
    <r>
      <t xml:space="preserve">* </t>
    </r>
    <r>
      <rPr>
        <sz val="11"/>
        <color indexed="8"/>
        <rFont val="Calibri"/>
        <family val="2"/>
        <scheme val="minor"/>
      </rPr>
      <t>Last cohort formed on 1/1/2009</t>
    </r>
  </si>
  <si>
    <t>Exhibit 15 -  Moody’s-Rated 2013 Corporate Bond and Loan Defaults</t>
  </si>
  <si>
    <t>Exhibit 17 - Annual Rated Global Corporate Bond and Loan Default Volumes, 1970 - 2013</t>
  </si>
  <si>
    <t>Exhibit 19 - 2013 Defaulted Corporate Bond and Loan Recoveries</t>
  </si>
  <si>
    <t>Exhibit 20 - Annual Defaulted Corporate Bond and Loan Recoveries</t>
  </si>
  <si>
    <t>Exhibit 21 - Average Sr. Unsecured Bond Recovery Rates by Year Prior to Default, 1982 - 2013</t>
  </si>
  <si>
    <t>Exhibit 22 - Average Cumulative Credit Loss Rates by Letter Rating, 1982 - 2013</t>
  </si>
  <si>
    <t>Exhibit 23 - Annual Credit Loss Rates by Letter Rating, 1982 - 2013</t>
  </si>
  <si>
    <t>Exhibit 27 - Average Five-Year Letter Rating Migration Rates, 1970-2013</t>
  </si>
  <si>
    <t>Exhibit 28 - 2013 One-Year Alphanumeric Rating Migration Rates</t>
  </si>
  <si>
    <t>Exhibit 29 - Average One-Year Alphanumeric Rating Migration Rates, 1983-2013</t>
  </si>
  <si>
    <t>Exhibit 30 - Annual Issuer-Weighted Corporate Default Rates by Letter Rating, 1920-2013</t>
  </si>
  <si>
    <t>Exhibit 31 - Annual Issuer-Weighted Corporate Default Rates by Alphanumeric Rating, 1983-2013</t>
  </si>
  <si>
    <t>Exhibit 32 - Average Cumulative Issuer-Weighted Global Default Rates by Letter Rating, 1920-2013</t>
  </si>
  <si>
    <t>Exhibit 33 - Average Cumulative Issuer-Weighted Global Default Rates by Letter Rating, 1970-2013</t>
  </si>
  <si>
    <t>Exhibit 34 - Average Cumulative Issuer-Weighted Global Default Rates by Letter Rating, 1983-2013</t>
  </si>
  <si>
    <t>Exhibit 35 - Average Cumulative Issuer-Weighted Global Default Rates by Alphanumeric Rating, 1983-2013</t>
  </si>
  <si>
    <t>Exhibit 36 - Average Cumulative Issuer-Weighted Global Default Rates by Alphanumeric Rating, 1998-2013</t>
  </si>
  <si>
    <t>Exhibit 37 - Average Cumulative Issuer-Weighted Global Default Rates by Broad Industry Group, 1970-2013</t>
  </si>
  <si>
    <t>Exhibit 38 - Annual Default Rates by Broad Industry Group, 1970-2013</t>
  </si>
  <si>
    <t>Exhibit 39 - Annual Volume-weighted Corporate Bond Default Rates by Letter Rating, 1994-2013</t>
  </si>
  <si>
    <t>Exhibit 40 - Average Volume-weighted Corporate Bond Default Rates by Letter Rating, 1994-2013</t>
  </si>
  <si>
    <t>Exhibit 11 - Watchlist/Outlook Assignments for European Caa or Below Issuers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</si>
</sst>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quot;$&quot;#,##0_);[Red]\(&quot;$&quot;#,##0\)"/>
    <numFmt numFmtId="165" formatCode="_(* #,##0.00_);_(* \(#,##0.00\);_(* &quot;-&quot;??_);_(@_)"/>
    <numFmt numFmtId="166" formatCode="0.000%"/>
    <numFmt numFmtId="167" formatCode="0.000"/>
    <numFmt numFmtId="168" formatCode="_(* #,##0.000_);_(* \(#,##0.000\);_(* &quot;-&quot;??_);_(@_)"/>
    <numFmt numFmtId="169" formatCode="&quot;$&quot;#,##0"/>
    <numFmt numFmtId="170" formatCode="0.0%"/>
    <numFmt numFmtId="171" formatCode="m/d/yy;@"/>
    <numFmt numFmtId="172" formatCode="_(* #,##0.0_);_(* \(#,##0.0\);_(* &quot;-&quot;??_);_(@_)"/>
    <numFmt numFmtId="173" formatCode="0.0"/>
  </numFmts>
  <fonts count="22">
    <font>
      <sz val="11"/>
      <color theme="1"/>
      <name val="Calibri"/>
      <family val="2"/>
      <scheme val="minor"/>
    </font>
    <font>
      <b/>
      <sz val="11"/>
      <color theme="1"/>
      <name val="Calibri"/>
      <family val="2"/>
      <scheme val="minor"/>
    </font>
    <font>
      <sz val="11"/>
      <color theme="1"/>
      <name val="Calibri"/>
      <family val="2"/>
      <scheme val="minor"/>
    </font>
    <font>
      <b/>
      <sz val="10"/>
      <color theme="1"/>
      <name val="Arial"/>
      <family val="2"/>
    </font>
    <font>
      <sz val="10"/>
      <name val="Arial"/>
      <family val="2"/>
    </font>
    <font>
      <sz val="10"/>
      <color indexed="8"/>
      <name val="Arial"/>
      <family val="2"/>
    </font>
    <font>
      <sz val="11"/>
      <color rgb="FFFF0000"/>
      <name val="Calibri"/>
      <family val="2"/>
      <scheme val="minor"/>
    </font>
    <font>
      <sz val="11"/>
      <name val="Calibri"/>
      <family val="2"/>
      <scheme val="minor"/>
    </font>
    <font>
      <sz val="11"/>
      <color indexed="8"/>
      <name val="Calibri"/>
      <family val="2"/>
    </font>
    <font>
      <b/>
      <sz val="11"/>
      <name val="Calibri"/>
      <family val="2"/>
      <scheme val="minor"/>
    </font>
    <font>
      <b/>
      <sz val="10"/>
      <name val="Arial"/>
      <family val="2"/>
    </font>
    <font>
      <u/>
      <sz val="10"/>
      <color indexed="12"/>
      <name val="Arial"/>
      <family val="2"/>
    </font>
    <font>
      <sz val="10"/>
      <color indexed="8"/>
      <name val="Arial"/>
      <family val="2"/>
    </font>
    <font>
      <sz val="11"/>
      <color indexed="8"/>
      <name val="Calibri"/>
      <family val="2"/>
    </font>
    <font>
      <sz val="10"/>
      <name val="MS Sans Serif"/>
      <family val="2"/>
    </font>
    <font>
      <b/>
      <sz val="10"/>
      <color theme="1"/>
      <name val="Calibri"/>
      <family val="2"/>
    </font>
    <font>
      <sz val="20"/>
      <color theme="1"/>
      <name val="Bliss Pro Bold"/>
      <family val="3"/>
    </font>
    <font>
      <u/>
      <sz val="11"/>
      <color theme="10"/>
      <name val="Calibri"/>
      <family val="2"/>
    </font>
    <font>
      <u/>
      <sz val="10"/>
      <color theme="10"/>
      <name val="Arial"/>
      <family val="2"/>
    </font>
    <font>
      <b/>
      <sz val="11"/>
      <color theme="1"/>
      <name val="Calibri"/>
      <family val="2"/>
    </font>
    <font>
      <sz val="11"/>
      <color rgb="FF000000"/>
      <name val="Calibri"/>
      <family val="2"/>
      <scheme val="minor"/>
    </font>
    <font>
      <sz val="11"/>
      <color indexed="8"/>
      <name val="Calibri"/>
      <family val="2"/>
      <scheme val="minor"/>
    </font>
  </fonts>
  <fills count="2">
    <fill>
      <patternFill patternType="none"/>
    </fill>
    <fill>
      <patternFill patternType="gray125"/>
    </fill>
  </fills>
  <borders count="22">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0" tint="-0.34998626667073579"/>
      </bottom>
      <diagonal/>
    </border>
    <border>
      <left style="thin">
        <color indexed="64"/>
      </left>
      <right/>
      <top style="thin">
        <color indexed="64"/>
      </top>
      <bottom style="thin">
        <color theme="0" tint="-0.34998626667073579"/>
      </bottom>
      <diagonal/>
    </border>
    <border>
      <left/>
      <right/>
      <top style="thin">
        <color indexed="64"/>
      </top>
      <bottom style="thin">
        <color theme="0" tint="-0.34998626667073579"/>
      </bottom>
      <diagonal/>
    </border>
    <border>
      <left/>
      <right style="thin">
        <color indexed="64"/>
      </right>
      <top style="thin">
        <color indexed="64"/>
      </top>
      <bottom style="thin">
        <color theme="0" tint="-0.34998626667073579"/>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bottom/>
      <diagonal/>
    </border>
  </borders>
  <cellStyleXfs count="50">
    <xf numFmtId="0" fontId="0" fillId="0" borderId="0"/>
    <xf numFmtId="165" fontId="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165"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9" fontId="2" fillId="0" borderId="0" applyFont="0" applyFill="0" applyBorder="0" applyAlignment="0" applyProtection="0"/>
    <xf numFmtId="0" fontId="5" fillId="0" borderId="0"/>
    <xf numFmtId="0" fontId="5" fillId="0" borderId="0"/>
    <xf numFmtId="0" fontId="10" fillId="0" borderId="0" applyNumberFormat="0" applyFill="0" applyBorder="0" applyAlignment="0" applyProtection="0"/>
    <xf numFmtId="0" fontId="10" fillId="0" borderId="0" applyNumberFormat="0" applyFill="0" applyBorder="0" applyProtection="0">
      <alignment horizontal="right"/>
    </xf>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4" fillId="0" borderId="0"/>
    <xf numFmtId="0" fontId="4" fillId="0" borderId="0"/>
    <xf numFmtId="173" fontId="4" fillId="0" borderId="0">
      <alignment horizontal="right"/>
    </xf>
    <xf numFmtId="173" fontId="4" fillId="0" borderId="0">
      <alignment horizontal="right"/>
    </xf>
    <xf numFmtId="173" fontId="4" fillId="0" borderId="0">
      <alignment horizontal="right"/>
    </xf>
    <xf numFmtId="9" fontId="4" fillId="0" borderId="0" applyFont="0" applyFill="0" applyBorder="0" applyAlignment="0" applyProtection="0"/>
    <xf numFmtId="9" fontId="4" fillId="0" borderId="0" applyFont="0" applyFill="0" applyBorder="0" applyAlignment="0" applyProtection="0"/>
    <xf numFmtId="2" fontId="4" fillId="0" borderId="0" applyFont="0" applyFill="0" applyBorder="0" applyProtection="0">
      <alignment horizontal="right"/>
    </xf>
    <xf numFmtId="2" fontId="4" fillId="0" borderId="0" applyFont="0" applyFill="0" applyBorder="0" applyProtection="0">
      <alignment horizontal="right"/>
    </xf>
    <xf numFmtId="2" fontId="4" fillId="0" borderId="0" applyFont="0" applyFill="0" applyBorder="0" applyProtection="0">
      <alignment horizontal="right"/>
    </xf>
    <xf numFmtId="0" fontId="14" fillId="0" borderId="0"/>
    <xf numFmtId="0" fontId="12" fillId="0" borderId="0"/>
    <xf numFmtId="0" fontId="17" fillId="0" borderId="0" applyNumberFormat="0" applyFill="0" applyBorder="0" applyAlignment="0" applyProtection="0">
      <alignment vertical="top"/>
      <protection locked="0"/>
    </xf>
  </cellStyleXfs>
  <cellXfs count="341">
    <xf numFmtId="0" fontId="0" fillId="0" borderId="0" xfId="0"/>
    <xf numFmtId="0" fontId="1" fillId="0" borderId="0" xfId="0" applyFont="1"/>
    <xf numFmtId="0" fontId="3" fillId="0" borderId="0" xfId="0" applyFont="1"/>
    <xf numFmtId="0" fontId="4" fillId="0" borderId="0" xfId="9" applyFont="1" applyAlignment="1">
      <alignment horizontal="left"/>
    </xf>
    <xf numFmtId="0" fontId="4" fillId="0" borderId="0" xfId="9" applyFont="1" applyBorder="1" applyAlignment="1">
      <alignment horizontal="left"/>
    </xf>
    <xf numFmtId="10" fontId="0" fillId="0" borderId="0" xfId="0" applyNumberFormat="1"/>
    <xf numFmtId="0" fontId="0" fillId="0" borderId="10" xfId="0" applyBorder="1"/>
    <xf numFmtId="9" fontId="0" fillId="0" borderId="0" xfId="27" applyFont="1"/>
    <xf numFmtId="0" fontId="0" fillId="0" borderId="0" xfId="0" applyFill="1" applyBorder="1"/>
    <xf numFmtId="9" fontId="0" fillId="0" borderId="0" xfId="27" applyFont="1" applyFill="1"/>
    <xf numFmtId="0" fontId="0" fillId="0" borderId="0" xfId="0" applyFont="1"/>
    <xf numFmtId="170" fontId="0" fillId="0" borderId="0" xfId="0" applyNumberFormat="1" applyFont="1" applyBorder="1"/>
    <xf numFmtId="170" fontId="0" fillId="0" borderId="0" xfId="0" applyNumberFormat="1" applyFont="1"/>
    <xf numFmtId="170" fontId="0" fillId="0" borderId="1" xfId="0" applyNumberFormat="1" applyFont="1" applyBorder="1"/>
    <xf numFmtId="10" fontId="0" fillId="0" borderId="0" xfId="0" applyNumberFormat="1" applyFont="1"/>
    <xf numFmtId="0" fontId="7" fillId="0" borderId="10" xfId="0" applyFont="1" applyBorder="1"/>
    <xf numFmtId="0" fontId="7" fillId="0" borderId="0" xfId="25" applyFont="1" applyBorder="1" applyAlignment="1">
      <alignment wrapText="1"/>
    </xf>
    <xf numFmtId="0" fontId="7" fillId="0" borderId="0" xfId="25" applyFont="1" applyFill="1" applyBorder="1" applyAlignment="1">
      <alignment wrapText="1"/>
    </xf>
    <xf numFmtId="0" fontId="7" fillId="0" borderId="1" xfId="25" applyFont="1" applyBorder="1" applyAlignment="1">
      <alignment wrapText="1"/>
    </xf>
    <xf numFmtId="0" fontId="0" fillId="0" borderId="0" xfId="0" applyFont="1" applyAlignment="1">
      <alignment horizontal="left"/>
    </xf>
    <xf numFmtId="0" fontId="1" fillId="0" borderId="0" xfId="0" applyFont="1" applyAlignment="1">
      <alignment horizontal="left"/>
    </xf>
    <xf numFmtId="170" fontId="0" fillId="0" borderId="0" xfId="27" applyNumberFormat="1" applyFont="1"/>
    <xf numFmtId="0" fontId="0" fillId="0" borderId="0" xfId="0" applyAlignment="1">
      <alignment horizontal="left"/>
    </xf>
    <xf numFmtId="0" fontId="0" fillId="0" borderId="7" xfId="0" applyFont="1" applyBorder="1"/>
    <xf numFmtId="0" fontId="0" fillId="0" borderId="2" xfId="0" applyFont="1" applyBorder="1"/>
    <xf numFmtId="0" fontId="0" fillId="0" borderId="3" xfId="0" applyFont="1" applyBorder="1"/>
    <xf numFmtId="170" fontId="0" fillId="0" borderId="3" xfId="27" applyNumberFormat="1" applyFont="1" applyBorder="1"/>
    <xf numFmtId="170" fontId="0" fillId="0" borderId="0" xfId="27" applyNumberFormat="1" applyFont="1" applyBorder="1"/>
    <xf numFmtId="170" fontId="0" fillId="0" borderId="6" xfId="27" applyNumberFormat="1" applyFont="1" applyBorder="1"/>
    <xf numFmtId="170" fontId="0" fillId="0" borderId="0" xfId="27" applyNumberFormat="1" applyFont="1" applyBorder="1" applyAlignment="1">
      <alignment horizontal="right"/>
    </xf>
    <xf numFmtId="170" fontId="0" fillId="0" borderId="2" xfId="27" applyNumberFormat="1" applyFont="1" applyBorder="1" applyAlignment="1">
      <alignment horizontal="right"/>
    </xf>
    <xf numFmtId="170" fontId="0" fillId="0" borderId="1" xfId="27" applyNumberFormat="1" applyFont="1" applyBorder="1" applyAlignment="1">
      <alignment horizontal="right"/>
    </xf>
    <xf numFmtId="170" fontId="0" fillId="0" borderId="4" xfId="27" applyNumberFormat="1" applyFont="1" applyBorder="1"/>
    <xf numFmtId="0" fontId="0" fillId="0" borderId="2" xfId="0" applyFont="1" applyBorder="1" applyAlignment="1">
      <alignment horizontal="right"/>
    </xf>
    <xf numFmtId="0" fontId="7" fillId="0" borderId="14" xfId="0" applyFont="1" applyBorder="1" applyAlignment="1">
      <alignment horizontal="center" vertical="center"/>
    </xf>
    <xf numFmtId="0" fontId="7" fillId="0" borderId="13" xfId="0" applyFont="1" applyBorder="1" applyAlignment="1">
      <alignment horizontal="left" vertical="center"/>
    </xf>
    <xf numFmtId="0" fontId="7" fillId="0" borderId="12" xfId="0" applyFont="1" applyBorder="1" applyAlignment="1">
      <alignment horizontal="right" vertical="center"/>
    </xf>
    <xf numFmtId="0" fontId="7" fillId="0" borderId="10" xfId="0" applyFont="1" applyBorder="1" applyAlignment="1">
      <alignment horizontal="right" vertical="center"/>
    </xf>
    <xf numFmtId="0" fontId="7" fillId="0" borderId="5" xfId="0" applyFont="1" applyBorder="1" applyAlignment="1">
      <alignment horizontal="right" vertical="center"/>
    </xf>
    <xf numFmtId="0" fontId="7" fillId="0" borderId="15" xfId="0" applyFont="1" applyBorder="1" applyAlignment="1">
      <alignment horizontal="left" vertical="center"/>
    </xf>
    <xf numFmtId="170" fontId="7" fillId="0" borderId="16" xfId="27" applyNumberFormat="1" applyFont="1" applyBorder="1" applyAlignment="1">
      <alignment horizontal="right" vertical="center"/>
    </xf>
    <xf numFmtId="170" fontId="7" fillId="0" borderId="17" xfId="27" applyNumberFormat="1" applyFont="1" applyBorder="1" applyAlignment="1">
      <alignment horizontal="right" vertical="center"/>
    </xf>
    <xf numFmtId="170" fontId="7" fillId="0" borderId="18" xfId="27" applyNumberFormat="1" applyFont="1" applyBorder="1" applyAlignment="1">
      <alignment horizontal="right" vertical="center"/>
    </xf>
    <xf numFmtId="0" fontId="7" fillId="0" borderId="19" xfId="0" applyFont="1" applyBorder="1" applyAlignment="1">
      <alignment horizontal="left" vertical="center"/>
    </xf>
    <xf numFmtId="170" fontId="7" fillId="0" borderId="3" xfId="27" applyNumberFormat="1" applyFont="1" applyBorder="1" applyAlignment="1">
      <alignment horizontal="right" vertical="center"/>
    </xf>
    <xf numFmtId="170" fontId="7" fillId="0" borderId="0" xfId="27" applyNumberFormat="1" applyFont="1" applyBorder="1" applyAlignment="1">
      <alignment horizontal="right" vertical="center"/>
    </xf>
    <xf numFmtId="170" fontId="7" fillId="0" borderId="6" xfId="27" applyNumberFormat="1" applyFont="1" applyBorder="1" applyAlignment="1">
      <alignment horizontal="right" vertical="center"/>
    </xf>
    <xf numFmtId="170" fontId="7" fillId="0" borderId="2" xfId="27" applyNumberFormat="1" applyFont="1" applyBorder="1" applyAlignment="1">
      <alignment horizontal="right" vertical="center"/>
    </xf>
    <xf numFmtId="170" fontId="7" fillId="0" borderId="1" xfId="27" applyNumberFormat="1" applyFont="1" applyBorder="1" applyAlignment="1">
      <alignment horizontal="right" vertical="center"/>
    </xf>
    <xf numFmtId="170" fontId="7" fillId="0" borderId="4" xfId="27" applyNumberFormat="1" applyFont="1" applyBorder="1" applyAlignment="1">
      <alignment horizontal="right" vertical="center"/>
    </xf>
    <xf numFmtId="0" fontId="7" fillId="0" borderId="19" xfId="0" applyFont="1" applyFill="1" applyBorder="1" applyAlignment="1">
      <alignment horizontal="left" vertical="center"/>
    </xf>
    <xf numFmtId="17" fontId="8" fillId="0" borderId="10" xfId="29" applyNumberFormat="1" applyFont="1" applyFill="1" applyBorder="1" applyAlignment="1">
      <alignment horizontal="center"/>
    </xf>
    <xf numFmtId="170" fontId="0" fillId="0" borderId="8" xfId="0" applyNumberFormat="1" applyFont="1" applyBorder="1"/>
    <xf numFmtId="0" fontId="0" fillId="0" borderId="12" xfId="0" applyBorder="1"/>
    <xf numFmtId="170" fontId="0" fillId="0" borderId="5" xfId="27" applyNumberFormat="1" applyFont="1" applyBorder="1" applyAlignment="1">
      <alignment horizontal="right"/>
    </xf>
    <xf numFmtId="0" fontId="0" fillId="0" borderId="3" xfId="0" applyBorder="1"/>
    <xf numFmtId="170" fontId="0" fillId="0" borderId="6" xfId="0" applyNumberFormat="1" applyBorder="1"/>
    <xf numFmtId="0" fontId="0" fillId="0" borderId="2" xfId="0" applyBorder="1"/>
    <xf numFmtId="170" fontId="0" fillId="0" borderId="4" xfId="0" applyNumberFormat="1" applyBorder="1"/>
    <xf numFmtId="0" fontId="0" fillId="0" borderId="7" xfId="0" applyBorder="1"/>
    <xf numFmtId="170" fontId="0" fillId="0" borderId="9" xfId="27" applyNumberFormat="1" applyFont="1" applyBorder="1"/>
    <xf numFmtId="170" fontId="0" fillId="0" borderId="20" xfId="27" applyNumberFormat="1" applyFont="1" applyBorder="1" applyAlignment="1">
      <alignment horizontal="right"/>
    </xf>
    <xf numFmtId="170" fontId="0" fillId="0" borderId="14" xfId="27" applyNumberFormat="1" applyFont="1" applyBorder="1"/>
    <xf numFmtId="170" fontId="0" fillId="0" borderId="19" xfId="27" applyNumberFormat="1" applyFont="1" applyBorder="1"/>
    <xf numFmtId="170" fontId="0" fillId="0" borderId="19" xfId="0" applyNumberFormat="1" applyBorder="1"/>
    <xf numFmtId="170" fontId="0" fillId="0" borderId="13" xfId="0" applyNumberFormat="1" applyBorder="1"/>
    <xf numFmtId="0" fontId="7" fillId="0" borderId="0" xfId="2" applyFont="1"/>
    <xf numFmtId="9" fontId="0" fillId="0" borderId="0" xfId="0" applyNumberFormat="1" applyFont="1"/>
    <xf numFmtId="9" fontId="7" fillId="0" borderId="0" xfId="2" applyNumberFormat="1" applyFont="1"/>
    <xf numFmtId="0" fontId="0" fillId="0" borderId="0" xfId="0" applyFont="1" applyBorder="1"/>
    <xf numFmtId="0" fontId="0" fillId="0" borderId="0" xfId="0" applyFont="1" applyFill="1" applyBorder="1"/>
    <xf numFmtId="0" fontId="7" fillId="0" borderId="0" xfId="0" applyFont="1" applyFill="1" applyBorder="1"/>
    <xf numFmtId="0" fontId="0" fillId="0" borderId="10" xfId="0" applyFont="1" applyBorder="1" applyAlignment="1">
      <alignment horizontal="right"/>
    </xf>
    <xf numFmtId="10" fontId="0" fillId="0" borderId="0" xfId="27" applyNumberFormat="1" applyFont="1"/>
    <xf numFmtId="0" fontId="0" fillId="0" borderId="0" xfId="0" applyFont="1" applyFill="1"/>
    <xf numFmtId="0" fontId="6" fillId="0" borderId="0" xfId="0" applyFont="1"/>
    <xf numFmtId="167" fontId="0" fillId="0" borderId="0" xfId="0" applyNumberFormat="1" applyFont="1"/>
    <xf numFmtId="0" fontId="6" fillId="0" borderId="0" xfId="0" applyFont="1" applyBorder="1"/>
    <xf numFmtId="14" fontId="0" fillId="0" borderId="0" xfId="0" applyNumberFormat="1" applyFont="1"/>
    <xf numFmtId="0" fontId="1" fillId="0" borderId="0" xfId="0" applyFont="1"/>
    <xf numFmtId="0" fontId="1" fillId="0" borderId="0" xfId="0" applyFont="1" applyBorder="1"/>
    <xf numFmtId="11" fontId="0" fillId="0" borderId="0" xfId="0" applyNumberFormat="1" applyFont="1"/>
    <xf numFmtId="167" fontId="7" fillId="0" borderId="0" xfId="7" applyNumberFormat="1" applyFont="1" applyFill="1" applyBorder="1"/>
    <xf numFmtId="167" fontId="0" fillId="0" borderId="0" xfId="0" applyNumberFormat="1" applyFont="1" applyFill="1" applyBorder="1" applyAlignment="1">
      <alignment horizontal="right" wrapText="1"/>
    </xf>
    <xf numFmtId="1" fontId="0" fillId="0" borderId="0" xfId="0" applyNumberFormat="1"/>
    <xf numFmtId="0" fontId="0" fillId="0" borderId="1" xfId="0" applyBorder="1"/>
    <xf numFmtId="10" fontId="0" fillId="0" borderId="10" xfId="27" applyNumberFormat="1" applyFont="1" applyBorder="1"/>
    <xf numFmtId="14" fontId="0" fillId="0" borderId="0" xfId="0" applyNumberFormat="1"/>
    <xf numFmtId="15" fontId="8" fillId="0" borderId="0" xfId="28" applyNumberFormat="1" applyFont="1" applyFill="1" applyBorder="1" applyAlignment="1">
      <alignment horizontal="right" wrapText="1"/>
    </xf>
    <xf numFmtId="0" fontId="8" fillId="0" borderId="0" xfId="28" applyFont="1" applyFill="1" applyBorder="1" applyAlignment="1">
      <alignment horizontal="right" wrapText="1"/>
    </xf>
    <xf numFmtId="14" fontId="8" fillId="0" borderId="0" xfId="28" applyNumberFormat="1" applyFont="1" applyFill="1" applyBorder="1" applyAlignment="1">
      <alignment horizontal="right" wrapText="1"/>
    </xf>
    <xf numFmtId="165" fontId="8" fillId="0" borderId="0" xfId="1" applyFont="1" applyFill="1" applyBorder="1" applyAlignment="1">
      <alignment horizontal="right" wrapText="1"/>
    </xf>
    <xf numFmtId="0" fontId="0" fillId="0" borderId="4" xfId="0" applyBorder="1" applyAlignment="1">
      <alignment horizontal="right"/>
    </xf>
    <xf numFmtId="170" fontId="0" fillId="0" borderId="8" xfId="27" applyNumberFormat="1" applyFont="1" applyBorder="1"/>
    <xf numFmtId="0" fontId="4" fillId="0" borderId="1" xfId="9" applyFont="1" applyBorder="1" applyAlignment="1">
      <alignment horizontal="left"/>
    </xf>
    <xf numFmtId="168" fontId="4" fillId="0" borderId="1" xfId="11" applyNumberFormat="1" applyFont="1" applyBorder="1"/>
    <xf numFmtId="168" fontId="4" fillId="0" borderId="1" xfId="11" applyNumberFormat="1" applyFont="1" applyFill="1" applyBorder="1"/>
    <xf numFmtId="0" fontId="8" fillId="0" borderId="4" xfId="29" applyFont="1" applyFill="1" applyBorder="1" applyAlignment="1">
      <alignment horizontal="left"/>
    </xf>
    <xf numFmtId="0" fontId="8" fillId="0" borderId="6" xfId="29" applyFont="1" applyFill="1" applyBorder="1" applyAlignment="1">
      <alignment wrapText="1"/>
    </xf>
    <xf numFmtId="0" fontId="8" fillId="0" borderId="4" xfId="29" applyFont="1" applyFill="1" applyBorder="1" applyAlignment="1">
      <alignment wrapText="1"/>
    </xf>
    <xf numFmtId="0" fontId="8" fillId="0" borderId="9" xfId="29" applyFont="1" applyFill="1" applyBorder="1" applyAlignment="1">
      <alignment wrapText="1"/>
    </xf>
    <xf numFmtId="15" fontId="13" fillId="0" borderId="11" xfId="48" applyNumberFormat="1" applyFont="1" applyFill="1" applyBorder="1" applyAlignment="1">
      <alignment horizontal="right" wrapText="1"/>
    </xf>
    <xf numFmtId="0" fontId="13" fillId="0" borderId="11" xfId="48" applyFont="1" applyFill="1" applyBorder="1" applyAlignment="1">
      <alignment horizontal="right" wrapText="1"/>
    </xf>
    <xf numFmtId="0" fontId="15" fillId="0" borderId="0" xfId="0" applyFont="1"/>
    <xf numFmtId="0" fontId="9" fillId="0" borderId="0" xfId="0" applyFont="1"/>
    <xf numFmtId="0" fontId="0" fillId="0" borderId="12" xfId="0" applyFont="1" applyBorder="1" applyAlignment="1"/>
    <xf numFmtId="0" fontId="0" fillId="0" borderId="10" xfId="0" applyFont="1" applyBorder="1" applyAlignment="1"/>
    <xf numFmtId="0" fontId="0" fillId="0" borderId="5" xfId="0" applyFont="1" applyBorder="1" applyAlignment="1"/>
    <xf numFmtId="0" fontId="7" fillId="0" borderId="12" xfId="0" applyFont="1" applyBorder="1" applyAlignment="1">
      <alignment vertical="top"/>
    </xf>
    <xf numFmtId="0" fontId="7" fillId="0" borderId="10" xfId="0" applyFont="1" applyBorder="1" applyAlignment="1">
      <alignment vertical="top"/>
    </xf>
    <xf numFmtId="0" fontId="7" fillId="0" borderId="5" xfId="0" applyFont="1" applyBorder="1" applyAlignment="1">
      <alignment vertical="top"/>
    </xf>
    <xf numFmtId="0" fontId="7" fillId="0" borderId="12" xfId="0" applyFont="1" applyBorder="1" applyAlignment="1">
      <alignment vertical="center"/>
    </xf>
    <xf numFmtId="0" fontId="7" fillId="0" borderId="10" xfId="0" applyFont="1" applyBorder="1" applyAlignment="1">
      <alignment vertical="center"/>
    </xf>
    <xf numFmtId="0" fontId="7" fillId="0" borderId="5" xfId="0" applyFont="1" applyBorder="1" applyAlignment="1">
      <alignment vertical="center"/>
    </xf>
    <xf numFmtId="0" fontId="0" fillId="0" borderId="1" xfId="0" applyFont="1" applyBorder="1" applyAlignment="1"/>
    <xf numFmtId="168" fontId="0" fillId="0" borderId="0" xfId="1" applyNumberFormat="1" applyFont="1"/>
    <xf numFmtId="172" fontId="0" fillId="0" borderId="0" xfId="1" applyNumberFormat="1" applyFont="1" applyFill="1"/>
    <xf numFmtId="172" fontId="0" fillId="0" borderId="10" xfId="1" applyNumberFormat="1" applyFont="1" applyFill="1" applyBorder="1"/>
    <xf numFmtId="10" fontId="0" fillId="0" borderId="0" xfId="0" applyNumberFormat="1" applyFont="1" applyFill="1"/>
    <xf numFmtId="170" fontId="0" fillId="0" borderId="3" xfId="27" applyNumberFormat="1" applyFont="1" applyFill="1" applyBorder="1"/>
    <xf numFmtId="170" fontId="0" fillId="0" borderId="9" xfId="27" applyNumberFormat="1" applyFont="1" applyFill="1" applyBorder="1"/>
    <xf numFmtId="170" fontId="0" fillId="0" borderId="6" xfId="27" applyNumberFormat="1" applyFont="1" applyFill="1" applyBorder="1"/>
    <xf numFmtId="170" fontId="0" fillId="0" borderId="0" xfId="27" applyNumberFormat="1" applyFont="1" applyFill="1" applyBorder="1"/>
    <xf numFmtId="0" fontId="1" fillId="0" borderId="0" xfId="0" applyFont="1" applyFill="1" applyBorder="1"/>
    <xf numFmtId="0" fontId="6" fillId="0" borderId="0" xfId="0" applyFont="1" applyFill="1" applyBorder="1"/>
    <xf numFmtId="0" fontId="1" fillId="0" borderId="0" xfId="0" applyFont="1" applyFill="1" applyBorder="1" applyAlignment="1">
      <alignment horizontal="left"/>
    </xf>
    <xf numFmtId="0" fontId="0" fillId="0" borderId="0" xfId="0" applyFont="1" applyFill="1" applyAlignment="1">
      <alignment horizontal="left"/>
    </xf>
    <xf numFmtId="0" fontId="1" fillId="0" borderId="0" xfId="0" applyFont="1" applyFill="1"/>
    <xf numFmtId="0" fontId="0" fillId="0" borderId="0" xfId="0" applyFont="1" applyFill="1" applyAlignment="1">
      <alignment horizontal="right"/>
    </xf>
    <xf numFmtId="0" fontId="0" fillId="0" borderId="0" xfId="0" applyFill="1"/>
    <xf numFmtId="0" fontId="0" fillId="0" borderId="10" xfId="0" applyFill="1" applyBorder="1"/>
    <xf numFmtId="0" fontId="16" fillId="0" borderId="0" xfId="0" applyFont="1"/>
    <xf numFmtId="0" fontId="18" fillId="0" borderId="0" xfId="49" applyFont="1" applyAlignment="1" applyProtection="1"/>
    <xf numFmtId="0" fontId="19" fillId="0" borderId="0" xfId="0" applyFont="1"/>
    <xf numFmtId="0" fontId="0" fillId="0" borderId="10" xfId="0" applyBorder="1"/>
    <xf numFmtId="0" fontId="0" fillId="0" borderId="0" xfId="0" applyBorder="1"/>
    <xf numFmtId="9" fontId="0" fillId="0" borderId="0" xfId="27" applyFont="1" applyBorder="1"/>
    <xf numFmtId="0" fontId="0" fillId="0" borderId="1" xfId="0" applyFill="1" applyBorder="1" applyAlignment="1">
      <alignment horizontal="right"/>
    </xf>
    <xf numFmtId="0" fontId="8" fillId="0" borderId="1" xfId="28" applyFont="1" applyFill="1" applyBorder="1" applyAlignment="1">
      <alignment horizontal="center"/>
    </xf>
    <xf numFmtId="170" fontId="8" fillId="0" borderId="21" xfId="27" applyNumberFormat="1" applyFont="1" applyFill="1" applyBorder="1" applyAlignment="1">
      <alignment horizontal="right" wrapText="1"/>
    </xf>
    <xf numFmtId="14" fontId="0" fillId="0" borderId="0" xfId="0" applyNumberFormat="1" applyBorder="1"/>
    <xf numFmtId="170" fontId="8" fillId="0" borderId="0" xfId="27" applyNumberFormat="1" applyFont="1" applyFill="1" applyBorder="1" applyAlignment="1">
      <alignment horizontal="right" wrapText="1"/>
    </xf>
    <xf numFmtId="0" fontId="4" fillId="0" borderId="0" xfId="9" applyFont="1" applyFill="1" applyBorder="1" applyAlignment="1">
      <alignment horizontal="left"/>
    </xf>
    <xf numFmtId="165" fontId="7" fillId="0" borderId="0" xfId="2" applyNumberFormat="1" applyFont="1"/>
    <xf numFmtId="0" fontId="7" fillId="0" borderId="1" xfId="2" applyFont="1" applyBorder="1" applyAlignment="1">
      <alignment horizontal="left"/>
    </xf>
    <xf numFmtId="1" fontId="7" fillId="0" borderId="1" xfId="2" applyNumberFormat="1" applyFont="1" applyBorder="1"/>
    <xf numFmtId="165" fontId="7" fillId="0" borderId="1" xfId="2" applyNumberFormat="1" applyFont="1" applyBorder="1" applyAlignment="1">
      <alignment horizontal="right"/>
    </xf>
    <xf numFmtId="0" fontId="7" fillId="0" borderId="0" xfId="2" applyFont="1" applyAlignment="1">
      <alignment horizontal="left"/>
    </xf>
    <xf numFmtId="0" fontId="9" fillId="0" borderId="1" xfId="2" applyFont="1" applyBorder="1" applyAlignment="1">
      <alignment horizontal="left"/>
    </xf>
    <xf numFmtId="0" fontId="9" fillId="0" borderId="1" xfId="2" applyFont="1" applyBorder="1"/>
    <xf numFmtId="165" fontId="7" fillId="0" borderId="0" xfId="1" applyFont="1"/>
    <xf numFmtId="170" fontId="7" fillId="0" borderId="0" xfId="1" applyNumberFormat="1" applyFont="1"/>
    <xf numFmtId="3" fontId="0" fillId="0" borderId="0" xfId="0" applyNumberFormat="1" applyFont="1"/>
    <xf numFmtId="14" fontId="1" fillId="0" borderId="0" xfId="0" applyNumberFormat="1" applyFont="1"/>
    <xf numFmtId="0" fontId="0" fillId="0" borderId="10" xfId="0" applyFont="1" applyBorder="1"/>
    <xf numFmtId="0" fontId="0" fillId="0" borderId="10" xfId="0" applyFont="1" applyBorder="1" applyAlignment="1">
      <alignment wrapText="1"/>
    </xf>
    <xf numFmtId="0" fontId="0" fillId="0" borderId="0" xfId="0" applyFont="1" applyAlignment="1">
      <alignment horizontal="center"/>
    </xf>
    <xf numFmtId="3" fontId="0" fillId="0" borderId="0" xfId="0" applyNumberFormat="1" applyFont="1" applyBorder="1"/>
    <xf numFmtId="0" fontId="0" fillId="0" borderId="0" xfId="0" applyFont="1" applyBorder="1" applyAlignment="1">
      <alignment horizontal="center"/>
    </xf>
    <xf numFmtId="1" fontId="0" fillId="0" borderId="0" xfId="0" applyNumberFormat="1" applyFont="1"/>
    <xf numFmtId="0" fontId="0" fillId="0" borderId="1" xfId="0" applyFont="1" applyBorder="1"/>
    <xf numFmtId="1" fontId="0" fillId="0" borderId="1" xfId="0" applyNumberFormat="1" applyFont="1" applyBorder="1"/>
    <xf numFmtId="0" fontId="0" fillId="0" borderId="1" xfId="0" applyFont="1" applyBorder="1" applyAlignment="1">
      <alignment horizontal="center"/>
    </xf>
    <xf numFmtId="172" fontId="0" fillId="0" borderId="0" xfId="1" applyNumberFormat="1" applyFont="1"/>
    <xf numFmtId="0" fontId="7" fillId="0" borderId="10" xfId="15" applyFont="1" applyFill="1" applyBorder="1" applyAlignment="1">
      <alignment horizontal="left"/>
    </xf>
    <xf numFmtId="0" fontId="7" fillId="0" borderId="10" xfId="15" applyFont="1" applyFill="1" applyBorder="1" applyAlignment="1">
      <alignment horizontal="right"/>
    </xf>
    <xf numFmtId="0" fontId="7" fillId="0" borderId="0" xfId="16" applyFont="1" applyFill="1" applyBorder="1" applyAlignment="1">
      <alignment horizontal="left" wrapText="1"/>
    </xf>
    <xf numFmtId="0" fontId="0" fillId="0" borderId="12" xfId="0" applyFont="1" applyBorder="1" applyAlignment="1">
      <alignment vertical="top"/>
    </xf>
    <xf numFmtId="0" fontId="20" fillId="0" borderId="12" xfId="0" applyFont="1" applyBorder="1" applyAlignment="1">
      <alignment vertical="top"/>
    </xf>
    <xf numFmtId="0" fontId="20" fillId="0" borderId="12" xfId="0" applyFont="1" applyBorder="1" applyAlignment="1">
      <alignment horizontal="right"/>
    </xf>
    <xf numFmtId="0" fontId="20" fillId="0" borderId="10" xfId="0" applyFont="1" applyBorder="1" applyAlignment="1">
      <alignment horizontal="right"/>
    </xf>
    <xf numFmtId="0" fontId="20" fillId="0" borderId="5" xfId="0" applyFont="1" applyBorder="1" applyAlignment="1">
      <alignment horizontal="right"/>
    </xf>
    <xf numFmtId="0" fontId="20" fillId="0" borderId="7" xfId="0" applyFont="1" applyBorder="1" applyAlignment="1">
      <alignment horizontal="left" vertical="top"/>
    </xf>
    <xf numFmtId="164" fontId="20" fillId="0" borderId="7" xfId="0" applyNumberFormat="1" applyFont="1" applyBorder="1" applyAlignment="1">
      <alignment horizontal="right"/>
    </xf>
    <xf numFmtId="164" fontId="20" fillId="0" borderId="8" xfId="0" applyNumberFormat="1" applyFont="1" applyBorder="1" applyAlignment="1">
      <alignment horizontal="right"/>
    </xf>
    <xf numFmtId="164" fontId="20" fillId="0" borderId="9" xfId="0" applyNumberFormat="1" applyFont="1" applyBorder="1" applyAlignment="1">
      <alignment horizontal="right"/>
    </xf>
    <xf numFmtId="0" fontId="20" fillId="0" borderId="3" xfId="0" applyFont="1" applyBorder="1" applyAlignment="1">
      <alignment horizontal="left" vertical="top"/>
    </xf>
    <xf numFmtId="164" fontId="20" fillId="0" borderId="3" xfId="0" applyNumberFormat="1" applyFont="1" applyBorder="1" applyAlignment="1">
      <alignment horizontal="right"/>
    </xf>
    <xf numFmtId="164" fontId="20" fillId="0" borderId="0" xfId="0" applyNumberFormat="1" applyFont="1" applyBorder="1" applyAlignment="1">
      <alignment horizontal="right"/>
    </xf>
    <xf numFmtId="164" fontId="20" fillId="0" borderId="6" xfId="0" applyNumberFormat="1" applyFont="1" applyBorder="1" applyAlignment="1">
      <alignment horizontal="right"/>
    </xf>
    <xf numFmtId="0" fontId="20" fillId="0" borderId="3" xfId="0" applyFont="1" applyFill="1" applyBorder="1" applyAlignment="1">
      <alignment horizontal="left" vertical="top"/>
    </xf>
    <xf numFmtId="164" fontId="20" fillId="0" borderId="3" xfId="0" applyNumberFormat="1" applyFont="1" applyFill="1" applyBorder="1" applyAlignment="1">
      <alignment horizontal="right"/>
    </xf>
    <xf numFmtId="164" fontId="20" fillId="0" borderId="0" xfId="0" applyNumberFormat="1" applyFont="1" applyFill="1" applyBorder="1" applyAlignment="1">
      <alignment horizontal="right"/>
    </xf>
    <xf numFmtId="164" fontId="20" fillId="0" borderId="6" xfId="0" applyNumberFormat="1" applyFont="1" applyFill="1" applyBorder="1" applyAlignment="1">
      <alignment horizontal="right"/>
    </xf>
    <xf numFmtId="0" fontId="20" fillId="0" borderId="2" xfId="0" applyFont="1" applyBorder="1" applyAlignment="1">
      <alignment horizontal="left" vertical="top"/>
    </xf>
    <xf numFmtId="164" fontId="20" fillId="0" borderId="2" xfId="0" applyNumberFormat="1" applyFont="1" applyBorder="1" applyAlignment="1">
      <alignment horizontal="right"/>
    </xf>
    <xf numFmtId="164" fontId="20" fillId="0" borderId="1" xfId="0" applyNumberFormat="1" applyFont="1" applyBorder="1" applyAlignment="1">
      <alignment horizontal="right"/>
    </xf>
    <xf numFmtId="164" fontId="20" fillId="0" borderId="4" xfId="0" applyNumberFormat="1" applyFont="1" applyBorder="1" applyAlignment="1">
      <alignment horizontal="right"/>
    </xf>
    <xf numFmtId="164" fontId="20" fillId="0" borderId="2" xfId="0" applyNumberFormat="1" applyFont="1" applyFill="1" applyBorder="1" applyAlignment="1">
      <alignment horizontal="right"/>
    </xf>
    <xf numFmtId="164" fontId="20" fillId="0" borderId="1" xfId="0" applyNumberFormat="1" applyFont="1" applyFill="1" applyBorder="1" applyAlignment="1">
      <alignment horizontal="right"/>
    </xf>
    <xf numFmtId="164" fontId="20" fillId="0" borderId="4" xfId="0" applyNumberFormat="1" applyFont="1" applyFill="1" applyBorder="1" applyAlignment="1">
      <alignment horizontal="right"/>
    </xf>
    <xf numFmtId="0" fontId="20" fillId="0" borderId="8" xfId="0" applyFont="1" applyBorder="1" applyAlignment="1">
      <alignment vertical="top"/>
    </xf>
    <xf numFmtId="0" fontId="21" fillId="0" borderId="2" xfId="18" applyFont="1" applyFill="1" applyBorder="1" applyAlignment="1">
      <alignment horizontal="left"/>
    </xf>
    <xf numFmtId="0" fontId="0" fillId="0" borderId="3" xfId="0" applyFont="1" applyFill="1" applyBorder="1" applyAlignment="1">
      <alignment horizontal="left" wrapText="1"/>
    </xf>
    <xf numFmtId="0" fontId="0" fillId="0" borderId="0" xfId="0" applyFont="1" applyFill="1" applyBorder="1" applyAlignment="1">
      <alignment horizontal="left" wrapText="1"/>
    </xf>
    <xf numFmtId="0" fontId="0" fillId="0" borderId="6" xfId="0" applyFont="1" applyFill="1" applyBorder="1" applyAlignment="1">
      <alignment horizontal="left" wrapText="1"/>
    </xf>
    <xf numFmtId="0" fontId="7" fillId="0" borderId="1" xfId="18" applyFont="1" applyFill="1" applyBorder="1" applyAlignment="1">
      <alignment horizontal="left" wrapText="1"/>
    </xf>
    <xf numFmtId="0" fontId="7" fillId="0" borderId="1" xfId="0" applyFont="1" applyFill="1" applyBorder="1" applyAlignment="1">
      <alignment horizontal="left" wrapText="1"/>
    </xf>
    <xf numFmtId="0" fontId="7" fillId="0" borderId="5" xfId="0" applyFont="1" applyFill="1" applyBorder="1" applyAlignment="1">
      <alignment horizontal="left" wrapText="1"/>
    </xf>
    <xf numFmtId="0" fontId="21" fillId="0" borderId="3" xfId="18" applyFont="1" applyFill="1" applyBorder="1" applyAlignment="1">
      <alignment wrapText="1"/>
    </xf>
    <xf numFmtId="0" fontId="0" fillId="0" borderId="8" xfId="0" applyFont="1" applyBorder="1"/>
    <xf numFmtId="169" fontId="7" fillId="0" borderId="0" xfId="18" applyNumberFormat="1" applyFont="1" applyFill="1" applyBorder="1" applyAlignment="1">
      <alignment wrapText="1"/>
    </xf>
    <xf numFmtId="169" fontId="7" fillId="0" borderId="0" xfId="0" applyNumberFormat="1" applyFont="1" applyFill="1" applyBorder="1"/>
    <xf numFmtId="169" fontId="7" fillId="0" borderId="6" xfId="0" applyNumberFormat="1" applyFont="1" applyFill="1" applyBorder="1"/>
    <xf numFmtId="0" fontId="0" fillId="0" borderId="6" xfId="0" applyFont="1" applyFill="1" applyBorder="1"/>
    <xf numFmtId="0" fontId="0" fillId="0" borderId="3" xfId="0" applyFont="1" applyFill="1" applyBorder="1"/>
    <xf numFmtId="0" fontId="21" fillId="0" borderId="2" xfId="18" applyFont="1" applyFill="1" applyBorder="1" applyAlignment="1">
      <alignment wrapText="1"/>
    </xf>
    <xf numFmtId="0" fontId="0" fillId="0" borderId="1" xfId="0" applyFont="1" applyFill="1" applyBorder="1"/>
    <xf numFmtId="0" fontId="0" fillId="0" borderId="4" xfId="0" applyFont="1" applyFill="1" applyBorder="1"/>
    <xf numFmtId="169" fontId="7" fillId="0" borderId="1" xfId="18" applyNumberFormat="1" applyFont="1" applyFill="1" applyBorder="1" applyAlignment="1">
      <alignment wrapText="1"/>
    </xf>
    <xf numFmtId="169" fontId="7" fillId="0" borderId="1" xfId="0" applyNumberFormat="1" applyFont="1" applyFill="1" applyBorder="1"/>
    <xf numFmtId="169" fontId="7" fillId="0" borderId="4" xfId="0" applyNumberFormat="1" applyFont="1" applyFill="1" applyBorder="1"/>
    <xf numFmtId="170" fontId="0" fillId="0" borderId="12" xfId="27" applyNumberFormat="1" applyFont="1" applyBorder="1"/>
    <xf numFmtId="170" fontId="0" fillId="0" borderId="5" xfId="27" applyNumberFormat="1" applyFont="1" applyBorder="1"/>
    <xf numFmtId="170" fontId="0" fillId="0" borderId="10" xfId="27" applyNumberFormat="1" applyFont="1" applyBorder="1"/>
    <xf numFmtId="0" fontId="20" fillId="0" borderId="4" xfId="0" applyFont="1" applyBorder="1"/>
    <xf numFmtId="170" fontId="0" fillId="0" borderId="2" xfId="27" applyNumberFormat="1" applyFont="1" applyBorder="1"/>
    <xf numFmtId="170" fontId="0" fillId="0" borderId="1" xfId="27" applyNumberFormat="1" applyFont="1" applyBorder="1"/>
    <xf numFmtId="0" fontId="20" fillId="0" borderId="0" xfId="0" applyFont="1"/>
    <xf numFmtId="0" fontId="0" fillId="0" borderId="3" xfId="0" applyFill="1" applyBorder="1"/>
    <xf numFmtId="0" fontId="0" fillId="0" borderId="7" xfId="0" applyFont="1" applyBorder="1" applyAlignment="1">
      <alignment horizontal="left"/>
    </xf>
    <xf numFmtId="0" fontId="0" fillId="0" borderId="20" xfId="0" applyFont="1" applyBorder="1" applyAlignment="1">
      <alignment horizontal="right"/>
    </xf>
    <xf numFmtId="0" fontId="0" fillId="0" borderId="2" xfId="0" applyFont="1" applyBorder="1" applyAlignment="1">
      <alignment horizontal="left"/>
    </xf>
    <xf numFmtId="0" fontId="0" fillId="0" borderId="12" xfId="0" applyFont="1" applyBorder="1" applyAlignment="1">
      <alignment horizontal="right"/>
    </xf>
    <xf numFmtId="0" fontId="0" fillId="0" borderId="5" xfId="0" applyFont="1" applyBorder="1" applyAlignment="1">
      <alignment horizontal="right"/>
    </xf>
    <xf numFmtId="0" fontId="0" fillId="0" borderId="3" xfId="0" applyFont="1" applyBorder="1" applyAlignment="1">
      <alignment horizontal="left"/>
    </xf>
    <xf numFmtId="170" fontId="0" fillId="0" borderId="19" xfId="27" applyNumberFormat="1" applyFont="1" applyBorder="1" applyAlignment="1">
      <alignment horizontal="right"/>
    </xf>
    <xf numFmtId="170" fontId="0" fillId="0" borderId="6" xfId="27" applyNumberFormat="1" applyFont="1" applyBorder="1" applyAlignment="1">
      <alignment horizontal="right"/>
    </xf>
    <xf numFmtId="0" fontId="0" fillId="0" borderId="2" xfId="0" applyFont="1" applyFill="1" applyBorder="1" applyAlignment="1">
      <alignment horizontal="left"/>
    </xf>
    <xf numFmtId="170" fontId="0" fillId="0" borderId="13" xfId="27" applyNumberFormat="1" applyFont="1" applyFill="1" applyBorder="1" applyAlignment="1">
      <alignment horizontal="right"/>
    </xf>
    <xf numFmtId="170" fontId="0" fillId="0" borderId="1" xfId="27" applyNumberFormat="1" applyFont="1" applyFill="1" applyBorder="1" applyAlignment="1">
      <alignment horizontal="right"/>
    </xf>
    <xf numFmtId="170" fontId="0" fillId="0" borderId="0" xfId="27" applyNumberFormat="1" applyFont="1" applyFill="1" applyBorder="1" applyAlignment="1">
      <alignment horizontal="right"/>
    </xf>
    <xf numFmtId="170" fontId="0" fillId="0" borderId="4" xfId="27" applyNumberFormat="1" applyFont="1" applyFill="1" applyBorder="1" applyAlignment="1">
      <alignment horizontal="right"/>
    </xf>
    <xf numFmtId="0" fontId="0" fillId="0" borderId="8" xfId="0" applyFont="1" applyBorder="1" applyAlignment="1"/>
    <xf numFmtId="0" fontId="0" fillId="0" borderId="0" xfId="0" applyFont="1" applyAlignment="1">
      <alignment horizontal="right"/>
    </xf>
    <xf numFmtId="10" fontId="0" fillId="0" borderId="0" xfId="27" applyNumberFormat="1" applyFont="1" applyAlignment="1">
      <alignment horizontal="right"/>
    </xf>
    <xf numFmtId="10" fontId="0" fillId="0" borderId="0" xfId="0" applyNumberFormat="1" applyFont="1" applyAlignment="1">
      <alignment horizontal="right"/>
    </xf>
    <xf numFmtId="10" fontId="0" fillId="0" borderId="1" xfId="0" applyNumberFormat="1" applyFont="1" applyBorder="1" applyAlignment="1">
      <alignment horizontal="right"/>
    </xf>
    <xf numFmtId="0" fontId="0" fillId="0" borderId="7" xfId="0" applyFont="1" applyFill="1" applyBorder="1"/>
    <xf numFmtId="0" fontId="0" fillId="0" borderId="8" xfId="0" applyFont="1" applyFill="1" applyBorder="1"/>
    <xf numFmtId="0" fontId="0" fillId="0" borderId="9" xfId="0" applyFont="1" applyFill="1" applyBorder="1"/>
    <xf numFmtId="0" fontId="0" fillId="0" borderId="2" xfId="0" applyFont="1" applyFill="1" applyBorder="1"/>
    <xf numFmtId="0" fontId="7" fillId="0" borderId="10" xfId="0" applyFont="1" applyBorder="1" applyAlignment="1">
      <alignment horizontal="left"/>
    </xf>
    <xf numFmtId="0" fontId="7" fillId="0" borderId="10" xfId="0" applyFont="1" applyBorder="1" applyAlignment="1">
      <alignment horizontal="right"/>
    </xf>
    <xf numFmtId="0" fontId="7" fillId="0" borderId="0" xfId="0" applyFont="1" applyAlignment="1">
      <alignment horizontal="left"/>
    </xf>
    <xf numFmtId="0" fontId="7" fillId="0" borderId="1" xfId="0" applyFont="1" applyBorder="1" applyAlignment="1">
      <alignment horizontal="left"/>
    </xf>
    <xf numFmtId="10" fontId="0" fillId="0" borderId="1" xfId="27" applyNumberFormat="1" applyFont="1" applyBorder="1"/>
    <xf numFmtId="10" fontId="0" fillId="0" borderId="0" xfId="0" applyNumberFormat="1" applyFont="1" applyBorder="1" applyAlignment="1">
      <alignment horizontal="right"/>
    </xf>
    <xf numFmtId="10" fontId="0" fillId="0" borderId="8" xfId="0" applyNumberFormat="1" applyFont="1" applyBorder="1" applyAlignment="1">
      <alignment horizontal="right"/>
    </xf>
    <xf numFmtId="0" fontId="0" fillId="0" borderId="10" xfId="0" applyFont="1" applyFill="1" applyBorder="1"/>
    <xf numFmtId="0" fontId="0" fillId="0" borderId="0" xfId="0" applyFont="1" applyFill="1" applyBorder="1" applyAlignment="1">
      <alignment horizontal="left"/>
    </xf>
    <xf numFmtId="0" fontId="0" fillId="0" borderId="8" xfId="0" applyFont="1" applyFill="1" applyBorder="1" applyAlignment="1">
      <alignment horizontal="left"/>
    </xf>
    <xf numFmtId="0" fontId="0" fillId="0" borderId="1" xfId="0" applyFont="1" applyFill="1" applyBorder="1" applyAlignment="1">
      <alignment horizontal="left"/>
    </xf>
    <xf numFmtId="0" fontId="7" fillId="0" borderId="10" xfId="3" applyFont="1" applyBorder="1"/>
    <xf numFmtId="0" fontId="7" fillId="0" borderId="10" xfId="3" applyFont="1" applyBorder="1" applyAlignment="1">
      <alignment horizontal="right"/>
    </xf>
    <xf numFmtId="0" fontId="7" fillId="0" borderId="0" xfId="3" applyFont="1"/>
    <xf numFmtId="166" fontId="7" fillId="0" borderId="0" xfId="3" applyNumberFormat="1" applyFont="1"/>
    <xf numFmtId="0" fontId="7" fillId="0" borderId="1" xfId="3" applyFont="1" applyBorder="1"/>
    <xf numFmtId="166" fontId="7" fillId="0" borderId="1" xfId="3" applyNumberFormat="1" applyFont="1" applyBorder="1"/>
    <xf numFmtId="166" fontId="0" fillId="0" borderId="0" xfId="0" applyNumberFormat="1" applyFont="1"/>
    <xf numFmtId="0" fontId="7" fillId="0" borderId="10" xfId="7" applyFont="1" applyBorder="1"/>
    <xf numFmtId="0" fontId="7" fillId="0" borderId="10" xfId="7" applyFont="1" applyBorder="1" applyAlignment="1">
      <alignment horizontal="right"/>
    </xf>
    <xf numFmtId="0" fontId="7" fillId="0" borderId="0" xfId="7" applyFont="1"/>
    <xf numFmtId="167" fontId="7" fillId="0" borderId="0" xfId="7" applyNumberFormat="1" applyFont="1"/>
    <xf numFmtId="0" fontId="7" fillId="0" borderId="1" xfId="7" applyFont="1" applyBorder="1"/>
    <xf numFmtId="167" fontId="7" fillId="0" borderId="1" xfId="7" applyNumberFormat="1" applyFont="1" applyBorder="1"/>
    <xf numFmtId="0" fontId="7" fillId="0" borderId="0" xfId="8" applyFont="1" applyFill="1" applyBorder="1"/>
    <xf numFmtId="0" fontId="0" fillId="0" borderId="10" xfId="0" applyBorder="1" applyAlignment="1">
      <alignment horizontal="left"/>
    </xf>
    <xf numFmtId="14" fontId="0" fillId="0" borderId="0" xfId="0" applyNumberFormat="1" applyAlignment="1">
      <alignment horizontal="left"/>
    </xf>
    <xf numFmtId="0" fontId="7" fillId="0" borderId="10" xfId="8" applyFont="1" applyBorder="1"/>
    <xf numFmtId="0" fontId="7" fillId="0" borderId="10" xfId="8" applyFont="1" applyBorder="1" applyAlignment="1">
      <alignment horizontal="right"/>
    </xf>
    <xf numFmtId="0" fontId="7" fillId="0" borderId="0" xfId="8" applyFont="1"/>
    <xf numFmtId="0" fontId="7" fillId="0" borderId="1" xfId="8" applyFont="1" applyBorder="1"/>
    <xf numFmtId="167" fontId="0" fillId="0" borderId="1" xfId="0" applyNumberFormat="1" applyFont="1" applyBorder="1"/>
    <xf numFmtId="10" fontId="7" fillId="0" borderId="0" xfId="8" applyNumberFormat="1" applyFont="1"/>
    <xf numFmtId="0" fontId="7" fillId="0" borderId="10" xfId="9" applyFont="1" applyFill="1" applyBorder="1" applyAlignment="1">
      <alignment horizontal="left"/>
    </xf>
    <xf numFmtId="168" fontId="7" fillId="0" borderId="10" xfId="10" applyNumberFormat="1" applyFont="1" applyFill="1" applyBorder="1" applyAlignment="1">
      <alignment horizontal="right"/>
    </xf>
    <xf numFmtId="168" fontId="7" fillId="0" borderId="10" xfId="11" applyNumberFormat="1" applyFont="1" applyFill="1" applyBorder="1" applyAlignment="1">
      <alignment horizontal="right"/>
    </xf>
    <xf numFmtId="0" fontId="7" fillId="0" borderId="0" xfId="9" applyFont="1" applyFill="1" applyAlignment="1">
      <alignment horizontal="left"/>
    </xf>
    <xf numFmtId="167" fontId="7" fillId="0" borderId="0" xfId="10" applyNumberFormat="1" applyFont="1" applyFill="1"/>
    <xf numFmtId="167" fontId="7" fillId="0" borderId="0" xfId="10" applyNumberFormat="1" applyFont="1" applyFill="1" applyAlignment="1">
      <alignment horizontal="right"/>
    </xf>
    <xf numFmtId="0" fontId="7" fillId="0" borderId="0" xfId="9" applyFont="1" applyFill="1" applyBorder="1" applyAlignment="1">
      <alignment horizontal="left"/>
    </xf>
    <xf numFmtId="0" fontId="7" fillId="0" borderId="1" xfId="9" applyFont="1" applyFill="1" applyBorder="1" applyAlignment="1">
      <alignment horizontal="left"/>
    </xf>
    <xf numFmtId="167" fontId="7" fillId="0" borderId="1" xfId="10" applyNumberFormat="1" applyFont="1" applyFill="1" applyBorder="1"/>
    <xf numFmtId="0" fontId="7" fillId="0" borderId="0" xfId="9" applyFont="1" applyFill="1"/>
    <xf numFmtId="0" fontId="7" fillId="0" borderId="10" xfId="12" applyFont="1" applyBorder="1" applyAlignment="1">
      <alignment horizontal="right"/>
    </xf>
    <xf numFmtId="168" fontId="7" fillId="0" borderId="10" xfId="11" applyNumberFormat="1" applyFont="1" applyBorder="1" applyAlignment="1">
      <alignment horizontal="right"/>
    </xf>
    <xf numFmtId="167" fontId="7" fillId="0" borderId="0" xfId="13" applyNumberFormat="1" applyFont="1" applyAlignment="1">
      <alignment horizontal="right"/>
    </xf>
    <xf numFmtId="0" fontId="7" fillId="0" borderId="1" xfId="12" applyFont="1" applyFill="1" applyBorder="1" applyAlignment="1">
      <alignment horizontal="left"/>
    </xf>
    <xf numFmtId="167" fontId="7" fillId="0" borderId="1" xfId="13" applyNumberFormat="1" applyFont="1" applyBorder="1" applyAlignment="1">
      <alignment horizontal="right"/>
    </xf>
    <xf numFmtId="167" fontId="7" fillId="0" borderId="0" xfId="12" applyNumberFormat="1" applyFont="1" applyAlignment="1">
      <alignment horizontal="right"/>
    </xf>
    <xf numFmtId="167" fontId="7" fillId="0" borderId="1" xfId="12" applyNumberFormat="1" applyFont="1" applyBorder="1" applyAlignment="1">
      <alignment horizontal="right"/>
    </xf>
    <xf numFmtId="0" fontId="7" fillId="0" borderId="0" xfId="12" applyFont="1"/>
    <xf numFmtId="0" fontId="7" fillId="0" borderId="10" xfId="12" applyFont="1" applyFill="1" applyBorder="1" applyAlignment="1">
      <alignment horizontal="left"/>
    </xf>
    <xf numFmtId="0" fontId="7" fillId="0" borderId="0" xfId="12" applyFont="1" applyFill="1" applyAlignment="1">
      <alignment horizontal="left"/>
    </xf>
    <xf numFmtId="0" fontId="7" fillId="0" borderId="0" xfId="12" applyFont="1" applyFill="1" applyBorder="1" applyAlignment="1">
      <alignment horizontal="left"/>
    </xf>
    <xf numFmtId="0" fontId="7" fillId="0" borderId="0" xfId="22" applyFont="1"/>
    <xf numFmtId="0" fontId="7" fillId="0" borderId="1" xfId="22" applyFont="1" applyBorder="1"/>
    <xf numFmtId="0" fontId="7" fillId="0" borderId="0" xfId="20" applyFont="1" applyFill="1" applyBorder="1"/>
    <xf numFmtId="0" fontId="7" fillId="0" borderId="0" xfId="22" applyFont="1" applyBorder="1"/>
    <xf numFmtId="167" fontId="0" fillId="0" borderId="0" xfId="0" applyNumberFormat="1" applyFont="1" applyBorder="1"/>
    <xf numFmtId="0" fontId="7" fillId="0" borderId="1" xfId="20" applyFont="1" applyFill="1" applyBorder="1"/>
    <xf numFmtId="167" fontId="0" fillId="0" borderId="0" xfId="0" applyNumberFormat="1" applyFont="1" applyAlignment="1">
      <alignment horizontal="right"/>
    </xf>
    <xf numFmtId="167" fontId="0" fillId="0" borderId="0" xfId="0" applyNumberFormat="1" applyAlignment="1">
      <alignment horizontal="right"/>
    </xf>
    <xf numFmtId="167" fontId="0" fillId="0" borderId="1" xfId="0" applyNumberFormat="1" applyFont="1" applyBorder="1" applyAlignment="1">
      <alignment horizontal="right"/>
    </xf>
    <xf numFmtId="0" fontId="7" fillId="0" borderId="0" xfId="23" applyFont="1" applyFill="1" applyBorder="1"/>
    <xf numFmtId="0" fontId="7" fillId="0" borderId="10" xfId="22" applyFont="1" applyBorder="1"/>
    <xf numFmtId="0" fontId="7" fillId="0" borderId="0" xfId="22" applyFont="1" applyFill="1"/>
    <xf numFmtId="0" fontId="7" fillId="0" borderId="0" xfId="22" applyFont="1" applyFill="1" applyBorder="1"/>
    <xf numFmtId="0" fontId="7" fillId="0" borderId="10" xfId="24" applyFont="1" applyBorder="1"/>
    <xf numFmtId="0" fontId="7" fillId="0" borderId="0" xfId="24" applyFont="1"/>
    <xf numFmtId="0" fontId="7" fillId="0" borderId="1" xfId="24" applyFont="1" applyBorder="1"/>
    <xf numFmtId="0" fontId="7" fillId="0" borderId="0" xfId="24" applyFont="1" applyFill="1" applyBorder="1"/>
    <xf numFmtId="0" fontId="7" fillId="0" borderId="10" xfId="25" applyFont="1" applyFill="1" applyBorder="1" applyAlignment="1">
      <alignment horizontal="left" wrapText="1"/>
    </xf>
    <xf numFmtId="0" fontId="7" fillId="0" borderId="10" xfId="25" applyFont="1" applyFill="1" applyBorder="1" applyAlignment="1">
      <alignment horizontal="right" wrapText="1"/>
    </xf>
    <xf numFmtId="167" fontId="0" fillId="0" borderId="0" xfId="0" applyNumberFormat="1" applyFont="1" applyFill="1" applyAlignment="1">
      <alignment horizontal="right" wrapText="1"/>
    </xf>
    <xf numFmtId="167" fontId="0" fillId="0" borderId="1" xfId="0" applyNumberFormat="1" applyFont="1" applyFill="1" applyBorder="1" applyAlignment="1">
      <alignment horizontal="right" wrapText="1"/>
    </xf>
    <xf numFmtId="0" fontId="7" fillId="0" borderId="0" xfId="25" applyFont="1" applyFill="1" applyBorder="1" applyAlignment="1">
      <alignment horizontal="left"/>
    </xf>
    <xf numFmtId="0" fontId="0" fillId="0" borderId="10" xfId="0" applyFont="1" applyFill="1" applyBorder="1" applyAlignment="1">
      <alignment horizontal="right"/>
    </xf>
    <xf numFmtId="167" fontId="7" fillId="0" borderId="0" xfId="0" applyNumberFormat="1" applyFont="1" applyFill="1" applyAlignment="1">
      <alignment horizontal="right"/>
    </xf>
    <xf numFmtId="167" fontId="7" fillId="0" borderId="0" xfId="0" applyNumberFormat="1" applyFont="1" applyFill="1" applyBorder="1" applyAlignment="1">
      <alignment horizontal="right"/>
    </xf>
    <xf numFmtId="167" fontId="7" fillId="0" borderId="8" xfId="0" applyNumberFormat="1" applyFont="1" applyFill="1" applyBorder="1" applyAlignment="1">
      <alignment horizontal="right"/>
    </xf>
    <xf numFmtId="167" fontId="7" fillId="0" borderId="1" xfId="0" applyNumberFormat="1" applyFont="1" applyFill="1" applyBorder="1" applyAlignment="1">
      <alignment horizontal="right"/>
    </xf>
    <xf numFmtId="167" fontId="7" fillId="0" borderId="0" xfId="0" applyNumberFormat="1" applyFont="1" applyAlignment="1">
      <alignment horizontal="right"/>
    </xf>
    <xf numFmtId="167" fontId="7" fillId="0" borderId="0" xfId="0" applyNumberFormat="1" applyFont="1" applyBorder="1" applyAlignment="1">
      <alignment horizontal="right"/>
    </xf>
    <xf numFmtId="167" fontId="7" fillId="0" borderId="1" xfId="0" applyNumberFormat="1" applyFont="1" applyBorder="1" applyAlignment="1">
      <alignment horizontal="right"/>
    </xf>
    <xf numFmtId="171" fontId="7" fillId="0" borderId="0" xfId="2" applyNumberFormat="1" applyFont="1" applyFill="1" applyAlignment="1">
      <alignment horizontal="left"/>
    </xf>
    <xf numFmtId="1" fontId="7" fillId="0" borderId="0" xfId="2" applyNumberFormat="1" applyFont="1"/>
    <xf numFmtId="171" fontId="7" fillId="0" borderId="10" xfId="2" applyNumberFormat="1" applyFont="1" applyFill="1" applyBorder="1" applyAlignment="1">
      <alignment horizontal="left"/>
    </xf>
    <xf numFmtId="1" fontId="7" fillId="0" borderId="10" xfId="2" applyNumberFormat="1" applyFont="1" applyFill="1" applyBorder="1"/>
    <xf numFmtId="0" fontId="20" fillId="0" borderId="12" xfId="0" applyFont="1" applyBorder="1" applyAlignment="1">
      <alignment horizontal="center"/>
    </xf>
    <xf numFmtId="0" fontId="0" fillId="0" borderId="10" xfId="0" applyFont="1" applyBorder="1"/>
    <xf numFmtId="0" fontId="0" fillId="0" borderId="5" xfId="0" applyFont="1" applyBorder="1"/>
    <xf numFmtId="0" fontId="0" fillId="0" borderId="12" xfId="0" applyFont="1" applyFill="1" applyBorder="1" applyAlignment="1">
      <alignment horizontal="center"/>
    </xf>
    <xf numFmtId="0" fontId="0" fillId="0" borderId="10" xfId="0" applyFont="1" applyFill="1" applyBorder="1" applyAlignment="1">
      <alignment horizontal="center"/>
    </xf>
    <xf numFmtId="0" fontId="0" fillId="0" borderId="5" xfId="0" applyFont="1" applyFill="1" applyBorder="1" applyAlignment="1">
      <alignment horizontal="center"/>
    </xf>
    <xf numFmtId="0" fontId="7" fillId="0" borderId="12" xfId="0" applyFont="1" applyFill="1" applyBorder="1" applyAlignment="1">
      <alignment horizontal="center"/>
    </xf>
    <xf numFmtId="0" fontId="7" fillId="0" borderId="10" xfId="0" applyFont="1" applyFill="1" applyBorder="1" applyAlignment="1">
      <alignment horizontal="center"/>
    </xf>
    <xf numFmtId="0" fontId="7" fillId="0" borderId="5" xfId="0" applyFont="1" applyFill="1" applyBorder="1" applyAlignment="1">
      <alignment horizontal="center"/>
    </xf>
    <xf numFmtId="0" fontId="0" fillId="0" borderId="0" xfId="0" applyFont="1" applyFill="1" applyBorder="1" applyAlignment="1">
      <alignment horizontal="left"/>
    </xf>
    <xf numFmtId="0" fontId="0" fillId="0" borderId="0" xfId="0" applyFont="1" applyBorder="1"/>
  </cellXfs>
  <cellStyles count="50">
    <cellStyle name="Bold" xfId="30"/>
    <cellStyle name="BoldRight" xfId="31"/>
    <cellStyle name="Comma" xfId="1" builtinId="3"/>
    <cellStyle name="Comma 2" xfId="32"/>
    <cellStyle name="Comma 2 2 32" xfId="26"/>
    <cellStyle name="Comma 21" xfId="10"/>
    <cellStyle name="Comma 22" xfId="11"/>
    <cellStyle name="Comma 3" xfId="33"/>
    <cellStyle name="Comma 4" xfId="34"/>
    <cellStyle name="Hyperlink" xfId="49" builtinId="8"/>
    <cellStyle name="Hyperlink 2" xfId="35"/>
    <cellStyle name="Hyperlink 3" xfId="36"/>
    <cellStyle name="Normal" xfId="0" builtinId="0"/>
    <cellStyle name="Normal 12" xfId="6"/>
    <cellStyle name="Normal 15" xfId="8"/>
    <cellStyle name="Normal 18" xfId="9"/>
    <cellStyle name="Normal 2" xfId="2"/>
    <cellStyle name="Normal 2 21" xfId="13"/>
    <cellStyle name="Normal 21" xfId="12"/>
    <cellStyle name="Normal 26" xfId="3"/>
    <cellStyle name="Normal 27" xfId="7"/>
    <cellStyle name="Normal 28" xfId="20"/>
    <cellStyle name="Normal 3" xfId="17"/>
    <cellStyle name="Normal 31" xfId="19"/>
    <cellStyle name="Normal 34" xfId="23"/>
    <cellStyle name="Normal 37" xfId="22"/>
    <cellStyle name="Normal 4" xfId="15"/>
    <cellStyle name="Normal 40" xfId="37"/>
    <cellStyle name="Normal 43" xfId="24"/>
    <cellStyle name="Normal 48" xfId="38"/>
    <cellStyle name="Normal 5" xfId="21"/>
    <cellStyle name="Normal 55" xfId="25"/>
    <cellStyle name="Normal 6" xfId="4"/>
    <cellStyle name="Normal 7" xfId="47"/>
    <cellStyle name="Normal 9" xfId="5"/>
    <cellStyle name="Normal_5" xfId="48"/>
    <cellStyle name="Normal_Exhibit 16" xfId="16"/>
    <cellStyle name="Normal_Exhibit7 - Rtg Drift" xfId="28"/>
    <cellStyle name="Normal_Sheet1" xfId="18"/>
    <cellStyle name="Normal_Sheet2" xfId="29"/>
    <cellStyle name="Number" xfId="39"/>
    <cellStyle name="Number 2" xfId="40"/>
    <cellStyle name="Number 3" xfId="41"/>
    <cellStyle name="Percent" xfId="27" builtinId="5"/>
    <cellStyle name="Percent 2" xfId="14"/>
    <cellStyle name="Percent 3" xfId="42"/>
    <cellStyle name="Percent 4" xfId="43"/>
    <cellStyle name="RightNumber" xfId="44"/>
    <cellStyle name="RightNumber 2" xfId="45"/>
    <cellStyle name="RightNumber 3" xfId="46"/>
  </cellStyles>
  <dxfs count="0"/>
  <tableStyles count="0" defaultTableStyle="TableStyleMedium9" defaultPivotStyle="PivotStyleLight16"/>
  <colors>
    <mruColors>
      <color rgb="FF28A082"/>
      <color rgb="FF91969B"/>
      <color rgb="FF464B50"/>
      <color rgb="FFF58C3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257175</xdr:colOff>
      <xdr:row>4</xdr:row>
      <xdr:rowOff>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085975" cy="762000"/>
        </a:xfrm>
        <a:prstGeom prst="rect">
          <a:avLst/>
        </a:prstGeom>
        <a:noFill/>
        <a:ln w="9525">
          <a:noFill/>
          <a:miter lim="800000"/>
          <a:headEnd/>
          <a:tailEnd/>
        </a:ln>
      </xdr:spPr>
    </xdr:pic>
    <xdr:clientData/>
  </xdr:twoCellAnchor>
  <xdr:twoCellAnchor>
    <xdr:from>
      <xdr:col>1</xdr:col>
      <xdr:colOff>0</xdr:colOff>
      <xdr:row>10</xdr:row>
      <xdr:rowOff>0</xdr:rowOff>
    </xdr:from>
    <xdr:to>
      <xdr:col>13</xdr:col>
      <xdr:colOff>438150</xdr:colOff>
      <xdr:row>48</xdr:row>
      <xdr:rowOff>95250</xdr:rowOff>
    </xdr:to>
    <xdr:sp macro="" textlink="">
      <xdr:nvSpPr>
        <xdr:cNvPr id="3" name="TextBox 2"/>
        <xdr:cNvSpPr txBox="1"/>
      </xdr:nvSpPr>
      <xdr:spPr>
        <a:xfrm>
          <a:off x="609600" y="2038350"/>
          <a:ext cx="7753350" cy="7334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a:solidFill>
                <a:schemeClr val="dk1"/>
              </a:solidFill>
              <a:latin typeface="Arial" pitchFamily="34" charset="0"/>
              <a:ea typeface="+mn-ea"/>
              <a:cs typeface="Arial" pitchFamily="34" charset="0"/>
            </a:rPr>
            <a:t>© 2014 Moody’s Corporation, Moody’s Investors Service, Inc., Moody’s Analytics, Inc. and/or their licensors and affiliates (collectively, “MOODY’S”). All rights reserved.</a:t>
          </a:r>
        </a:p>
        <a:p>
          <a:endParaRPr lang="en-US" sz="800">
            <a:solidFill>
              <a:schemeClr val="dk1"/>
            </a:solidFill>
            <a:latin typeface="Arial" pitchFamily="34" charset="0"/>
            <a:ea typeface="+mn-ea"/>
            <a:cs typeface="Arial" pitchFamily="34" charset="0"/>
          </a:endParaRPr>
        </a:p>
        <a:p>
          <a:r>
            <a:rPr lang="en-US" sz="800" b="1">
              <a:solidFill>
                <a:schemeClr val="dk1"/>
              </a:solidFill>
              <a:latin typeface="Arial" pitchFamily="34" charset="0"/>
              <a:ea typeface="+mn-ea"/>
              <a:cs typeface="Arial" pitchFamily="34" charset="0"/>
            </a:rPr>
            <a:t>CREDIT RATINGS ISSUED BY MOODY'S INVESTORS SERVICE, INC. (“MIS”) AND ITS AFFILIATES ARE MOODY’S CURRENT OPINIONS OF THE RELATIVE FUTURE CREDIT RISK OF ENTITIES, CREDIT COMMITMENTS, OR DEBT OR DEBT-LIKE SECURITIES, AND CREDIT RATINGS AND RESEARCH PUBLICATIONS PUBLISHED BY MOODY’S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a:t>
          </a:r>
          <a:r>
            <a:rPr lang="en-US" sz="800" b="1" u="sng">
              <a:solidFill>
                <a:schemeClr val="dk1"/>
              </a:solidFill>
              <a:latin typeface="Arial" pitchFamily="34" charset="0"/>
              <a:ea typeface="+mn-ea"/>
              <a:cs typeface="Arial" pitchFamily="34" charset="0"/>
            </a:rPr>
            <a:t>, WITH DUE CARE,</a:t>
          </a:r>
          <a:r>
            <a:rPr lang="en-US" sz="800" b="1">
              <a:solidFill>
                <a:schemeClr val="dk1"/>
              </a:solidFill>
              <a:latin typeface="Arial" pitchFamily="34" charset="0"/>
              <a:ea typeface="+mn-ea"/>
              <a:cs typeface="Arial" pitchFamily="34" charset="0"/>
            </a:rPr>
            <a:t> MAKE ITS OWN STUDY AND EVALUATION OF EACH SECURITY THAT IS UNDER CONSIDERATION FOR PURCHASE, HOLDING, OR SALE.</a:t>
          </a:r>
          <a:r>
            <a:rPr lang="en-US" sz="800" b="1" u="sng">
              <a:solidFill>
                <a:schemeClr val="dk1"/>
              </a:solidFill>
              <a:latin typeface="Arial" pitchFamily="34" charset="0"/>
              <a:ea typeface="+mn-ea"/>
              <a:cs typeface="Arial" pitchFamily="34" charset="0"/>
            </a:rPr>
            <a:t> </a:t>
          </a:r>
        </a:p>
        <a:p>
          <a:endParaRPr lang="en-US" sz="800">
            <a:solidFill>
              <a:schemeClr val="dk1"/>
            </a:solidFill>
            <a:latin typeface="Arial" pitchFamily="34" charset="0"/>
            <a:ea typeface="+mn-ea"/>
            <a:cs typeface="Arial" pitchFamily="34" charset="0"/>
          </a:endParaRPr>
        </a:p>
        <a:p>
          <a:r>
            <a:rPr lang="en-US" sz="800" u="none">
              <a:solidFill>
                <a:schemeClr val="dk1"/>
              </a:solidFill>
              <a:latin typeface="Arial" pitchFamily="34" charset="0"/>
              <a:ea typeface="+mn-ea"/>
              <a:cs typeface="Arial" pitchFamily="34" charset="0"/>
            </a:rPr>
            <a:t>MOODY’S CREDIT RATINGS AND MOODY’S PUBLICATIONS ARE NOT INTENDED FOR USE BY RETAIL INVESTORS AND IT WOULD BE RECKLESS FOR RETAIL INVESTORS TO CONSIDER MOODY’S CREDIT RATINGS OR MOODY’S PUBLICATIONS IN MAKING ANY INVESTMENT DECISION. IF IN DOUBT YOU SHOULD CONTACT YOUR FINANCIAL OR OTHER PROFESSIONAL ADVISER.</a:t>
          </a:r>
        </a:p>
        <a:p>
          <a:endParaRPr lang="en-US" sz="800">
            <a:solidFill>
              <a:schemeClr val="dk1"/>
            </a:solidFill>
            <a:latin typeface="Arial" pitchFamily="34" charset="0"/>
            <a:ea typeface="+mn-ea"/>
            <a:cs typeface="Arial" pitchFamily="34" charset="0"/>
          </a:endParaRPr>
        </a:p>
        <a:p>
          <a:r>
            <a:rPr lang="en-US" sz="800">
              <a:solidFill>
                <a:schemeClr val="dk1"/>
              </a:solidFill>
              <a:latin typeface="Arial" pitchFamily="34" charset="0"/>
              <a:ea typeface="+mn-ea"/>
              <a:cs typeface="Arial" pitchFamily="34" charset="0"/>
            </a:rPr>
            <a:t>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a:t>
          </a:r>
        </a:p>
        <a:p>
          <a:endParaRPr lang="en-US" sz="800">
            <a:solidFill>
              <a:schemeClr val="dk1"/>
            </a:solidFill>
            <a:latin typeface="Arial" pitchFamily="34" charset="0"/>
            <a:ea typeface="+mn-ea"/>
            <a:cs typeface="Arial" pitchFamily="34" charset="0"/>
          </a:endParaRPr>
        </a:p>
        <a:p>
          <a:r>
            <a:rPr lang="en-US" sz="800">
              <a:solidFill>
                <a:schemeClr val="dk1"/>
              </a:solidFill>
              <a:latin typeface="Arial" pitchFamily="34" charset="0"/>
              <a:ea typeface="+mn-ea"/>
              <a:cs typeface="Arial" pitchFamily="34" charset="0"/>
            </a:rPr>
            <a:t>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a:t>
          </a:r>
        </a:p>
        <a:p>
          <a:endParaRPr lang="en-US" sz="800">
            <a:solidFill>
              <a:schemeClr val="dk1"/>
            </a:solidFill>
            <a:latin typeface="Arial" pitchFamily="34" charset="0"/>
            <a:ea typeface="+mn-ea"/>
            <a:cs typeface="Arial" pitchFamily="34" charset="0"/>
          </a:endParaRPr>
        </a:p>
        <a:p>
          <a:r>
            <a:rPr lang="en-US" sz="800" u="none">
              <a:solidFill>
                <a:schemeClr val="dk1"/>
              </a:solidFill>
              <a:latin typeface="Arial" pitchFamily="34" charset="0"/>
              <a:ea typeface="+mn-ea"/>
              <a:cs typeface="Arial" pitchFamily="34" charset="0"/>
            </a:rPr>
            <a:t>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a:t>
          </a:r>
        </a:p>
        <a:p>
          <a:endParaRPr lang="en-US" sz="800">
            <a:solidFill>
              <a:schemeClr val="dk1"/>
            </a:solidFill>
            <a:latin typeface="Arial" pitchFamily="34" charset="0"/>
            <a:ea typeface="+mn-ea"/>
            <a:cs typeface="Arial" pitchFamily="34" charset="0"/>
          </a:endParaRPr>
        </a:p>
        <a:p>
          <a:r>
            <a:rPr lang="en-US" sz="800">
              <a:solidFill>
                <a:schemeClr val="dk1"/>
              </a:solidFill>
              <a:latin typeface="Arial" pitchFamily="34" charset="0"/>
              <a:ea typeface="+mn-ea"/>
              <a:cs typeface="Arial" pitchFamily="34" charset="0"/>
            </a:rPr>
            <a:t>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a:t>
          </a:r>
        </a:p>
        <a:p>
          <a:endParaRPr lang="en-US" sz="800">
            <a:solidFill>
              <a:schemeClr val="dk1"/>
            </a:solidFill>
            <a:latin typeface="Arial" pitchFamily="34" charset="0"/>
            <a:ea typeface="+mn-ea"/>
            <a:cs typeface="Arial" pitchFamily="34" charset="0"/>
          </a:endParaRPr>
        </a:p>
        <a:p>
          <a:r>
            <a:rPr lang="en-US" sz="800">
              <a:solidFill>
                <a:schemeClr val="dk1"/>
              </a:solidFill>
              <a:latin typeface="Arial" pitchFamily="34" charset="0"/>
              <a:ea typeface="+mn-ea"/>
              <a:cs typeface="Arial" pitchFamily="34" charset="0"/>
            </a:rPr>
            <a:t>NO WARRANTY, EXPRESS OR IMPLIED, AS TO THE ACCURACY, TIMELINESS, COMPLETENESS, MERCHANTABILITY OR FITNESS FOR ANY PARTICULAR PURPOSE OF ANY SUCH RATING OR OTHER OPINION OR INFORMATION IS GIVEN OR MADE BY MOODY’S IN ANY FORM OR MANNER WHATSOEVER.</a:t>
          </a:r>
        </a:p>
        <a:p>
          <a:r>
            <a:rPr lang="en-US" sz="800">
              <a:solidFill>
                <a:schemeClr val="dk1"/>
              </a:solidFill>
              <a:latin typeface="Arial" pitchFamily="34" charset="0"/>
              <a:ea typeface="+mn-ea"/>
              <a:cs typeface="Arial" pitchFamily="34" charset="0"/>
            </a:rPr>
            <a:t>MIS, a wholly-owned credit rating agency subsidiary of Moody’s Corporation (“MCO”), hereby discloses that most issuers of debt securities (including corporate and municipal bonds, debentures, notes and commercial paper) and preferred stock rated by MIS have, prior to assignment of any rating, agreed to pay to MIS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a:t>
          </a:r>
          <a:r>
            <a:rPr lang="en-US" sz="800" u="sng">
              <a:solidFill>
                <a:schemeClr val="dk1"/>
              </a:solidFill>
              <a:latin typeface="Arial" pitchFamily="34" charset="0"/>
              <a:ea typeface="+mn-ea"/>
              <a:cs typeface="Arial" pitchFamily="34" charset="0"/>
              <a:hlinkClick xmlns:r="http://schemas.openxmlformats.org/officeDocument/2006/relationships" r:id=""/>
            </a:rPr>
            <a:t>www.moodys.com</a:t>
          </a:r>
          <a:r>
            <a:rPr lang="en-US" sz="800">
              <a:solidFill>
                <a:schemeClr val="dk1"/>
              </a:solidFill>
              <a:latin typeface="Arial" pitchFamily="34" charset="0"/>
              <a:ea typeface="+mn-ea"/>
              <a:cs typeface="Arial" pitchFamily="34" charset="0"/>
            </a:rPr>
            <a:t> under the heading “Shareholder Relations — Corporate Governance — Director and Shareholder Affiliation Policy.”</a:t>
          </a:r>
        </a:p>
        <a:p>
          <a:endParaRPr lang="en-US" sz="800">
            <a:solidFill>
              <a:schemeClr val="dk1"/>
            </a:solidFill>
            <a:latin typeface="Arial" pitchFamily="34" charset="0"/>
            <a:ea typeface="+mn-ea"/>
            <a:cs typeface="Arial" pitchFamily="34" charset="0"/>
          </a:endParaRPr>
        </a:p>
        <a:p>
          <a:r>
            <a:rPr lang="en-US" sz="800">
              <a:solidFill>
                <a:schemeClr val="dk1"/>
              </a:solidFill>
              <a:latin typeface="Arial" pitchFamily="34" charset="0"/>
              <a:ea typeface="+mn-ea"/>
              <a:cs typeface="Arial" pitchFamily="34" charset="0"/>
            </a:rPr>
            <a:t>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clients. It would be dangerous for “retail clients” to make any investment decision based on MOODY’S credit rating. If in doubt you should contact your financial or other professional adviser.</a:t>
          </a:r>
        </a:p>
        <a:p>
          <a:r>
            <a:rPr lang="en-US" sz="800">
              <a:solidFill>
                <a:schemeClr val="dk1"/>
              </a:solidFill>
              <a:latin typeface="Arial" pitchFamily="34" charset="0"/>
              <a:ea typeface="+mn-ea"/>
              <a:cs typeface="Arial" pitchFamily="34" charset="0"/>
            </a:rPr>
            <a:t> </a:t>
          </a:r>
        </a:p>
        <a:p>
          <a:r>
            <a:rPr lang="en-US" sz="800">
              <a:solidFill>
                <a:schemeClr val="dk1"/>
              </a:solidFill>
              <a:latin typeface="Arial" pitchFamily="34" charset="0"/>
              <a:ea typeface="+mn-ea"/>
              <a:cs typeface="Arial" pitchFamily="34" charset="0"/>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1\SherwinH\LOCALS~1\Temp\NewSRA_corp_defaul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Documents%20and%20Settings\SherwinH\My%20Documents\QTSC\DEFAULT_Rawdata_Alpha_Numeric(83-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lash_Screen"/>
      <sheetName val="Letter Numerators"/>
      <sheetName val="Letter Denominators"/>
      <sheetName val="Letter Marginal Default Rates"/>
      <sheetName val="Letter Cumulative Default Rates"/>
      <sheetName val="Letter WACD Rates"/>
      <sheetName val="Alpha Numeric Numerators"/>
      <sheetName val="Alpha Numeric Denominators"/>
      <sheetName val="Alpha Num Marginal Def Rate"/>
      <sheetName val="Alpha Num Cumulative  DR"/>
      <sheetName val="module1"/>
      <sheetName val="wParm"/>
      <sheetName val="Alpha Numeric WACD Rates"/>
      <sheetName val="Default Rate Time Series"/>
    </sheetNames>
    <sheetDataSet>
      <sheetData sheetId="0"/>
      <sheetData sheetId="1"/>
      <sheetData sheetId="2"/>
      <sheetData sheetId="3"/>
      <sheetData sheetId="4"/>
      <sheetData sheetId="5"/>
      <sheetData sheetId="6"/>
      <sheetData sheetId="7"/>
      <sheetData sheetId="8"/>
      <sheetData sheetId="9"/>
      <sheetData sheetId="10" refreshError="1"/>
      <sheetData sheetId="11">
        <row r="24">
          <cell r="C24">
            <v>25569</v>
          </cell>
        </row>
        <row r="25">
          <cell r="C25">
            <v>36892</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pha Numeric DefRate"/>
      <sheetName val="Alpha Numeric Numerators"/>
      <sheetName val="Alpha Numeric Denominators"/>
    </sheetNames>
    <sheetDataSet>
      <sheetData sheetId="0" refreshError="1"/>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
  <sheetViews>
    <sheetView showGridLines="0" workbookViewId="0"/>
  </sheetViews>
  <sheetFormatPr defaultRowHeight="15"/>
  <sheetData>
    <row r="8" spans="1:1" ht="26.25">
      <c r="A8" s="131" t="s">
        <v>350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Views>
    <sheetView workbookViewId="0"/>
  </sheetViews>
  <sheetFormatPr defaultRowHeight="15"/>
  <cols>
    <col min="1" max="1" width="100.7109375" customWidth="1"/>
  </cols>
  <sheetData>
    <row r="1" spans="1:1">
      <c r="A1" s="2" t="s">
        <v>343</v>
      </c>
    </row>
    <row r="3" spans="1:1">
      <c r="A3" s="132" t="s">
        <v>344</v>
      </c>
    </row>
    <row r="4" spans="1:1">
      <c r="A4" s="132" t="s">
        <v>345</v>
      </c>
    </row>
    <row r="5" spans="1:1">
      <c r="A5" s="132" t="s">
        <v>80</v>
      </c>
    </row>
    <row r="6" spans="1:1">
      <c r="A6" s="132" t="s">
        <v>346</v>
      </c>
    </row>
    <row r="7" spans="1:1">
      <c r="A7" s="132" t="s">
        <v>331</v>
      </c>
    </row>
    <row r="8" spans="1:1">
      <c r="A8" s="132" t="s">
        <v>332</v>
      </c>
    </row>
    <row r="9" spans="1:1">
      <c r="A9" s="132" t="s">
        <v>81</v>
      </c>
    </row>
    <row r="10" spans="1:1">
      <c r="A10" s="132" t="s">
        <v>333</v>
      </c>
    </row>
    <row r="11" spans="1:1">
      <c r="A11" s="132" t="s">
        <v>334</v>
      </c>
    </row>
    <row r="12" spans="1:1">
      <c r="A12" s="132" t="s">
        <v>335</v>
      </c>
    </row>
    <row r="13" spans="1:1">
      <c r="A13" s="132" t="s">
        <v>82</v>
      </c>
    </row>
    <row r="14" spans="1:1">
      <c r="A14" s="132" t="s">
        <v>83</v>
      </c>
    </row>
    <row r="15" spans="1:1">
      <c r="A15" s="132" t="s">
        <v>347</v>
      </c>
    </row>
    <row r="16" spans="1:1">
      <c r="A16" s="132" t="s">
        <v>348</v>
      </c>
    </row>
    <row r="17" spans="1:1">
      <c r="A17" s="132" t="s">
        <v>374</v>
      </c>
    </row>
    <row r="18" spans="1:1">
      <c r="A18" s="132" t="s">
        <v>214</v>
      </c>
    </row>
    <row r="19" spans="1:1">
      <c r="A19" s="132" t="s">
        <v>375</v>
      </c>
    </row>
    <row r="20" spans="1:1">
      <c r="A20" s="132" t="s">
        <v>336</v>
      </c>
    </row>
    <row r="21" spans="1:1">
      <c r="A21" s="132" t="s">
        <v>376</v>
      </c>
    </row>
    <row r="22" spans="1:1">
      <c r="A22" s="132" t="s">
        <v>377</v>
      </c>
    </row>
    <row r="23" spans="1:1">
      <c r="A23" s="132" t="s">
        <v>378</v>
      </c>
    </row>
    <row r="24" spans="1:1">
      <c r="A24" s="132" t="s">
        <v>379</v>
      </c>
    </row>
    <row r="25" spans="1:1">
      <c r="A25" s="132" t="s">
        <v>380</v>
      </c>
    </row>
    <row r="26" spans="1:1">
      <c r="A26" s="132" t="s">
        <v>215</v>
      </c>
    </row>
    <row r="27" spans="1:1">
      <c r="A27" s="132" t="s">
        <v>216</v>
      </c>
    </row>
    <row r="28" spans="1:1">
      <c r="A28" s="132" t="s">
        <v>217</v>
      </c>
    </row>
    <row r="29" spans="1:1">
      <c r="A29" s="132" t="s">
        <v>381</v>
      </c>
    </row>
    <row r="30" spans="1:1">
      <c r="A30" s="132" t="s">
        <v>382</v>
      </c>
    </row>
    <row r="31" spans="1:1">
      <c r="A31" s="132" t="s">
        <v>383</v>
      </c>
    </row>
    <row r="32" spans="1:1">
      <c r="A32" s="132" t="s">
        <v>384</v>
      </c>
    </row>
    <row r="33" spans="1:1">
      <c r="A33" s="132" t="s">
        <v>385</v>
      </c>
    </row>
    <row r="34" spans="1:1">
      <c r="A34" s="132" t="s">
        <v>386</v>
      </c>
    </row>
    <row r="35" spans="1:1">
      <c r="A35" s="132" t="s">
        <v>387</v>
      </c>
    </row>
    <row r="36" spans="1:1">
      <c r="A36" s="132" t="s">
        <v>388</v>
      </c>
    </row>
    <row r="37" spans="1:1">
      <c r="A37" s="132" t="s">
        <v>389</v>
      </c>
    </row>
    <row r="38" spans="1:1">
      <c r="A38" s="132" t="s">
        <v>390</v>
      </c>
    </row>
    <row r="39" spans="1:1">
      <c r="A39" s="132" t="s">
        <v>391</v>
      </c>
    </row>
    <row r="40" spans="1:1">
      <c r="A40" s="132" t="s">
        <v>392</v>
      </c>
    </row>
    <row r="41" spans="1:1">
      <c r="A41" s="132" t="s">
        <v>393</v>
      </c>
    </row>
    <row r="42" spans="1:1">
      <c r="A42" s="132" t="s">
        <v>394</v>
      </c>
    </row>
    <row r="43" spans="1:1">
      <c r="A43" s="132" t="s">
        <v>230</v>
      </c>
    </row>
  </sheetData>
  <hyperlinks>
    <hyperlink ref="A4" location="'2'!A1" display="Exhibit 2 - Major Sovereign-Related Credit Events Since June 2011"/>
    <hyperlink ref="A5" location="'3'!A1" display="Exhibit 3 - Defaults Continued to Slow in 2011"/>
    <hyperlink ref="A6" location="'4'!A1" display="Exhibit 4 - 2011 Default Counts and Volumes by Broad Industry"/>
    <hyperlink ref="A7" location="'5'!A1" display="Exhibit 5 - Default Rate Highest in the Transportation Sector"/>
    <hyperlink ref="A8" location="'6'!A1" display="Exhibit 6 - Global Speculative-Grade Default Rate Declined Further in 2011"/>
    <hyperlink ref="A9" location="'7'!A1" display="Exhibit 7 - Rating Drift Fell in 2011 with Considerable Deterioration in Europe"/>
    <hyperlink ref="A10" location="'8'!A1" display="Exhibit 8 - Average Corporate Debt Recovery Rates Measured by Post-Default Trading Prices"/>
    <hyperlink ref="A11" location="'9'!A1" display="Exhibit 9 - Average Corporate Debt Recovery Rates Measured by Ultimate Recoveries, 1987-2011"/>
    <hyperlink ref="A12" location="'10'!A1" display="Exhibit 10 - Credit Loss Rates Edged Lower in 2011"/>
    <hyperlink ref="A13" location="'11'!A1" display="Exhibit 11 - Speculative-Grade Default Rate Expected to Rise Modestly in 2012"/>
    <hyperlink ref="A14" location="'12'!A1" display="Exhibit 12 - One-Year Corporate Default Rate Forecasts by Industry"/>
    <hyperlink ref="A15" location="'13'!A1" display="Exhibit 13 - Median Ratings Prior to Default, 2011 vs. Long-Term Average"/>
    <hyperlink ref="A16" location="'14'!A1" display="Exhibit 14 - One- and Five-Year Average Default Position by Cohort Year, 1983-2011"/>
    <hyperlink ref="A17" location="'15'!A1" display="Exhibit 15 - Moody's-Rated 2011 Corporate Bond and Loan Defaults"/>
    <hyperlink ref="A18" location="'16'!A1" display="Exhibit 16 - Annual Moody's-Rated Global Corporate Issuer Default Counts, 1920-2011"/>
    <hyperlink ref="A19" location="'17'!A1" display="Exhibit 17 - Annual Rated Global Corporate Bond and Loan Default Volumes, 1970-2011"/>
    <hyperlink ref="A20" location="'18'!A1" display="Exhibit 18 - Annual Issuer Default Counts and Volume Totals by Geographical Region, 1986-2011"/>
    <hyperlink ref="A21" location="'19'!A1" display="Exhibit 19 - 2011 Defaulted Corporate Bond and Loan Recoveries"/>
    <hyperlink ref="A22" location="'20'!A1" display="Exhibit 20 - Annual Defaulted Corporate Bond and Loan Recoveries"/>
    <hyperlink ref="A23" location="'21'!A1" display="Exhibit 21 - Average Sr. Unsecured Bond Recovery Rates by Year Prior to Default, 1982-2011"/>
    <hyperlink ref="A24" location="'22'!A1" display="Exhibit 22 - Average Cumulative Credit Loss Rates by Letter Rating, 1982-2011"/>
    <hyperlink ref="A25" location="'23'!A1" display="Exhibit 23 - Annual Credit Loss Rates by Letter Rating, 1982-2011"/>
    <hyperlink ref="A26" location="'24'!A1" display="Exhibit 24 - 2011 One-Year Letter Rating Migration Rates"/>
    <hyperlink ref="A27" location="'25'!A1" display="Exhibit 25 - Average One-Year Letter Rating Migration Rates, 1920-2011"/>
    <hyperlink ref="A28" location="'26'!A1" display="Exhibit 26 - Average One-Year Letter Rating Migration Rates, 1970-2011"/>
    <hyperlink ref="A29" location="'27'!A1" display="Exhibit 27 - Average Five-Year Letter Rating Migration Rates, 1970-2011"/>
    <hyperlink ref="A30" location="'28'!A1" display="Exhibit 28 - 2011 One-Year Alphanumeric Rating Migration Rates"/>
    <hyperlink ref="A31" location="'29'!A1" display="Exhibit 29 - Average One-Year Alphanumeric Rating Migration Rates, 1983-2011"/>
    <hyperlink ref="A32" location="'30'!A1" display="Exhibit 30 - Annual Issuer-Weighted Corporate Default Rates by Letter Rating, 1920-2011"/>
    <hyperlink ref="A33" location="'31'!A1" display="Exhibit 31 - Annual Issuer-Weighted Corporate Default Rates by Alphanumeric Rating, 1983-2011"/>
    <hyperlink ref="A34" location="'32'!A1" display="Exhibit 32 - Average Cumulative Issuer-Weighted Global Default Rates by Letter Rating, 1920-2011"/>
    <hyperlink ref="A35" location="'33'!A1" display="Exhibit 33 - Average Cumulative Issuer-Weighted Global Default Rates by Letter Rating, 1970-2011"/>
    <hyperlink ref="A36" location="'34'!A1" display="Exhibit 34 - Average Cumulative Issuer-Weighted Global Default Rates by Letter Rating, 1983-2011"/>
    <hyperlink ref="A37" location="'35'!A1" display="Exhibit 35 - Average Cumulative Issuer-Weighted Global Default Rates by Alphanumeric Rating, 1983-2011"/>
    <hyperlink ref="A38" location="'36'!A1" display="Exhibit 36 - Average Cumulative Issuer-Weighted Global Default Rates by Alphanumeric Rating, 1998-2011"/>
    <hyperlink ref="A39" location="'37'!A1" display="Exhibit 37 - Average Cumulative Issuer-Weighted Global Default Rates by Broad Industry Group, 1970-2011"/>
    <hyperlink ref="A40" location="'38'!A1" display="Exhibit 38 - Annual Default Rates by Broad Industry Group, 1970-2011"/>
    <hyperlink ref="A41" location="'39'!A1" display="Exhibit 39 - Annual Volume-Weighted Corporate Bond Default Rates by Letter Rating, 1994-2011"/>
    <hyperlink ref="A42" location="'40'!A1" display="Exhibit 40 - Average Volume-Weighted Corporate Bond Default Rates by Letter Rating, 1994-2011"/>
    <hyperlink ref="A43" location="'41'!A1" display="Exhibit 41 - Cumulative Issuer-Weighted Default Rates by Annual Cohort, 1970-2011"/>
    <hyperlink ref="A3" location="'1'!A1" display="Exhibit 1 - Defaults remained low in 201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zoomScaleNormal="100" workbookViewId="0"/>
  </sheetViews>
  <sheetFormatPr defaultRowHeight="15"/>
  <cols>
    <col min="1" max="1" width="11.28515625" bestFit="1" customWidth="1"/>
    <col min="2" max="2" width="13.85546875" style="129" bestFit="1" customWidth="1"/>
    <col min="3" max="3" width="17.140625" style="116" bestFit="1" customWidth="1"/>
  </cols>
  <sheetData>
    <row r="1" spans="1:3">
      <c r="A1" s="79" t="s">
        <v>344</v>
      </c>
    </row>
    <row r="3" spans="1:3">
      <c r="A3" s="6" t="s">
        <v>10</v>
      </c>
      <c r="B3" s="130" t="s">
        <v>84</v>
      </c>
      <c r="C3" s="117" t="s">
        <v>85</v>
      </c>
    </row>
    <row r="4" spans="1:3">
      <c r="A4">
        <v>1970</v>
      </c>
      <c r="B4" s="129">
        <v>27</v>
      </c>
      <c r="C4" s="116">
        <v>0.91</v>
      </c>
    </row>
    <row r="5" spans="1:3">
      <c r="A5">
        <v>1971</v>
      </c>
      <c r="B5" s="129">
        <v>3</v>
      </c>
      <c r="C5" s="116">
        <v>0.13200000000000001</v>
      </c>
    </row>
    <row r="6" spans="1:3">
      <c r="A6">
        <v>1972</v>
      </c>
      <c r="B6" s="129">
        <v>5</v>
      </c>
      <c r="C6" s="116">
        <v>0.215</v>
      </c>
    </row>
    <row r="7" spans="1:3">
      <c r="A7">
        <v>1973</v>
      </c>
      <c r="B7" s="129">
        <v>5</v>
      </c>
      <c r="C7" s="116">
        <v>0.112</v>
      </c>
    </row>
    <row r="8" spans="1:3">
      <c r="A8">
        <v>1974</v>
      </c>
      <c r="B8" s="129">
        <v>3</v>
      </c>
      <c r="C8" s="116">
        <v>6.9000000000000006E-2</v>
      </c>
    </row>
    <row r="9" spans="1:3">
      <c r="A9">
        <v>1975</v>
      </c>
      <c r="B9" s="129">
        <v>4</v>
      </c>
      <c r="C9" s="116">
        <v>0.17599999999999999</v>
      </c>
    </row>
    <row r="10" spans="1:3">
      <c r="A10">
        <v>1976</v>
      </c>
      <c r="B10" s="129">
        <v>2</v>
      </c>
      <c r="C10" s="116">
        <v>3.4000000000000002E-2</v>
      </c>
    </row>
    <row r="11" spans="1:3">
      <c r="A11">
        <v>1977</v>
      </c>
      <c r="B11" s="129">
        <v>4</v>
      </c>
      <c r="C11" s="116">
        <v>0.247</v>
      </c>
    </row>
    <row r="12" spans="1:3">
      <c r="A12">
        <v>1978</v>
      </c>
      <c r="B12" s="129">
        <v>4</v>
      </c>
      <c r="C12" s="116">
        <v>0.112</v>
      </c>
    </row>
    <row r="13" spans="1:3">
      <c r="A13">
        <v>1979</v>
      </c>
      <c r="B13" s="129">
        <v>1</v>
      </c>
      <c r="C13" s="116">
        <v>1.7999999999999999E-2</v>
      </c>
    </row>
    <row r="14" spans="1:3">
      <c r="A14">
        <v>1980</v>
      </c>
      <c r="B14" s="129">
        <v>4</v>
      </c>
      <c r="C14" s="116">
        <v>0.30199999999999999</v>
      </c>
    </row>
    <row r="15" spans="1:3">
      <c r="A15">
        <v>1981</v>
      </c>
      <c r="B15" s="129">
        <v>2</v>
      </c>
      <c r="C15" s="116">
        <v>4.7E-2</v>
      </c>
    </row>
    <row r="16" spans="1:3">
      <c r="A16">
        <v>1982</v>
      </c>
      <c r="B16" s="129">
        <v>13</v>
      </c>
      <c r="C16" s="116">
        <v>0.75800000000000001</v>
      </c>
    </row>
    <row r="17" spans="1:3">
      <c r="A17">
        <v>1983</v>
      </c>
      <c r="B17" s="129">
        <v>13</v>
      </c>
      <c r="C17" s="116">
        <v>1.1100000000000001</v>
      </c>
    </row>
    <row r="18" spans="1:3">
      <c r="A18">
        <v>1984</v>
      </c>
      <c r="B18" s="129">
        <v>13</v>
      </c>
      <c r="C18" s="116">
        <v>0.58199999999999996</v>
      </c>
    </row>
    <row r="19" spans="1:3">
      <c r="A19">
        <v>1985</v>
      </c>
      <c r="B19" s="129">
        <v>15</v>
      </c>
      <c r="C19" s="116">
        <v>1.3440000000000001</v>
      </c>
    </row>
    <row r="20" spans="1:3">
      <c r="A20">
        <v>1986</v>
      </c>
      <c r="B20" s="129">
        <v>33</v>
      </c>
      <c r="C20" s="116">
        <v>4.1310000000000002</v>
      </c>
    </row>
    <row r="21" spans="1:3">
      <c r="A21">
        <v>1987</v>
      </c>
      <c r="B21" s="129">
        <v>31</v>
      </c>
      <c r="C21" s="116">
        <v>9.1820000000000004</v>
      </c>
    </row>
    <row r="22" spans="1:3">
      <c r="A22">
        <v>1988</v>
      </c>
      <c r="B22" s="129">
        <v>29</v>
      </c>
      <c r="C22" s="116">
        <v>5.7960000000000003</v>
      </c>
    </row>
    <row r="23" spans="1:3">
      <c r="A23">
        <v>1989</v>
      </c>
      <c r="B23" s="129">
        <v>51</v>
      </c>
      <c r="C23" s="116">
        <v>11.023</v>
      </c>
    </row>
    <row r="24" spans="1:3">
      <c r="A24">
        <v>1990</v>
      </c>
      <c r="B24" s="129">
        <v>83</v>
      </c>
      <c r="C24" s="116">
        <v>21.673999999999999</v>
      </c>
    </row>
    <row r="25" spans="1:3">
      <c r="A25">
        <v>1991</v>
      </c>
      <c r="B25" s="129">
        <v>66</v>
      </c>
      <c r="C25" s="116">
        <v>17.402999999999999</v>
      </c>
    </row>
    <row r="26" spans="1:3">
      <c r="A26">
        <v>1992</v>
      </c>
      <c r="B26" s="129">
        <v>31</v>
      </c>
      <c r="C26" s="116">
        <v>7.2990000000000004</v>
      </c>
    </row>
    <row r="27" spans="1:3">
      <c r="A27">
        <v>1993</v>
      </c>
      <c r="B27" s="129">
        <v>19</v>
      </c>
      <c r="C27" s="116">
        <v>2.2949999999999999</v>
      </c>
    </row>
    <row r="28" spans="1:3">
      <c r="A28">
        <v>1994</v>
      </c>
      <c r="B28" s="129">
        <v>16</v>
      </c>
      <c r="C28" s="116">
        <v>2.399</v>
      </c>
    </row>
    <row r="29" spans="1:3">
      <c r="A29">
        <v>1995</v>
      </c>
      <c r="B29" s="129">
        <v>27</v>
      </c>
      <c r="C29" s="116">
        <v>4.9610000000000003</v>
      </c>
    </row>
    <row r="30" spans="1:3">
      <c r="A30">
        <v>1996</v>
      </c>
      <c r="B30" s="129">
        <v>17</v>
      </c>
      <c r="C30" s="116">
        <v>5.4880000000000004</v>
      </c>
    </row>
    <row r="31" spans="1:3">
      <c r="A31">
        <v>1997</v>
      </c>
      <c r="B31" s="129">
        <v>25</v>
      </c>
      <c r="C31" s="116">
        <v>6.0519999999999996</v>
      </c>
    </row>
    <row r="32" spans="1:3">
      <c r="A32">
        <v>1998</v>
      </c>
      <c r="B32" s="129">
        <v>49</v>
      </c>
      <c r="C32" s="116">
        <v>12.885</v>
      </c>
    </row>
    <row r="33" spans="1:3">
      <c r="A33">
        <v>1999</v>
      </c>
      <c r="B33" s="129">
        <v>101</v>
      </c>
      <c r="C33" s="116">
        <v>41.103999999999999</v>
      </c>
    </row>
    <row r="34" spans="1:3">
      <c r="A34">
        <v>2000</v>
      </c>
      <c r="B34" s="129">
        <v>124</v>
      </c>
      <c r="C34" s="116">
        <v>58.994</v>
      </c>
    </row>
    <row r="35" spans="1:3">
      <c r="A35">
        <v>2001</v>
      </c>
      <c r="B35" s="129">
        <v>187</v>
      </c>
      <c r="C35" s="116">
        <v>139.041</v>
      </c>
    </row>
    <row r="36" spans="1:3">
      <c r="A36">
        <v>2002</v>
      </c>
      <c r="B36" s="129">
        <v>139</v>
      </c>
      <c r="C36" s="116">
        <v>200.786</v>
      </c>
    </row>
    <row r="37" spans="1:3">
      <c r="A37">
        <v>2003</v>
      </c>
      <c r="B37" s="129">
        <v>82</v>
      </c>
      <c r="C37" s="116">
        <v>46.259</v>
      </c>
    </row>
    <row r="38" spans="1:3">
      <c r="A38">
        <v>2004</v>
      </c>
      <c r="B38" s="129">
        <v>38</v>
      </c>
      <c r="C38" s="116">
        <v>16.007999999999999</v>
      </c>
    </row>
    <row r="39" spans="1:3">
      <c r="A39">
        <v>2005</v>
      </c>
      <c r="B39" s="129">
        <v>32</v>
      </c>
      <c r="C39" s="116">
        <v>40.523000000000003</v>
      </c>
    </row>
    <row r="40" spans="1:3">
      <c r="A40">
        <v>2006</v>
      </c>
      <c r="B40" s="129">
        <v>31</v>
      </c>
      <c r="C40" s="116">
        <v>10.388</v>
      </c>
    </row>
    <row r="41" spans="1:3">
      <c r="A41">
        <v>2007</v>
      </c>
      <c r="B41" s="129">
        <v>18</v>
      </c>
      <c r="C41" s="116">
        <v>6.7380000000000004</v>
      </c>
    </row>
    <row r="42" spans="1:3">
      <c r="A42">
        <v>2008</v>
      </c>
      <c r="B42" s="129">
        <v>103</v>
      </c>
      <c r="C42" s="116">
        <v>280.916</v>
      </c>
    </row>
    <row r="43" spans="1:3">
      <c r="A43">
        <v>2009</v>
      </c>
      <c r="B43" s="129">
        <v>266</v>
      </c>
      <c r="C43" s="116">
        <v>330.113</v>
      </c>
    </row>
    <row r="44" spans="1:3">
      <c r="A44">
        <v>2010</v>
      </c>
      <c r="B44" s="129">
        <v>58</v>
      </c>
      <c r="C44" s="116">
        <v>39.451000000000001</v>
      </c>
    </row>
    <row r="45" spans="1:3">
      <c r="A45">
        <v>2011</v>
      </c>
      <c r="B45" s="129">
        <v>38</v>
      </c>
      <c r="C45" s="116">
        <v>35.996000000000002</v>
      </c>
    </row>
    <row r="46" spans="1:3">
      <c r="A46">
        <v>2012</v>
      </c>
      <c r="B46" s="129">
        <v>63</v>
      </c>
      <c r="C46" s="116">
        <v>49.295000000000002</v>
      </c>
    </row>
    <row r="47" spans="1:3">
      <c r="A47">
        <v>2013</v>
      </c>
      <c r="B47" s="129">
        <v>66</v>
      </c>
      <c r="C47" s="116">
        <v>54.561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zoomScaleNormal="100" workbookViewId="0"/>
  </sheetViews>
  <sheetFormatPr defaultRowHeight="15"/>
  <cols>
    <col min="1" max="1" width="22.140625" customWidth="1"/>
    <col min="2" max="2" width="19" bestFit="1" customWidth="1"/>
    <col min="3" max="3" width="13.140625" bestFit="1" customWidth="1"/>
  </cols>
  <sheetData>
    <row r="1" spans="1:3">
      <c r="A1" s="79" t="s">
        <v>345</v>
      </c>
    </row>
    <row r="3" spans="1:3">
      <c r="A3" s="134" t="s">
        <v>75</v>
      </c>
      <c r="B3" s="134" t="s">
        <v>351</v>
      </c>
      <c r="C3" s="134" t="s">
        <v>352</v>
      </c>
    </row>
    <row r="4" spans="1:3">
      <c r="A4" t="s">
        <v>63</v>
      </c>
      <c r="B4" s="7">
        <v>0.21212</v>
      </c>
      <c r="C4" s="7">
        <v>0.31819999999999998</v>
      </c>
    </row>
    <row r="5" spans="1:3">
      <c r="A5" t="s">
        <v>53</v>
      </c>
      <c r="B5" s="7">
        <v>0.22727</v>
      </c>
      <c r="C5" s="7">
        <v>8.226E-2</v>
      </c>
    </row>
    <row r="6" spans="1:3">
      <c r="A6" t="s">
        <v>57</v>
      </c>
      <c r="B6" s="7">
        <v>0.15151999999999999</v>
      </c>
      <c r="C6" s="7">
        <v>0.10018000000000001</v>
      </c>
    </row>
    <row r="7" spans="1:3">
      <c r="A7" t="s">
        <v>56</v>
      </c>
      <c r="B7" s="7">
        <v>0.12121</v>
      </c>
      <c r="C7" s="7">
        <v>0.14527999999999999</v>
      </c>
    </row>
    <row r="8" spans="1:3">
      <c r="A8" t="s">
        <v>60</v>
      </c>
      <c r="B8" s="7">
        <v>0.13636000000000001</v>
      </c>
      <c r="C8" s="9">
        <v>0.23809</v>
      </c>
    </row>
    <row r="9" spans="1:3">
      <c r="A9" t="s">
        <v>73</v>
      </c>
      <c r="B9" s="7">
        <v>3.0300000000000001E-2</v>
      </c>
      <c r="C9" s="9">
        <v>4.3310000000000001E-2</v>
      </c>
    </row>
    <row r="10" spans="1:3">
      <c r="A10" t="s">
        <v>58</v>
      </c>
      <c r="B10" s="7">
        <v>3.0300000000000001E-2</v>
      </c>
      <c r="C10" s="7">
        <v>1.523E-2</v>
      </c>
    </row>
    <row r="11" spans="1:3">
      <c r="A11" t="s">
        <v>54</v>
      </c>
      <c r="B11" s="7">
        <v>6.0609999999999997E-2</v>
      </c>
      <c r="C11" s="7">
        <v>2.1919999999999999E-2</v>
      </c>
    </row>
    <row r="12" spans="1:3">
      <c r="A12" s="135" t="s">
        <v>52</v>
      </c>
      <c r="B12" s="136">
        <v>3.0300000000000001E-2</v>
      </c>
      <c r="C12" s="136">
        <v>3.5520000000000003E-2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zoomScaleNormal="100" workbookViewId="0"/>
  </sheetViews>
  <sheetFormatPr defaultRowHeight="15"/>
  <cols>
    <col min="1" max="1" width="27.7109375" style="10" customWidth="1"/>
    <col min="2" max="2" width="14.140625" style="10" bestFit="1" customWidth="1"/>
    <col min="3" max="16384" width="9.140625" style="10"/>
  </cols>
  <sheetData>
    <row r="1" spans="1:2">
      <c r="A1" s="79" t="s">
        <v>80</v>
      </c>
    </row>
    <row r="2" spans="1:2">
      <c r="A2" s="79"/>
    </row>
    <row r="3" spans="1:2">
      <c r="A3" s="15" t="s">
        <v>75</v>
      </c>
      <c r="B3" s="15" t="s">
        <v>76</v>
      </c>
    </row>
    <row r="4" spans="1:2">
      <c r="A4" s="16" t="s">
        <v>63</v>
      </c>
      <c r="B4" s="11">
        <v>1.8710000000000001E-2</v>
      </c>
    </row>
    <row r="5" spans="1:2">
      <c r="A5" s="16" t="s">
        <v>53</v>
      </c>
      <c r="B5" s="11">
        <v>1.444E-2</v>
      </c>
    </row>
    <row r="6" spans="1:2">
      <c r="A6" s="16" t="s">
        <v>57</v>
      </c>
      <c r="B6" s="11">
        <v>1.653E-2</v>
      </c>
    </row>
    <row r="7" spans="1:2">
      <c r="A7" s="17" t="s">
        <v>56</v>
      </c>
      <c r="B7" s="11">
        <v>1.925E-2</v>
      </c>
    </row>
    <row r="8" spans="1:2">
      <c r="A8" s="16" t="s">
        <v>73</v>
      </c>
      <c r="B8" s="11">
        <v>4.15E-3</v>
      </c>
    </row>
    <row r="9" spans="1:2">
      <c r="A9" s="16" t="s">
        <v>60</v>
      </c>
      <c r="B9" s="11">
        <v>4.7870000000000003E-2</v>
      </c>
    </row>
    <row r="10" spans="1:2">
      <c r="A10" s="16" t="s">
        <v>58</v>
      </c>
      <c r="B10" s="11">
        <v>1.042E-2</v>
      </c>
    </row>
    <row r="11" spans="1:2">
      <c r="A11" s="16" t="s">
        <v>74</v>
      </c>
      <c r="B11" s="11">
        <v>0</v>
      </c>
    </row>
    <row r="12" spans="1:2">
      <c r="A12" s="16" t="s">
        <v>54</v>
      </c>
      <c r="B12" s="11">
        <v>9.11E-3</v>
      </c>
    </row>
    <row r="13" spans="1:2">
      <c r="A13" s="16" t="s">
        <v>52</v>
      </c>
      <c r="B13" s="11">
        <v>1.7469999999999999E-2</v>
      </c>
    </row>
    <row r="14" spans="1:2">
      <c r="A14" s="18" t="s">
        <v>62</v>
      </c>
      <c r="B14" s="13">
        <v>0</v>
      </c>
    </row>
    <row r="15" spans="1:2">
      <c r="A15" s="19" t="s">
        <v>77</v>
      </c>
      <c r="B15" s="1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7"/>
  <sheetViews>
    <sheetView workbookViewId="0"/>
  </sheetViews>
  <sheetFormatPr defaultRowHeight="15"/>
  <cols>
    <col min="1" max="1" width="7.140625" customWidth="1"/>
    <col min="2" max="2" width="11.140625" bestFit="1" customWidth="1"/>
  </cols>
  <sheetData>
    <row r="1" spans="1:2">
      <c r="A1" s="79" t="s">
        <v>346</v>
      </c>
    </row>
    <row r="3" spans="1:2">
      <c r="A3" s="134" t="s">
        <v>40</v>
      </c>
      <c r="B3" s="86" t="s">
        <v>303</v>
      </c>
    </row>
    <row r="4" spans="1:2">
      <c r="A4" s="84">
        <v>1920</v>
      </c>
      <c r="B4" s="14">
        <v>3.0089999999999999E-2</v>
      </c>
    </row>
    <row r="5" spans="1:2">
      <c r="A5" s="84">
        <v>1921</v>
      </c>
      <c r="B5" s="14">
        <v>2.1499999999999998E-2</v>
      </c>
    </row>
    <row r="6" spans="1:2">
      <c r="A6" s="84">
        <v>1922</v>
      </c>
      <c r="B6" s="14">
        <v>1.762E-2</v>
      </c>
    </row>
    <row r="7" spans="1:2">
      <c r="A7" s="84">
        <v>1923</v>
      </c>
      <c r="B7" s="14">
        <v>1.7049999999999999E-2</v>
      </c>
    </row>
    <row r="8" spans="1:2">
      <c r="A8" s="84">
        <v>1924</v>
      </c>
      <c r="B8" s="14">
        <v>2.852E-2</v>
      </c>
    </row>
    <row r="9" spans="1:2">
      <c r="A9" s="84">
        <v>1925</v>
      </c>
      <c r="B9" s="14">
        <v>2.562E-2</v>
      </c>
    </row>
    <row r="10" spans="1:2">
      <c r="A10" s="84">
        <v>1926</v>
      </c>
      <c r="B10" s="14">
        <v>1.9089999999999999E-2</v>
      </c>
    </row>
    <row r="11" spans="1:2">
      <c r="A11" s="84">
        <v>1927</v>
      </c>
      <c r="B11" s="14">
        <v>1.831E-2</v>
      </c>
    </row>
    <row r="12" spans="1:2">
      <c r="A12" s="84">
        <v>1928</v>
      </c>
      <c r="B12" s="14">
        <v>8.77E-3</v>
      </c>
    </row>
    <row r="13" spans="1:2">
      <c r="A13" s="84">
        <v>1929</v>
      </c>
      <c r="B13" s="14">
        <v>1.401E-2</v>
      </c>
    </row>
    <row r="14" spans="1:2">
      <c r="A14" s="84">
        <v>1930</v>
      </c>
      <c r="B14" s="14">
        <v>2.2020000000000001E-2</v>
      </c>
    </row>
    <row r="15" spans="1:2">
      <c r="A15" s="84">
        <v>1931</v>
      </c>
      <c r="B15" s="14">
        <v>7.8890000000000002E-2</v>
      </c>
    </row>
    <row r="16" spans="1:2">
      <c r="A16" s="84">
        <v>1932</v>
      </c>
      <c r="B16" s="14">
        <v>0.10978</v>
      </c>
    </row>
    <row r="17" spans="1:10">
      <c r="A17" s="84">
        <v>1933</v>
      </c>
      <c r="B17" s="14">
        <v>0.15756000000000001</v>
      </c>
    </row>
    <row r="18" spans="1:10">
      <c r="A18" s="84">
        <v>1934</v>
      </c>
      <c r="B18" s="14">
        <v>5.885E-2</v>
      </c>
    </row>
    <row r="19" spans="1:10">
      <c r="A19" s="84">
        <v>1935</v>
      </c>
      <c r="B19" s="14">
        <v>6.2379999999999998E-2</v>
      </c>
    </row>
    <row r="20" spans="1:10">
      <c r="A20" s="84">
        <v>1936</v>
      </c>
      <c r="B20" s="14">
        <v>2.7089999999999999E-2</v>
      </c>
      <c r="J20" s="21"/>
    </row>
    <row r="21" spans="1:10">
      <c r="A21" s="84">
        <v>1937</v>
      </c>
      <c r="B21" s="14">
        <v>2.7359999999999999E-2</v>
      </c>
    </row>
    <row r="22" spans="1:10">
      <c r="A22" s="84">
        <v>1938</v>
      </c>
      <c r="B22" s="14">
        <v>2.5870000000000001E-2</v>
      </c>
    </row>
    <row r="23" spans="1:10">
      <c r="A23" s="84">
        <v>1939</v>
      </c>
      <c r="B23" s="14">
        <v>1.7659999999999999E-2</v>
      </c>
    </row>
    <row r="24" spans="1:10">
      <c r="A24" s="84">
        <v>1940</v>
      </c>
      <c r="B24" s="14">
        <v>3.5450000000000002E-2</v>
      </c>
    </row>
    <row r="25" spans="1:10">
      <c r="A25" s="84">
        <v>1941</v>
      </c>
      <c r="B25" s="14">
        <v>1.704E-2</v>
      </c>
    </row>
    <row r="26" spans="1:10">
      <c r="A26" s="84">
        <v>1942</v>
      </c>
      <c r="B26" s="14">
        <v>7.3200000000000001E-3</v>
      </c>
    </row>
    <row r="27" spans="1:10">
      <c r="A27" s="84">
        <v>1943</v>
      </c>
      <c r="B27" s="14">
        <v>6.1199999999999996E-3</v>
      </c>
    </row>
    <row r="28" spans="1:10">
      <c r="A28" s="84">
        <v>1944</v>
      </c>
      <c r="B28" s="14">
        <v>6.62E-3</v>
      </c>
    </row>
    <row r="29" spans="1:10">
      <c r="A29" s="84">
        <v>1945</v>
      </c>
      <c r="B29" s="14">
        <v>5.5999999999999999E-3</v>
      </c>
    </row>
    <row r="30" spans="1:10">
      <c r="A30" s="84">
        <v>1946</v>
      </c>
      <c r="B30" s="14">
        <v>0</v>
      </c>
    </row>
    <row r="31" spans="1:10">
      <c r="A31" s="84">
        <v>1947</v>
      </c>
      <c r="B31" s="14">
        <v>6.3200000000000001E-3</v>
      </c>
    </row>
    <row r="32" spans="1:10">
      <c r="A32" s="84">
        <v>1948</v>
      </c>
      <c r="B32" s="14">
        <v>0</v>
      </c>
    </row>
    <row r="33" spans="1:2">
      <c r="A33" s="84">
        <v>1949</v>
      </c>
      <c r="B33" s="14">
        <v>1.9120000000000002E-2</v>
      </c>
    </row>
    <row r="34" spans="1:2">
      <c r="A34" s="84">
        <v>1950</v>
      </c>
      <c r="B34" s="14">
        <v>0</v>
      </c>
    </row>
    <row r="35" spans="1:2">
      <c r="A35" s="84">
        <v>1951</v>
      </c>
      <c r="B35" s="14">
        <v>4.3099999999999996E-3</v>
      </c>
    </row>
    <row r="36" spans="1:2">
      <c r="A36" s="84">
        <v>1952</v>
      </c>
      <c r="B36" s="14">
        <v>0</v>
      </c>
    </row>
    <row r="37" spans="1:2">
      <c r="A37" s="84">
        <v>1953</v>
      </c>
      <c r="B37" s="14">
        <v>0</v>
      </c>
    </row>
    <row r="38" spans="1:2">
      <c r="A38" s="84">
        <v>1954</v>
      </c>
      <c r="B38" s="14">
        <v>4.6499999999999996E-3</v>
      </c>
    </row>
    <row r="39" spans="1:2">
      <c r="A39" s="84">
        <v>1955</v>
      </c>
      <c r="B39" s="14">
        <v>5.1799999999999997E-3</v>
      </c>
    </row>
    <row r="40" spans="1:2">
      <c r="A40" s="84">
        <v>1956</v>
      </c>
      <c r="B40" s="14">
        <v>0</v>
      </c>
    </row>
    <row r="41" spans="1:2">
      <c r="A41" s="84">
        <v>1957</v>
      </c>
      <c r="B41" s="14">
        <v>4.4600000000000004E-3</v>
      </c>
    </row>
    <row r="42" spans="1:2">
      <c r="A42" s="84">
        <v>1958</v>
      </c>
      <c r="B42" s="14">
        <v>0</v>
      </c>
    </row>
    <row r="43" spans="1:2">
      <c r="A43" s="84">
        <v>1959</v>
      </c>
      <c r="B43" s="14">
        <v>0</v>
      </c>
    </row>
    <row r="44" spans="1:2">
      <c r="A44" s="84">
        <v>1960</v>
      </c>
      <c r="B44" s="14">
        <v>7.4700000000000001E-3</v>
      </c>
    </row>
    <row r="45" spans="1:2">
      <c r="A45" s="84">
        <v>1961</v>
      </c>
      <c r="B45" s="14">
        <v>1.065E-2</v>
      </c>
    </row>
    <row r="46" spans="1:2">
      <c r="A46" s="84">
        <v>1962</v>
      </c>
      <c r="B46" s="14">
        <v>1.5049999999999999E-2</v>
      </c>
    </row>
    <row r="47" spans="1:2">
      <c r="A47" s="84">
        <v>1963</v>
      </c>
      <c r="B47" s="14">
        <v>1.145E-2</v>
      </c>
    </row>
    <row r="48" spans="1:2">
      <c r="A48" s="84">
        <v>1964</v>
      </c>
      <c r="B48" s="14">
        <v>0</v>
      </c>
    </row>
    <row r="49" spans="1:2">
      <c r="A49" s="84">
        <v>1965</v>
      </c>
      <c r="B49" s="14">
        <v>0</v>
      </c>
    </row>
    <row r="50" spans="1:2">
      <c r="A50" s="84">
        <v>1966</v>
      </c>
      <c r="B50" s="14">
        <v>4.3899999999999998E-3</v>
      </c>
    </row>
    <row r="51" spans="1:2">
      <c r="A51" s="84">
        <v>1967</v>
      </c>
      <c r="B51" s="14">
        <v>0</v>
      </c>
    </row>
    <row r="52" spans="1:2">
      <c r="A52" s="84">
        <v>1968</v>
      </c>
      <c r="B52" s="14">
        <v>3.7499999999999999E-3</v>
      </c>
    </row>
    <row r="53" spans="1:2">
      <c r="A53" s="84">
        <v>1969</v>
      </c>
      <c r="B53" s="14">
        <v>0</v>
      </c>
    </row>
    <row r="54" spans="1:2">
      <c r="A54" s="84">
        <v>1970</v>
      </c>
      <c r="B54" s="14">
        <v>8.6779999999999996E-2</v>
      </c>
    </row>
    <row r="55" spans="1:2">
      <c r="A55" s="84">
        <v>1971</v>
      </c>
      <c r="B55" s="14">
        <v>1.155E-2</v>
      </c>
    </row>
    <row r="56" spans="1:2">
      <c r="A56" s="84">
        <v>1972</v>
      </c>
      <c r="B56" s="14">
        <v>1.9220000000000001E-2</v>
      </c>
    </row>
    <row r="57" spans="1:2">
      <c r="A57" s="84">
        <v>1973</v>
      </c>
      <c r="B57" s="14">
        <v>1.2800000000000001E-2</v>
      </c>
    </row>
    <row r="58" spans="1:2">
      <c r="A58" s="84">
        <v>1974</v>
      </c>
      <c r="B58" s="14">
        <v>1.332E-2</v>
      </c>
    </row>
    <row r="59" spans="1:2">
      <c r="A59" s="84">
        <v>1975</v>
      </c>
      <c r="B59" s="14">
        <v>1.7420000000000001E-2</v>
      </c>
    </row>
    <row r="60" spans="1:2">
      <c r="A60" s="84">
        <v>1976</v>
      </c>
      <c r="B60" s="14">
        <v>8.6800000000000002E-3</v>
      </c>
    </row>
    <row r="61" spans="1:2">
      <c r="A61" s="84">
        <v>1977</v>
      </c>
      <c r="B61" s="14">
        <v>1.3599999999999999E-2</v>
      </c>
    </row>
    <row r="62" spans="1:2">
      <c r="A62" s="84">
        <v>1978</v>
      </c>
      <c r="B62" s="14">
        <v>1.823E-2</v>
      </c>
    </row>
    <row r="63" spans="1:2">
      <c r="A63" s="84">
        <v>1979</v>
      </c>
      <c r="B63" s="14">
        <v>4.3499999999999997E-3</v>
      </c>
    </row>
    <row r="64" spans="1:2">
      <c r="A64" s="84">
        <v>1980</v>
      </c>
      <c r="B64" s="14">
        <v>1.6299999999999999E-2</v>
      </c>
    </row>
    <row r="65" spans="1:2">
      <c r="A65" s="84">
        <v>1981</v>
      </c>
      <c r="B65" s="14">
        <v>6.9800000000000001E-3</v>
      </c>
    </row>
    <row r="66" spans="1:2">
      <c r="A66" s="84">
        <v>1982</v>
      </c>
      <c r="B66" s="14">
        <v>3.5439999999999999E-2</v>
      </c>
    </row>
    <row r="67" spans="1:2">
      <c r="A67" s="84">
        <v>1983</v>
      </c>
      <c r="B67" s="14">
        <v>3.832E-2</v>
      </c>
    </row>
    <row r="68" spans="1:2">
      <c r="A68" s="84">
        <v>1984</v>
      </c>
      <c r="B68" s="14">
        <v>3.3610000000000001E-2</v>
      </c>
    </row>
    <row r="69" spans="1:2">
      <c r="A69" s="84">
        <v>1985</v>
      </c>
      <c r="B69" s="14">
        <v>3.4700000000000002E-2</v>
      </c>
    </row>
    <row r="70" spans="1:2">
      <c r="A70" s="84">
        <v>1986</v>
      </c>
      <c r="B70" s="14">
        <v>5.6660000000000002E-2</v>
      </c>
    </row>
    <row r="71" spans="1:2">
      <c r="A71" s="84">
        <v>1987</v>
      </c>
      <c r="B71" s="14">
        <v>4.4170000000000001E-2</v>
      </c>
    </row>
    <row r="72" spans="1:2">
      <c r="A72" s="84">
        <v>1988</v>
      </c>
      <c r="B72" s="14">
        <v>3.551E-2</v>
      </c>
    </row>
    <row r="73" spans="1:2">
      <c r="A73" s="84">
        <v>1989</v>
      </c>
      <c r="B73" s="14">
        <v>5.774E-2</v>
      </c>
    </row>
    <row r="74" spans="1:2">
      <c r="A74" s="84">
        <v>1990</v>
      </c>
      <c r="B74" s="14">
        <v>0.10255</v>
      </c>
    </row>
    <row r="75" spans="1:2">
      <c r="A75" s="84">
        <v>1991</v>
      </c>
      <c r="B75" s="14">
        <v>9.4500000000000001E-2</v>
      </c>
    </row>
    <row r="76" spans="1:2">
      <c r="A76" s="84">
        <v>1992</v>
      </c>
      <c r="B76" s="14">
        <v>5.2159999999999998E-2</v>
      </c>
    </row>
    <row r="77" spans="1:2">
      <c r="A77" s="84">
        <v>1993</v>
      </c>
      <c r="B77" s="14">
        <v>3.1510000000000003E-2</v>
      </c>
    </row>
    <row r="78" spans="1:2">
      <c r="A78" s="84">
        <v>1994</v>
      </c>
      <c r="B78" s="14">
        <v>2.145E-2</v>
      </c>
    </row>
    <row r="79" spans="1:2">
      <c r="A79" s="84">
        <v>1995</v>
      </c>
      <c r="B79" s="14">
        <v>3.0609999999999998E-2</v>
      </c>
    </row>
    <row r="80" spans="1:2">
      <c r="A80" s="84">
        <v>1996</v>
      </c>
      <c r="B80" s="14">
        <v>1.719E-2</v>
      </c>
    </row>
    <row r="81" spans="1:2">
      <c r="A81" s="84">
        <v>1997</v>
      </c>
      <c r="B81" s="14">
        <v>2.145E-2</v>
      </c>
    </row>
    <row r="82" spans="1:2">
      <c r="A82" s="84">
        <v>1998</v>
      </c>
      <c r="B82" s="14">
        <v>3.2980000000000002E-2</v>
      </c>
    </row>
    <row r="83" spans="1:2">
      <c r="A83" s="84">
        <v>1999</v>
      </c>
      <c r="B83" s="14">
        <v>5.6939999999999998E-2</v>
      </c>
    </row>
    <row r="84" spans="1:2">
      <c r="A84" s="84">
        <v>2000</v>
      </c>
      <c r="B84" s="14">
        <v>6.6850000000000007E-2</v>
      </c>
    </row>
    <row r="85" spans="1:2">
      <c r="A85" s="84">
        <v>2001</v>
      </c>
      <c r="B85" s="14">
        <v>0.10831</v>
      </c>
    </row>
    <row r="86" spans="1:2">
      <c r="A86" s="84">
        <v>2002</v>
      </c>
      <c r="B86" s="14">
        <v>8.3729999999999999E-2</v>
      </c>
    </row>
    <row r="87" spans="1:2">
      <c r="A87" s="84">
        <v>2003</v>
      </c>
      <c r="B87" s="14">
        <v>5.5280000000000003E-2</v>
      </c>
    </row>
    <row r="88" spans="1:2">
      <c r="A88" s="84">
        <v>2004</v>
      </c>
      <c r="B88" s="14">
        <v>2.5559999999999999E-2</v>
      </c>
    </row>
    <row r="89" spans="1:2">
      <c r="A89" s="84">
        <v>2005</v>
      </c>
      <c r="B89" s="118">
        <v>1.8749999999999999E-2</v>
      </c>
    </row>
    <row r="90" spans="1:2">
      <c r="A90" s="84">
        <v>2006</v>
      </c>
      <c r="B90" s="14">
        <v>1.8579999999999999E-2</v>
      </c>
    </row>
    <row r="91" spans="1:2">
      <c r="A91" s="84">
        <v>2007</v>
      </c>
      <c r="B91" s="14">
        <v>9.8099999999999993E-3</v>
      </c>
    </row>
    <row r="92" spans="1:2">
      <c r="A92" s="84">
        <v>2008</v>
      </c>
      <c r="B92" s="14">
        <v>4.4929999999999998E-2</v>
      </c>
    </row>
    <row r="93" spans="1:2">
      <c r="A93" s="84">
        <v>2009</v>
      </c>
      <c r="B93" s="14">
        <v>0.13320000000000001</v>
      </c>
    </row>
    <row r="94" spans="1:2">
      <c r="A94" s="84">
        <v>2010</v>
      </c>
      <c r="B94" s="14">
        <v>3.3050000000000003E-2</v>
      </c>
    </row>
    <row r="95" spans="1:2">
      <c r="A95" s="84">
        <v>2011</v>
      </c>
      <c r="B95" s="14">
        <v>2.0109999999999999E-2</v>
      </c>
    </row>
    <row r="96" spans="1:2">
      <c r="A96" s="84">
        <v>2012</v>
      </c>
      <c r="B96" s="14">
        <v>2.9149999999999999E-2</v>
      </c>
    </row>
    <row r="97" spans="1:2">
      <c r="A97" s="84">
        <v>2013</v>
      </c>
      <c r="B97" s="14">
        <v>2.8830000000000001E-2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
  <sheetViews>
    <sheetView workbookViewId="0"/>
  </sheetViews>
  <sheetFormatPr defaultRowHeight="15"/>
  <cols>
    <col min="1" max="1" width="13" style="22" customWidth="1"/>
    <col min="2" max="2" width="11.5703125" bestFit="1" customWidth="1"/>
  </cols>
  <sheetData>
    <row r="1" spans="1:2">
      <c r="A1" s="20" t="s">
        <v>331</v>
      </c>
    </row>
    <row r="2" spans="1:2">
      <c r="A2" s="20"/>
    </row>
    <row r="3" spans="1:2">
      <c r="A3" s="85" t="s">
        <v>87</v>
      </c>
      <c r="B3" s="85" t="s">
        <v>353</v>
      </c>
    </row>
    <row r="4" spans="1:2">
      <c r="A4" s="88">
        <v>31137</v>
      </c>
      <c r="B4" s="27">
        <v>-9.3299999999999998E-3</v>
      </c>
    </row>
    <row r="5" spans="1:2">
      <c r="A5" s="88">
        <v>31228</v>
      </c>
      <c r="B5" s="27">
        <v>-1.3299999999999999E-2</v>
      </c>
    </row>
    <row r="6" spans="1:2">
      <c r="A6" s="88">
        <v>31320</v>
      </c>
      <c r="B6" s="27">
        <v>-1.745E-2</v>
      </c>
    </row>
    <row r="7" spans="1:2">
      <c r="A7" s="88">
        <v>31412</v>
      </c>
      <c r="B7" s="27">
        <v>-1.4619999999999999E-2</v>
      </c>
    </row>
    <row r="8" spans="1:2">
      <c r="A8" s="88">
        <v>31502</v>
      </c>
      <c r="B8" s="27">
        <v>-3.9890000000000002E-2</v>
      </c>
    </row>
    <row r="9" spans="1:2">
      <c r="A9" s="88">
        <v>31593</v>
      </c>
      <c r="B9" s="27">
        <v>-5.8900000000000003E-3</v>
      </c>
    </row>
    <row r="10" spans="1:2">
      <c r="A10" s="88">
        <v>31685</v>
      </c>
      <c r="B10" s="27">
        <v>-1.6899999999999998E-2</v>
      </c>
    </row>
    <row r="11" spans="1:2">
      <c r="A11" s="88">
        <v>31777</v>
      </c>
      <c r="B11" s="27">
        <v>-4.3189999999999999E-2</v>
      </c>
    </row>
    <row r="12" spans="1:2">
      <c r="A12" s="88">
        <v>31867</v>
      </c>
      <c r="B12" s="27">
        <v>-2.3380000000000001E-2</v>
      </c>
    </row>
    <row r="13" spans="1:2">
      <c r="A13" s="88">
        <v>31958</v>
      </c>
      <c r="B13" s="27">
        <v>-5.2399999999999999E-3</v>
      </c>
    </row>
    <row r="14" spans="1:2">
      <c r="A14" s="88">
        <v>32050</v>
      </c>
      <c r="B14" s="27">
        <v>-2.32E-3</v>
      </c>
    </row>
    <row r="15" spans="1:2">
      <c r="A15" s="88">
        <v>32142</v>
      </c>
      <c r="B15" s="27">
        <v>-2.7550000000000002E-2</v>
      </c>
    </row>
    <row r="16" spans="1:2">
      <c r="A16" s="88">
        <v>32233</v>
      </c>
      <c r="B16" s="27">
        <v>-3.5369999999999999E-2</v>
      </c>
    </row>
    <row r="17" spans="1:2">
      <c r="A17" s="88">
        <v>32324</v>
      </c>
      <c r="B17" s="27">
        <v>-1.4749999999999999E-2</v>
      </c>
    </row>
    <row r="18" spans="1:2">
      <c r="A18" s="88">
        <v>32416</v>
      </c>
      <c r="B18" s="27">
        <v>4.6000000000000001E-4</v>
      </c>
    </row>
    <row r="19" spans="1:2">
      <c r="A19" s="88">
        <v>32508</v>
      </c>
      <c r="B19" s="27">
        <v>-1.712E-2</v>
      </c>
    </row>
    <row r="20" spans="1:2">
      <c r="A20" s="88">
        <v>32598</v>
      </c>
      <c r="B20" s="27">
        <v>-1.525E-2</v>
      </c>
    </row>
    <row r="21" spans="1:2">
      <c r="A21" s="88">
        <v>32689</v>
      </c>
      <c r="B21" s="27">
        <v>-1.375E-2</v>
      </c>
    </row>
    <row r="22" spans="1:2">
      <c r="A22" s="88">
        <v>32781</v>
      </c>
      <c r="B22" s="27">
        <v>-2.3990000000000001E-2</v>
      </c>
    </row>
    <row r="23" spans="1:2">
      <c r="A23" s="88">
        <v>32873</v>
      </c>
      <c r="B23" s="27">
        <v>-4.0460000000000003E-2</v>
      </c>
    </row>
    <row r="24" spans="1:2">
      <c r="A24" s="88">
        <v>32963</v>
      </c>
      <c r="B24" s="27">
        <v>-3.5990000000000001E-2</v>
      </c>
    </row>
    <row r="25" spans="1:2">
      <c r="A25" s="88">
        <v>33054</v>
      </c>
      <c r="B25" s="27">
        <v>-5.0849999999999999E-2</v>
      </c>
    </row>
    <row r="26" spans="1:2">
      <c r="A26" s="88">
        <v>33146</v>
      </c>
      <c r="B26" s="27">
        <v>-3.8580000000000003E-2</v>
      </c>
    </row>
    <row r="27" spans="1:2">
      <c r="A27" s="88">
        <v>33238</v>
      </c>
      <c r="B27" s="27">
        <v>-4.9369999999999997E-2</v>
      </c>
    </row>
    <row r="28" spans="1:2">
      <c r="A28" s="88">
        <v>33328</v>
      </c>
      <c r="B28" s="27">
        <v>-4.9750000000000003E-2</v>
      </c>
    </row>
    <row r="29" spans="1:2">
      <c r="A29" s="88">
        <v>33419</v>
      </c>
      <c r="B29" s="27">
        <v>-4.0730000000000002E-2</v>
      </c>
    </row>
    <row r="30" spans="1:2">
      <c r="A30" s="88">
        <v>33511</v>
      </c>
      <c r="B30" s="27">
        <v>-3.637E-2</v>
      </c>
    </row>
    <row r="31" spans="1:2">
      <c r="A31" s="88">
        <v>33603</v>
      </c>
      <c r="B31" s="27">
        <v>-2.3879999999999998E-2</v>
      </c>
    </row>
    <row r="32" spans="1:2">
      <c r="A32" s="88">
        <v>33694</v>
      </c>
      <c r="B32" s="27">
        <v>-3.6949999999999997E-2</v>
      </c>
    </row>
    <row r="33" spans="1:2">
      <c r="A33" s="88">
        <v>33785</v>
      </c>
      <c r="B33" s="27">
        <v>-2.2890000000000001E-2</v>
      </c>
    </row>
    <row r="34" spans="1:2">
      <c r="A34" s="88">
        <v>33877</v>
      </c>
      <c r="B34" s="27">
        <v>-2.4340000000000001E-2</v>
      </c>
    </row>
    <row r="35" spans="1:2">
      <c r="A35" s="88">
        <v>33969</v>
      </c>
      <c r="B35" s="27">
        <v>-3.8670000000000003E-2</v>
      </c>
    </row>
    <row r="36" spans="1:2">
      <c r="A36" s="88">
        <v>34059</v>
      </c>
      <c r="B36" s="27">
        <v>-1.566E-2</v>
      </c>
    </row>
    <row r="37" spans="1:2">
      <c r="A37" s="88">
        <v>34150</v>
      </c>
      <c r="B37" s="27">
        <v>-2.862E-2</v>
      </c>
    </row>
    <row r="38" spans="1:2">
      <c r="A38" s="88">
        <v>34242</v>
      </c>
      <c r="B38" s="27">
        <v>-5.9500000000000004E-3</v>
      </c>
    </row>
    <row r="39" spans="1:2">
      <c r="A39" s="88">
        <v>34334</v>
      </c>
      <c r="B39" s="27">
        <v>1.65E-3</v>
      </c>
    </row>
    <row r="40" spans="1:2">
      <c r="A40" s="88">
        <v>34424</v>
      </c>
      <c r="B40" s="27">
        <v>-1.6000000000000001E-3</v>
      </c>
    </row>
    <row r="41" spans="1:2">
      <c r="A41" s="88">
        <v>34515</v>
      </c>
      <c r="B41" s="27">
        <v>-2.7299999999999998E-3</v>
      </c>
    </row>
    <row r="42" spans="1:2">
      <c r="A42" s="88">
        <v>34607</v>
      </c>
      <c r="B42" s="27">
        <v>-2.6800000000000001E-3</v>
      </c>
    </row>
    <row r="43" spans="1:2">
      <c r="A43" s="88">
        <v>34699</v>
      </c>
      <c r="B43" s="27">
        <v>3.6999999999999999E-4</v>
      </c>
    </row>
    <row r="44" spans="1:2">
      <c r="A44" s="88">
        <v>34789</v>
      </c>
      <c r="B44" s="27">
        <v>2.2000000000000001E-3</v>
      </c>
    </row>
    <row r="45" spans="1:2">
      <c r="A45" s="88">
        <v>34880</v>
      </c>
      <c r="B45" s="27">
        <v>-6.13E-3</v>
      </c>
    </row>
    <row r="46" spans="1:2">
      <c r="A46" s="88">
        <v>34972</v>
      </c>
      <c r="B46" s="27">
        <v>4.1700000000000001E-3</v>
      </c>
    </row>
    <row r="47" spans="1:2">
      <c r="A47" s="88">
        <v>35064</v>
      </c>
      <c r="B47" s="27">
        <v>-2.7100000000000002E-3</v>
      </c>
    </row>
    <row r="48" spans="1:2">
      <c r="A48" s="88">
        <v>35155</v>
      </c>
      <c r="B48" s="27">
        <v>1.99E-3</v>
      </c>
    </row>
    <row r="49" spans="1:7">
      <c r="A49" s="88">
        <v>35246</v>
      </c>
      <c r="B49" s="27">
        <v>1.2899999999999999E-3</v>
      </c>
    </row>
    <row r="50" spans="1:7">
      <c r="A50" s="88">
        <v>35338</v>
      </c>
      <c r="B50" s="27">
        <v>1.2460000000000001E-2</v>
      </c>
    </row>
    <row r="51" spans="1:7">
      <c r="A51" s="88">
        <v>35430</v>
      </c>
      <c r="B51" s="27">
        <v>1.155E-2</v>
      </c>
    </row>
    <row r="52" spans="1:7">
      <c r="A52" s="88">
        <v>35520</v>
      </c>
      <c r="B52" s="27">
        <v>-8.8000000000000003E-4</v>
      </c>
    </row>
    <row r="53" spans="1:7">
      <c r="A53" s="88">
        <v>35611</v>
      </c>
      <c r="B53" s="27">
        <v>-4.8500000000000001E-3</v>
      </c>
    </row>
    <row r="54" spans="1:7">
      <c r="A54" s="88">
        <v>35703</v>
      </c>
      <c r="B54" s="27">
        <v>2.068E-2</v>
      </c>
    </row>
    <row r="55" spans="1:7">
      <c r="A55" s="88">
        <v>35795</v>
      </c>
      <c r="B55" s="27">
        <v>-1.085E-2</v>
      </c>
    </row>
    <row r="56" spans="1:7">
      <c r="A56" s="88">
        <v>35885</v>
      </c>
      <c r="B56" s="27">
        <v>-1.9769999999999999E-2</v>
      </c>
      <c r="D56" s="101"/>
      <c r="F56" s="102"/>
      <c r="G56" s="102"/>
    </row>
    <row r="57" spans="1:7">
      <c r="A57" s="88">
        <v>35976</v>
      </c>
      <c r="B57" s="27">
        <v>-1.797E-2</v>
      </c>
    </row>
    <row r="58" spans="1:7">
      <c r="A58" s="88">
        <v>36068</v>
      </c>
      <c r="B58" s="27">
        <v>-3.0370000000000001E-2</v>
      </c>
    </row>
    <row r="59" spans="1:7">
      <c r="A59" s="88">
        <v>36160</v>
      </c>
      <c r="B59" s="27">
        <v>-4.7260000000000003E-2</v>
      </c>
    </row>
    <row r="60" spans="1:7">
      <c r="A60" s="88">
        <v>36250</v>
      </c>
      <c r="B60" s="27">
        <v>-3.3730000000000003E-2</v>
      </c>
    </row>
    <row r="61" spans="1:7">
      <c r="A61" s="88">
        <v>36341</v>
      </c>
      <c r="B61" s="27">
        <v>-1.4789999999999999E-2</v>
      </c>
    </row>
    <row r="62" spans="1:7">
      <c r="A62" s="88">
        <v>36433</v>
      </c>
      <c r="B62" s="27">
        <v>-1.192E-2</v>
      </c>
    </row>
    <row r="63" spans="1:7">
      <c r="A63" s="88">
        <v>36525</v>
      </c>
      <c r="B63" s="27">
        <v>-9.11E-3</v>
      </c>
    </row>
    <row r="64" spans="1:7">
      <c r="A64" s="88">
        <v>36616</v>
      </c>
      <c r="B64" s="27">
        <v>-8.1700000000000002E-3</v>
      </c>
    </row>
    <row r="65" spans="1:2">
      <c r="A65" s="88">
        <v>36707</v>
      </c>
      <c r="B65" s="27">
        <v>1.7600000000000001E-3</v>
      </c>
    </row>
    <row r="66" spans="1:2">
      <c r="A66" s="88">
        <v>36799</v>
      </c>
      <c r="B66" s="27">
        <v>-1.218E-2</v>
      </c>
    </row>
    <row r="67" spans="1:2">
      <c r="A67" s="88">
        <v>36891</v>
      </c>
      <c r="B67" s="27">
        <v>-2.0830000000000001E-2</v>
      </c>
    </row>
    <row r="68" spans="1:2">
      <c r="A68" s="88">
        <v>36981</v>
      </c>
      <c r="B68" s="27">
        <v>-4.1399999999999999E-2</v>
      </c>
    </row>
    <row r="69" spans="1:2">
      <c r="A69" s="88">
        <v>37072</v>
      </c>
      <c r="B69" s="27">
        <v>-3.39E-2</v>
      </c>
    </row>
    <row r="70" spans="1:2">
      <c r="A70" s="88">
        <v>37164</v>
      </c>
      <c r="B70" s="27">
        <v>-3.3320000000000002E-2</v>
      </c>
    </row>
    <row r="71" spans="1:2">
      <c r="A71" s="88">
        <v>37256</v>
      </c>
      <c r="B71" s="27">
        <v>-4.6370000000000001E-2</v>
      </c>
    </row>
    <row r="72" spans="1:2">
      <c r="A72" s="88">
        <v>37346</v>
      </c>
      <c r="B72" s="27">
        <v>-5.4919999999999997E-2</v>
      </c>
    </row>
    <row r="73" spans="1:2">
      <c r="A73" s="88">
        <v>37437</v>
      </c>
      <c r="B73" s="27">
        <v>-5.0779999999999999E-2</v>
      </c>
    </row>
    <row r="74" spans="1:2">
      <c r="A74" s="88">
        <v>37529</v>
      </c>
      <c r="B74" s="27">
        <v>-4.1619999999999997E-2</v>
      </c>
    </row>
    <row r="75" spans="1:2">
      <c r="A75" s="88">
        <v>37621</v>
      </c>
      <c r="B75" s="27">
        <v>-7.2789999999999994E-2</v>
      </c>
    </row>
    <row r="76" spans="1:2">
      <c r="A76" s="88">
        <v>37711</v>
      </c>
      <c r="B76" s="27">
        <v>-4.0770000000000001E-2</v>
      </c>
    </row>
    <row r="77" spans="1:2">
      <c r="A77" s="88">
        <v>37802</v>
      </c>
      <c r="B77" s="27">
        <v>-3.5659999999999997E-2</v>
      </c>
    </row>
    <row r="78" spans="1:2">
      <c r="A78" s="88">
        <v>37894</v>
      </c>
      <c r="B78" s="27">
        <v>-1.584E-2</v>
      </c>
    </row>
    <row r="79" spans="1:2">
      <c r="A79" s="88">
        <v>37986</v>
      </c>
      <c r="B79" s="27">
        <v>-1.136E-2</v>
      </c>
    </row>
    <row r="80" spans="1:2">
      <c r="A80" s="88">
        <v>38077</v>
      </c>
      <c r="B80" s="27">
        <v>-3.9699999999999996E-3</v>
      </c>
    </row>
    <row r="81" spans="1:2">
      <c r="A81" s="88">
        <v>38168</v>
      </c>
      <c r="B81" s="27">
        <v>-4.3800000000000002E-3</v>
      </c>
    </row>
    <row r="82" spans="1:2">
      <c r="A82" s="88">
        <v>38260</v>
      </c>
      <c r="B82" s="27">
        <v>1.3860000000000001E-2</v>
      </c>
    </row>
    <row r="83" spans="1:2">
      <c r="A83" s="88">
        <v>38352</v>
      </c>
      <c r="B83" s="27">
        <v>2.6440000000000002E-2</v>
      </c>
    </row>
    <row r="84" spans="1:2">
      <c r="A84" s="88">
        <v>38442</v>
      </c>
      <c r="B84" s="27">
        <v>6.2700000000000004E-3</v>
      </c>
    </row>
    <row r="85" spans="1:2">
      <c r="A85" s="88">
        <v>38533</v>
      </c>
      <c r="B85" s="27">
        <v>3.32E-3</v>
      </c>
    </row>
    <row r="86" spans="1:2">
      <c r="A86" s="88">
        <v>38625</v>
      </c>
      <c r="B86" s="27">
        <v>1.034E-2</v>
      </c>
    </row>
    <row r="87" spans="1:2">
      <c r="A87" s="88">
        <v>38717</v>
      </c>
      <c r="B87" s="27">
        <v>6.6E-4</v>
      </c>
    </row>
    <row r="88" spans="1:2">
      <c r="A88" s="88">
        <v>38807</v>
      </c>
      <c r="B88" s="27">
        <v>1.2999999999999999E-3</v>
      </c>
    </row>
    <row r="89" spans="1:2">
      <c r="A89" s="88">
        <v>38898</v>
      </c>
      <c r="B89" s="27">
        <v>1.1010000000000001E-2</v>
      </c>
    </row>
    <row r="90" spans="1:2">
      <c r="A90" s="88">
        <v>38990</v>
      </c>
      <c r="B90" s="27">
        <v>5.7600000000000004E-3</v>
      </c>
    </row>
    <row r="91" spans="1:2">
      <c r="A91" s="88">
        <v>39082</v>
      </c>
      <c r="B91" s="27">
        <v>5.0899999999999999E-3</v>
      </c>
    </row>
    <row r="92" spans="1:2">
      <c r="A92" s="88">
        <v>39172</v>
      </c>
      <c r="B92" s="27">
        <v>8.4000000000000003E-4</v>
      </c>
    </row>
    <row r="93" spans="1:2">
      <c r="A93" s="88">
        <v>39263</v>
      </c>
      <c r="B93" s="27">
        <v>1.66E-3</v>
      </c>
    </row>
    <row r="94" spans="1:2">
      <c r="A94" s="88">
        <v>39355</v>
      </c>
      <c r="B94" s="27">
        <v>-2.8700000000000002E-3</v>
      </c>
    </row>
    <row r="95" spans="1:2">
      <c r="A95" s="88">
        <v>39447</v>
      </c>
      <c r="B95" s="27">
        <v>-1.6930000000000001E-2</v>
      </c>
    </row>
    <row r="96" spans="1:2">
      <c r="A96" s="88">
        <v>39538</v>
      </c>
      <c r="B96" s="27">
        <v>-2.656E-2</v>
      </c>
    </row>
    <row r="97" spans="1:2">
      <c r="A97" s="88">
        <v>39629</v>
      </c>
      <c r="B97" s="27">
        <v>-3.1579999999999997E-2</v>
      </c>
    </row>
    <row r="98" spans="1:2">
      <c r="A98" s="88">
        <v>39721</v>
      </c>
      <c r="B98" s="27">
        <v>-4.301E-2</v>
      </c>
    </row>
    <row r="99" spans="1:2">
      <c r="A99" s="88">
        <v>39813</v>
      </c>
      <c r="B99" s="27">
        <v>-0.10205</v>
      </c>
    </row>
    <row r="100" spans="1:2">
      <c r="A100" s="88">
        <v>39903</v>
      </c>
      <c r="B100" s="27">
        <v>-0.14924999999999999</v>
      </c>
    </row>
    <row r="101" spans="1:2">
      <c r="A101" s="88">
        <v>39994</v>
      </c>
      <c r="B101" s="27">
        <v>-0.11609</v>
      </c>
    </row>
    <row r="102" spans="1:2">
      <c r="A102" s="88">
        <v>40086</v>
      </c>
      <c r="B102" s="27">
        <v>-4.829E-2</v>
      </c>
    </row>
    <row r="103" spans="1:2">
      <c r="A103" s="88">
        <v>40178</v>
      </c>
      <c r="B103" s="27">
        <v>-1.5570000000000001E-2</v>
      </c>
    </row>
    <row r="104" spans="1:2">
      <c r="A104" s="88">
        <v>40268</v>
      </c>
      <c r="B104" s="27">
        <v>-4.4200000000000003E-3</v>
      </c>
    </row>
    <row r="105" spans="1:2">
      <c r="A105" s="88">
        <v>40359</v>
      </c>
      <c r="B105" s="27">
        <v>9.2000000000000003E-4</v>
      </c>
    </row>
    <row r="106" spans="1:2">
      <c r="A106" s="88">
        <v>40451</v>
      </c>
      <c r="B106" s="27">
        <v>-1.81E-3</v>
      </c>
    </row>
    <row r="107" spans="1:2">
      <c r="A107" s="88">
        <v>40543</v>
      </c>
      <c r="B107" s="27">
        <v>-1.56E-3</v>
      </c>
    </row>
    <row r="108" spans="1:2">
      <c r="A108" s="88">
        <v>40633</v>
      </c>
      <c r="B108" s="27">
        <v>-8.5199999999999998E-3</v>
      </c>
    </row>
    <row r="109" spans="1:2">
      <c r="A109" s="88">
        <v>40724</v>
      </c>
      <c r="B109" s="27">
        <v>-6.6899999999999998E-3</v>
      </c>
    </row>
    <row r="110" spans="1:2">
      <c r="A110" s="88">
        <v>40816</v>
      </c>
      <c r="B110" s="27">
        <v>-2.5569999999999999E-2</v>
      </c>
    </row>
    <row r="111" spans="1:2">
      <c r="A111" s="88">
        <v>40908</v>
      </c>
      <c r="B111" s="27">
        <v>-5.2819999999999999E-2</v>
      </c>
    </row>
    <row r="112" spans="1:2">
      <c r="A112" s="88">
        <v>40999</v>
      </c>
      <c r="B112" s="27">
        <v>-1.7829999999999999E-2</v>
      </c>
    </row>
    <row r="113" spans="1:2">
      <c r="A113" s="88">
        <v>41090</v>
      </c>
      <c r="B113" s="27">
        <v>-7.4709999999999999E-2</v>
      </c>
    </row>
    <row r="114" spans="1:2">
      <c r="A114" s="88">
        <v>41182</v>
      </c>
      <c r="B114" s="27">
        <v>-1.8239999999999999E-2</v>
      </c>
    </row>
    <row r="115" spans="1:2">
      <c r="A115" s="88">
        <v>41274</v>
      </c>
      <c r="B115" s="27">
        <v>-2.1399999999999999E-2</v>
      </c>
    </row>
    <row r="116" spans="1:2">
      <c r="A116" s="88">
        <v>41364</v>
      </c>
      <c r="B116" s="27">
        <v>-1.6500000000000001E-2</v>
      </c>
    </row>
    <row r="117" spans="1:2">
      <c r="A117" s="88">
        <v>41455</v>
      </c>
      <c r="B117" s="27">
        <v>-2.0629999999999999E-2</v>
      </c>
    </row>
    <row r="118" spans="1:2">
      <c r="A118" s="88">
        <v>41547</v>
      </c>
      <c r="B118" s="27">
        <v>-1.626E-2</v>
      </c>
    </row>
    <row r="119" spans="1:2">
      <c r="A119" s="88">
        <v>41639</v>
      </c>
      <c r="B119" s="27">
        <v>-1.453E-2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zoomScaleNormal="100" workbookViewId="0"/>
  </sheetViews>
  <sheetFormatPr defaultRowHeight="15"/>
  <cols>
    <col min="1" max="1" width="12" customWidth="1"/>
    <col min="2" max="2" width="12.28515625" bestFit="1" customWidth="1"/>
    <col min="3" max="3" width="9.42578125" bestFit="1" customWidth="1"/>
    <col min="4" max="5" width="14" bestFit="1" customWidth="1"/>
    <col min="10" max="10" width="12.28515625" bestFit="1" customWidth="1"/>
  </cols>
  <sheetData>
    <row r="1" spans="1:11">
      <c r="A1" s="133" t="s">
        <v>332</v>
      </c>
    </row>
    <row r="2" spans="1:11">
      <c r="A2" s="103"/>
    </row>
    <row r="3" spans="1:11">
      <c r="B3" t="s">
        <v>305</v>
      </c>
      <c r="C3" t="s">
        <v>305</v>
      </c>
      <c r="D3" t="s">
        <v>51</v>
      </c>
      <c r="E3" t="s">
        <v>51</v>
      </c>
    </row>
    <row r="4" spans="1:11" s="8" customFormat="1">
      <c r="A4" s="137" t="s">
        <v>87</v>
      </c>
      <c r="B4" s="138" t="s">
        <v>306</v>
      </c>
      <c r="C4" s="138" t="s">
        <v>307</v>
      </c>
      <c r="D4" s="138" t="s">
        <v>306</v>
      </c>
      <c r="E4" s="138" t="s">
        <v>307</v>
      </c>
      <c r="F4"/>
      <c r="G4"/>
      <c r="H4"/>
      <c r="I4"/>
      <c r="J4"/>
      <c r="K4"/>
    </row>
    <row r="5" spans="1:11">
      <c r="A5" s="87">
        <v>39538</v>
      </c>
      <c r="B5" s="139">
        <v>-1.6100000000000001E-3</v>
      </c>
      <c r="C5" s="139">
        <v>-1.8270000000000002E-2</v>
      </c>
      <c r="D5" s="139">
        <v>-2.8400000000000002E-2</v>
      </c>
      <c r="E5" s="139">
        <v>-7.1679999999999994E-2</v>
      </c>
    </row>
    <row r="6" spans="1:11">
      <c r="A6" s="140">
        <v>39629</v>
      </c>
      <c r="B6" s="141">
        <v>-3.0550000000000001E-2</v>
      </c>
      <c r="C6" s="141">
        <v>-4.3479999999999998E-2</v>
      </c>
      <c r="D6" s="141">
        <v>-3.5540000000000002E-2</v>
      </c>
      <c r="E6" s="141">
        <v>-5.1970000000000002E-2</v>
      </c>
    </row>
    <row r="7" spans="1:11">
      <c r="A7" s="140">
        <v>39721</v>
      </c>
      <c r="B7" s="141">
        <v>-8.0099999999999998E-3</v>
      </c>
      <c r="C7" s="141">
        <v>-8.8779999999999998E-2</v>
      </c>
      <c r="D7" s="141">
        <v>-4.1700000000000001E-2</v>
      </c>
      <c r="E7" s="141">
        <v>-7.4679999999999996E-2</v>
      </c>
    </row>
    <row r="8" spans="1:11">
      <c r="A8" s="140">
        <v>39813</v>
      </c>
      <c r="B8" s="141">
        <v>-0.10645</v>
      </c>
      <c r="C8" s="141">
        <v>-0.12628</v>
      </c>
      <c r="D8" s="141">
        <v>-0.10059</v>
      </c>
      <c r="E8" s="141">
        <v>-0.12891</v>
      </c>
    </row>
    <row r="9" spans="1:11">
      <c r="A9" s="140">
        <v>39903</v>
      </c>
      <c r="B9" s="141">
        <v>-0.13192000000000001</v>
      </c>
      <c r="C9" s="141">
        <v>-0.22750999999999999</v>
      </c>
      <c r="D9" s="141">
        <v>-0.12145</v>
      </c>
      <c r="E9" s="141">
        <v>-0.23496</v>
      </c>
    </row>
    <row r="10" spans="1:11">
      <c r="A10" s="140">
        <v>39994</v>
      </c>
      <c r="B10" s="141">
        <v>-0.13333</v>
      </c>
      <c r="C10" s="141">
        <v>-0.18082999999999999</v>
      </c>
      <c r="D10" s="141">
        <v>-8.8940000000000005E-2</v>
      </c>
      <c r="E10" s="141">
        <v>-0.16242999999999999</v>
      </c>
    </row>
    <row r="11" spans="1:11">
      <c r="A11" s="140">
        <v>40086</v>
      </c>
      <c r="B11" s="141">
        <v>-5.21E-2</v>
      </c>
      <c r="C11" s="141">
        <v>-0.12825</v>
      </c>
      <c r="D11" s="141">
        <v>-2.9149999999999999E-2</v>
      </c>
      <c r="E11" s="141">
        <v>-4.2340000000000003E-2</v>
      </c>
    </row>
    <row r="12" spans="1:11">
      <c r="A12" s="140">
        <v>40178</v>
      </c>
      <c r="B12" s="141">
        <v>-1.017E-2</v>
      </c>
      <c r="C12" s="141">
        <v>-5.2729999999999999E-2</v>
      </c>
      <c r="D12" s="141">
        <v>2.5000000000000001E-3</v>
      </c>
      <c r="E12" s="141">
        <v>-3.1060000000000001E-2</v>
      </c>
    </row>
    <row r="13" spans="1:11">
      <c r="A13" s="140">
        <v>40268</v>
      </c>
      <c r="B13" s="141">
        <v>3.3600000000000001E-3</v>
      </c>
      <c r="C13" s="141">
        <v>-3.5499999999999997E-2</v>
      </c>
      <c r="D13" s="141">
        <v>1.294E-2</v>
      </c>
      <c r="E13" s="141">
        <v>-2.725E-2</v>
      </c>
    </row>
    <row r="14" spans="1:11">
      <c r="A14" s="140">
        <v>40359</v>
      </c>
      <c r="B14" s="141">
        <v>-8.2500000000000004E-3</v>
      </c>
      <c r="C14" s="141">
        <v>-3.984E-2</v>
      </c>
      <c r="D14" s="141">
        <v>1.4319999999999999E-2</v>
      </c>
      <c r="E14" s="141">
        <v>-6.1900000000000002E-3</v>
      </c>
    </row>
    <row r="15" spans="1:11">
      <c r="A15" s="140">
        <v>40451</v>
      </c>
      <c r="B15" s="141">
        <v>-2.2579999999999999E-2</v>
      </c>
      <c r="C15" s="141">
        <v>-6.4909999999999995E-2</v>
      </c>
      <c r="D15" s="141">
        <v>1.6979999999999999E-2</v>
      </c>
      <c r="E15" s="141">
        <v>2.0400000000000001E-3</v>
      </c>
    </row>
    <row r="16" spans="1:11">
      <c r="A16" s="140">
        <v>40543</v>
      </c>
      <c r="B16" s="141">
        <v>-1.899E-2</v>
      </c>
      <c r="C16" s="141">
        <v>-4.0980000000000003E-2</v>
      </c>
      <c r="D16" s="141">
        <v>1.2919999999999999E-2</v>
      </c>
      <c r="E16" s="141">
        <v>-2.8510000000000001E-2</v>
      </c>
    </row>
    <row r="17" spans="1:14">
      <c r="A17" s="140">
        <v>40633</v>
      </c>
      <c r="B17" s="141">
        <v>7.62E-3</v>
      </c>
      <c r="C17" s="141">
        <v>-0.11706</v>
      </c>
      <c r="D17" s="141">
        <v>1.5049999999999999E-2</v>
      </c>
      <c r="E17" s="141">
        <v>4.1000000000000003E-3</v>
      </c>
    </row>
    <row r="18" spans="1:14">
      <c r="A18" s="140">
        <v>40724</v>
      </c>
      <c r="B18" s="141">
        <v>1.1990000000000001E-2</v>
      </c>
      <c r="C18" s="141">
        <v>-0.11591</v>
      </c>
      <c r="D18" s="141">
        <v>1.536E-2</v>
      </c>
      <c r="E18" s="141">
        <v>-8.2500000000000004E-3</v>
      </c>
    </row>
    <row r="19" spans="1:14">
      <c r="A19" s="140">
        <v>40816</v>
      </c>
      <c r="B19" s="141">
        <v>0</v>
      </c>
      <c r="C19" s="141">
        <v>-0.1135</v>
      </c>
      <c r="D19" s="141">
        <v>1.3799999999999999E-3</v>
      </c>
      <c r="E19" s="141">
        <v>-2.6859999999999998E-2</v>
      </c>
    </row>
    <row r="20" spans="1:14">
      <c r="A20" s="140">
        <v>40908</v>
      </c>
      <c r="B20" s="141">
        <v>-7.6819999999999999E-2</v>
      </c>
      <c r="C20" s="141">
        <v>-0.26252999999999999</v>
      </c>
      <c r="D20" s="141">
        <v>-9.11E-3</v>
      </c>
      <c r="E20" s="141">
        <v>-1.474E-2</v>
      </c>
    </row>
    <row r="21" spans="1:14">
      <c r="A21" s="140">
        <v>40999</v>
      </c>
      <c r="B21" s="141">
        <v>-2.198E-2</v>
      </c>
      <c r="C21" s="141">
        <v>-7.3999999999999996E-2</v>
      </c>
      <c r="D21" s="141">
        <v>1.3699999999999999E-3</v>
      </c>
      <c r="E21" s="141">
        <v>-2.802E-2</v>
      </c>
    </row>
    <row r="22" spans="1:14">
      <c r="A22" s="140">
        <v>41090</v>
      </c>
      <c r="B22" s="141">
        <v>-4.2720000000000001E-2</v>
      </c>
      <c r="C22" s="141">
        <v>-0.40161999999999998</v>
      </c>
      <c r="D22" s="141">
        <v>6.8100000000000001E-3</v>
      </c>
      <c r="E22" s="141">
        <v>-0.10917</v>
      </c>
    </row>
    <row r="23" spans="1:14">
      <c r="A23" s="140">
        <v>41182</v>
      </c>
      <c r="B23" s="141">
        <v>-1.7170000000000001E-2</v>
      </c>
      <c r="C23" s="141">
        <v>-6.2109999999999999E-2</v>
      </c>
      <c r="D23" s="141">
        <v>-9.0399999999999994E-3</v>
      </c>
      <c r="E23" s="141">
        <v>-1.754E-2</v>
      </c>
    </row>
    <row r="24" spans="1:14">
      <c r="A24" s="140">
        <v>41274</v>
      </c>
      <c r="B24" s="141">
        <v>-5.1180000000000003E-2</v>
      </c>
      <c r="C24" s="141">
        <v>-8.9399999999999993E-2</v>
      </c>
      <c r="D24" s="141">
        <v>4.4999999999999999E-4</v>
      </c>
      <c r="E24" s="141">
        <v>8.7299999999999999E-3</v>
      </c>
    </row>
    <row r="25" spans="1:14">
      <c r="A25" s="140">
        <v>41364</v>
      </c>
      <c r="B25" s="141">
        <v>-2.3019999999999999E-2</v>
      </c>
      <c r="C25" s="141">
        <v>-3.5270000000000003E-2</v>
      </c>
      <c r="D25" s="141">
        <v>-8.3300000000000006E-3</v>
      </c>
      <c r="E25" s="141">
        <v>-3.696E-2</v>
      </c>
    </row>
    <row r="26" spans="1:14">
      <c r="A26" s="140">
        <v>41455</v>
      </c>
      <c r="B26" s="141">
        <v>-2.743E-2</v>
      </c>
      <c r="C26" s="141">
        <v>-3.9579999999999997E-2</v>
      </c>
      <c r="D26" s="141">
        <v>-2.5319999999999999E-2</v>
      </c>
      <c r="E26" s="141">
        <v>2.1199999999999999E-3</v>
      </c>
    </row>
    <row r="27" spans="1:14">
      <c r="A27" s="140">
        <v>41547</v>
      </c>
      <c r="B27" s="141">
        <v>-1.6789999999999999E-2</v>
      </c>
      <c r="C27" s="141">
        <v>-6.9919999999999996E-2</v>
      </c>
      <c r="D27" s="141">
        <v>-5.9699999999999996E-3</v>
      </c>
      <c r="E27" s="141">
        <v>2.1100000000000001E-2</v>
      </c>
    </row>
    <row r="28" spans="1:14">
      <c r="A28" s="140">
        <v>41639</v>
      </c>
      <c r="B28" s="141">
        <v>-2.5610000000000001E-2</v>
      </c>
      <c r="C28" s="141">
        <v>-1.4959999999999999E-2</v>
      </c>
      <c r="D28" s="141">
        <v>-3.3700000000000002E-3</v>
      </c>
      <c r="E28" s="141">
        <v>-2.725E-2</v>
      </c>
    </row>
    <row r="29" spans="1:14">
      <c r="A29" s="87"/>
      <c r="F29" s="89"/>
      <c r="G29" s="89"/>
      <c r="H29" s="89"/>
      <c r="I29" s="89"/>
      <c r="J29" s="90"/>
      <c r="K29" s="91"/>
      <c r="L29" s="91"/>
      <c r="M29" s="91"/>
      <c r="N29" s="91"/>
    </row>
    <row r="30" spans="1:14">
      <c r="A30" s="87"/>
      <c r="F30" s="89"/>
      <c r="G30" s="89"/>
      <c r="H30" s="89"/>
      <c r="I30" s="89"/>
      <c r="J30" s="90"/>
      <c r="K30" s="91"/>
      <c r="L30" s="91"/>
      <c r="M30" s="91"/>
      <c r="N30" s="91"/>
    </row>
    <row r="31" spans="1:14">
      <c r="A31" s="87"/>
      <c r="F31" s="89"/>
      <c r="G31" s="89"/>
      <c r="H31" s="89"/>
      <c r="I31" s="89"/>
      <c r="J31" s="90"/>
      <c r="K31" s="91"/>
      <c r="L31" s="91"/>
      <c r="M31" s="91"/>
      <c r="N31" s="91"/>
    </row>
    <row r="32" spans="1:14">
      <c r="A32" s="87"/>
      <c r="F32" s="89"/>
      <c r="G32" s="89"/>
      <c r="H32" s="89"/>
      <c r="I32" s="89"/>
      <c r="J32" s="90"/>
      <c r="K32" s="91"/>
      <c r="L32" s="91"/>
      <c r="M32" s="91"/>
      <c r="N32" s="91"/>
    </row>
    <row r="37" spans="1:1">
      <c r="A37" s="87"/>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heetViews>
  <sheetFormatPr defaultRowHeight="15"/>
  <cols>
    <col min="1" max="1" width="24.28515625" customWidth="1"/>
    <col min="2" max="7" width="11.28515625" customWidth="1"/>
  </cols>
  <sheetData>
    <row r="1" spans="1:7">
      <c r="A1" s="79" t="s">
        <v>81</v>
      </c>
    </row>
    <row r="2" spans="1:7">
      <c r="A2" s="79"/>
    </row>
    <row r="3" spans="1:7">
      <c r="A3" s="23"/>
      <c r="B3" s="105" t="s">
        <v>88</v>
      </c>
      <c r="C3" s="106"/>
      <c r="D3" s="107"/>
      <c r="E3" s="105" t="s">
        <v>89</v>
      </c>
      <c r="F3" s="106"/>
      <c r="G3" s="107"/>
    </row>
    <row r="4" spans="1:7">
      <c r="A4" s="24" t="s">
        <v>90</v>
      </c>
      <c r="B4" s="33">
        <v>2013</v>
      </c>
      <c r="C4" s="72">
        <v>2012</v>
      </c>
      <c r="D4" s="92" t="s">
        <v>308</v>
      </c>
      <c r="E4" s="33">
        <v>2013</v>
      </c>
      <c r="F4" s="72">
        <v>2012</v>
      </c>
      <c r="G4" s="92" t="s">
        <v>308</v>
      </c>
    </row>
    <row r="5" spans="1:7">
      <c r="A5" s="25" t="s">
        <v>91</v>
      </c>
      <c r="B5" s="26">
        <v>0.75087000000000004</v>
      </c>
      <c r="C5" s="27">
        <v>0.66437000000000002</v>
      </c>
      <c r="D5" s="28">
        <v>0.66347</v>
      </c>
      <c r="E5" s="27">
        <v>0.67715999999999998</v>
      </c>
      <c r="F5" s="27">
        <v>0.66773000000000005</v>
      </c>
      <c r="G5" s="28">
        <v>0.60190999999999995</v>
      </c>
    </row>
    <row r="6" spans="1:7">
      <c r="A6" s="25" t="s">
        <v>92</v>
      </c>
      <c r="B6" s="26">
        <v>0.78666999999999998</v>
      </c>
      <c r="C6" s="27">
        <v>0.17416999999999999</v>
      </c>
      <c r="D6" s="28">
        <v>0.32086999999999999</v>
      </c>
      <c r="E6" s="27">
        <v>0.69240999999999997</v>
      </c>
      <c r="F6" s="27">
        <v>0.15326999999999999</v>
      </c>
      <c r="G6" s="28">
        <v>0.27512999999999999</v>
      </c>
    </row>
    <row r="7" spans="1:7">
      <c r="A7" s="57" t="s">
        <v>309</v>
      </c>
      <c r="B7" s="30" t="s">
        <v>44</v>
      </c>
      <c r="C7" s="29" t="s">
        <v>44</v>
      </c>
      <c r="D7" s="28">
        <v>0.47060000000000002</v>
      </c>
      <c r="E7" s="31" t="s">
        <v>44</v>
      </c>
      <c r="F7" s="31" t="s">
        <v>44</v>
      </c>
      <c r="G7" s="32">
        <v>0.40240999999999999</v>
      </c>
    </row>
    <row r="8" spans="1:7">
      <c r="A8" s="25" t="s">
        <v>93</v>
      </c>
      <c r="B8" s="119">
        <v>0.57733999999999996</v>
      </c>
      <c r="C8" s="93">
        <v>0.51202000000000003</v>
      </c>
      <c r="D8" s="120">
        <v>0.52164999999999995</v>
      </c>
      <c r="E8" s="122">
        <v>0.58804000000000001</v>
      </c>
      <c r="F8" s="27">
        <v>0.28359000000000001</v>
      </c>
      <c r="G8" s="28">
        <v>0.47710000000000002</v>
      </c>
    </row>
    <row r="9" spans="1:7">
      <c r="A9" s="25" t="s">
        <v>94</v>
      </c>
      <c r="B9" s="119">
        <v>0.43822</v>
      </c>
      <c r="C9" s="27">
        <v>0.43014000000000002</v>
      </c>
      <c r="D9" s="121">
        <v>0.37229000000000001</v>
      </c>
      <c r="E9" s="122">
        <v>0.29193999999999998</v>
      </c>
      <c r="F9" s="27">
        <v>0.40143000000000001</v>
      </c>
      <c r="G9" s="28">
        <v>0.37820999999999999</v>
      </c>
    </row>
    <row r="10" spans="1:7">
      <c r="A10" s="55" t="s">
        <v>310</v>
      </c>
      <c r="B10" s="119">
        <v>0.20710000000000001</v>
      </c>
      <c r="C10" s="27">
        <v>0.33749000000000001</v>
      </c>
      <c r="D10" s="121">
        <v>0.30952000000000002</v>
      </c>
      <c r="E10" s="122">
        <v>0.26601999999999998</v>
      </c>
      <c r="F10" s="27">
        <v>0.39251999999999998</v>
      </c>
      <c r="G10" s="28">
        <v>0.25939000000000001</v>
      </c>
    </row>
    <row r="11" spans="1:7">
      <c r="A11" s="25" t="s">
        <v>95</v>
      </c>
      <c r="B11" s="119">
        <v>0.2636</v>
      </c>
      <c r="C11" s="27">
        <v>0.37348999999999999</v>
      </c>
      <c r="D11" s="121">
        <v>0.31391999999999998</v>
      </c>
      <c r="E11" s="122">
        <v>0.33715000000000001</v>
      </c>
      <c r="F11" s="27">
        <v>0.32074000000000003</v>
      </c>
      <c r="G11" s="28">
        <v>0.25468000000000002</v>
      </c>
    </row>
    <row r="12" spans="1:7">
      <c r="A12" s="24" t="s">
        <v>96</v>
      </c>
      <c r="B12" s="30" t="s">
        <v>44</v>
      </c>
      <c r="C12" s="31" t="s">
        <v>44</v>
      </c>
      <c r="D12" s="32">
        <v>0.24707000000000001</v>
      </c>
      <c r="E12" s="31" t="s">
        <v>44</v>
      </c>
      <c r="F12" s="31" t="s">
        <v>44</v>
      </c>
      <c r="G12" s="32">
        <v>0.17149</v>
      </c>
    </row>
    <row r="13" spans="1:7">
      <c r="A13" t="s">
        <v>311</v>
      </c>
      <c r="B13" s="10"/>
      <c r="C13" s="10"/>
      <c r="D13" s="10"/>
      <c r="E13" s="10"/>
      <c r="F13" s="10"/>
      <c r="G13" s="10"/>
    </row>
    <row r="14" spans="1:7">
      <c r="A14" t="s">
        <v>312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
  <sheetViews>
    <sheetView workbookViewId="0"/>
  </sheetViews>
  <sheetFormatPr defaultRowHeight="15"/>
  <cols>
    <col min="1" max="1" width="22.28515625" customWidth="1"/>
  </cols>
  <sheetData>
    <row r="1" spans="1:16384">
      <c r="A1" s="79" t="s">
        <v>333</v>
      </c>
    </row>
    <row r="2" spans="1:16384">
      <c r="A2" s="79"/>
    </row>
    <row r="3" spans="1:16384">
      <c r="A3" s="34"/>
      <c r="B3" s="108" t="s">
        <v>97</v>
      </c>
      <c r="C3" s="109"/>
      <c r="D3" s="110"/>
      <c r="E3" s="111" t="s">
        <v>98</v>
      </c>
      <c r="F3" s="112"/>
      <c r="G3" s="113"/>
    </row>
    <row r="4" spans="1:16384">
      <c r="A4" s="35" t="s">
        <v>90</v>
      </c>
      <c r="B4" s="36">
        <v>2013</v>
      </c>
      <c r="C4" s="37">
        <v>2012</v>
      </c>
      <c r="D4" s="38" t="s">
        <v>313</v>
      </c>
      <c r="E4" s="37">
        <v>2013</v>
      </c>
      <c r="F4" s="37">
        <v>2012</v>
      </c>
      <c r="G4" s="38" t="s">
        <v>313</v>
      </c>
    </row>
    <row r="5" spans="1:16384">
      <c r="A5" s="39" t="s">
        <v>99</v>
      </c>
      <c r="B5" s="40">
        <v>0.73343000000000003</v>
      </c>
      <c r="C5" s="41">
        <v>0.91688999999999998</v>
      </c>
      <c r="D5" s="42">
        <v>0.80334000000000005</v>
      </c>
      <c r="E5" s="41">
        <v>0.81316999999999995</v>
      </c>
      <c r="F5" s="41">
        <v>0.77203999999999995</v>
      </c>
      <c r="G5" s="42">
        <v>0.80334000000000005</v>
      </c>
    </row>
    <row r="6" spans="1:16384">
      <c r="A6" s="43" t="s">
        <v>100</v>
      </c>
      <c r="B6" s="44">
        <v>0.67528999999999995</v>
      </c>
      <c r="C6" s="45">
        <v>0.63575000000000004</v>
      </c>
      <c r="D6" s="46">
        <v>0.63515999999999995</v>
      </c>
      <c r="E6" s="45" t="s">
        <v>44</v>
      </c>
      <c r="F6" s="45">
        <v>0.71230000000000004</v>
      </c>
      <c r="G6" s="46">
        <v>0.63515999999999995</v>
      </c>
    </row>
    <row r="7" spans="1:16384">
      <c r="A7" s="43" t="s">
        <v>101</v>
      </c>
      <c r="B7" s="44">
        <v>4.4990000000000002E-2</v>
      </c>
      <c r="C7" s="45">
        <v>0.35992000000000002</v>
      </c>
      <c r="D7" s="46">
        <v>0.48091</v>
      </c>
      <c r="E7" s="45" t="s">
        <v>44</v>
      </c>
      <c r="F7" s="45">
        <v>0.39312000000000002</v>
      </c>
      <c r="G7" s="46">
        <v>0.48091</v>
      </c>
    </row>
    <row r="8" spans="1:16384">
      <c r="A8" s="35" t="s">
        <v>102</v>
      </c>
      <c r="B8" s="47">
        <v>0</v>
      </c>
      <c r="C8" s="48">
        <v>9.2170000000000002E-2</v>
      </c>
      <c r="D8" s="49">
        <v>0.28198000000000001</v>
      </c>
      <c r="E8" s="48" t="s">
        <v>44</v>
      </c>
      <c r="F8" s="48">
        <v>0.13525999999999999</v>
      </c>
      <c r="G8" s="49">
        <v>0.28198000000000001</v>
      </c>
    </row>
    <row r="9" spans="1:16384" s="50" customFormat="1">
      <c r="A9" s="50" t="s">
        <v>314</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c r="HQC9"/>
      <c r="HQD9"/>
      <c r="HQE9"/>
      <c r="HQF9"/>
      <c r="HQG9"/>
      <c r="HQH9"/>
      <c r="HQI9"/>
      <c r="HQJ9"/>
      <c r="HQK9"/>
      <c r="HQL9"/>
      <c r="HQM9"/>
      <c r="HQN9"/>
      <c r="HQO9"/>
      <c r="HQP9"/>
      <c r="HQQ9"/>
      <c r="HQR9"/>
      <c r="HQS9"/>
      <c r="HQT9"/>
      <c r="HQU9"/>
      <c r="HQV9"/>
      <c r="HQW9"/>
      <c r="HQX9"/>
      <c r="HQY9"/>
      <c r="HQZ9"/>
      <c r="HRA9"/>
      <c r="HRB9"/>
      <c r="HRC9"/>
      <c r="HRD9"/>
      <c r="HRE9"/>
      <c r="HRF9"/>
      <c r="HRG9"/>
      <c r="HRH9"/>
      <c r="HRI9"/>
      <c r="HRJ9"/>
      <c r="HRK9"/>
      <c r="HRL9"/>
      <c r="HRM9"/>
      <c r="HRN9"/>
      <c r="HRO9"/>
      <c r="HRP9"/>
      <c r="HRQ9"/>
      <c r="HRR9"/>
      <c r="HRS9"/>
      <c r="HRT9"/>
      <c r="HRU9"/>
      <c r="HRV9"/>
      <c r="HRW9"/>
      <c r="HRX9"/>
      <c r="HRY9"/>
      <c r="HRZ9"/>
      <c r="HSA9"/>
      <c r="HSB9"/>
      <c r="HSC9"/>
      <c r="HSD9"/>
      <c r="HSE9"/>
      <c r="HSF9"/>
      <c r="HSG9"/>
      <c r="HSH9"/>
      <c r="HSI9"/>
      <c r="HSJ9"/>
      <c r="HSK9"/>
      <c r="HSL9"/>
      <c r="HSM9"/>
      <c r="HSN9"/>
      <c r="HSO9"/>
      <c r="HSP9"/>
      <c r="HSQ9"/>
      <c r="HSR9"/>
      <c r="HSS9"/>
      <c r="HST9"/>
      <c r="HSU9"/>
      <c r="HSV9"/>
      <c r="HSW9"/>
      <c r="HSX9"/>
      <c r="HSY9"/>
      <c r="HSZ9"/>
      <c r="HTA9"/>
      <c r="HTB9"/>
      <c r="HTC9"/>
      <c r="HTD9"/>
      <c r="HTE9"/>
      <c r="HTF9"/>
      <c r="HTG9"/>
      <c r="HTH9"/>
      <c r="HTI9"/>
      <c r="HTJ9"/>
      <c r="HTK9"/>
      <c r="HTL9"/>
      <c r="HTM9"/>
      <c r="HTN9"/>
      <c r="HTO9"/>
      <c r="HTP9"/>
      <c r="HTQ9"/>
      <c r="HTR9"/>
      <c r="HTS9"/>
      <c r="HTT9"/>
      <c r="HTU9"/>
      <c r="HTV9"/>
      <c r="HTW9"/>
      <c r="HTX9"/>
      <c r="HTY9"/>
      <c r="HTZ9"/>
      <c r="HUA9"/>
      <c r="HUB9"/>
      <c r="HUC9"/>
      <c r="HUD9"/>
      <c r="HUE9"/>
      <c r="HUF9"/>
      <c r="HUG9"/>
      <c r="HUH9"/>
      <c r="HUI9"/>
      <c r="HUJ9"/>
      <c r="HUK9"/>
      <c r="HUL9"/>
      <c r="HUM9"/>
      <c r="HUN9"/>
      <c r="HUO9"/>
      <c r="HUP9"/>
      <c r="HUQ9"/>
      <c r="HUR9"/>
      <c r="HUS9"/>
      <c r="HUT9"/>
      <c r="HUU9"/>
      <c r="HUV9"/>
      <c r="HUW9"/>
      <c r="HUX9"/>
      <c r="HUY9"/>
      <c r="HUZ9"/>
      <c r="HVA9"/>
      <c r="HVB9"/>
      <c r="HVC9"/>
      <c r="HVD9"/>
      <c r="HVE9"/>
      <c r="HVF9"/>
      <c r="HVG9"/>
      <c r="HVH9"/>
      <c r="HVI9"/>
      <c r="HVJ9"/>
      <c r="HVK9"/>
      <c r="HVL9"/>
      <c r="HVM9"/>
      <c r="HVN9"/>
      <c r="HVO9"/>
      <c r="HVP9"/>
      <c r="HVQ9"/>
      <c r="HVR9"/>
      <c r="HVS9"/>
      <c r="HVT9"/>
      <c r="HVU9"/>
      <c r="HVV9"/>
      <c r="HVW9"/>
      <c r="HVX9"/>
      <c r="HVY9"/>
      <c r="HVZ9"/>
      <c r="HWA9"/>
      <c r="HWB9"/>
      <c r="HWC9"/>
      <c r="HWD9"/>
      <c r="HWE9"/>
      <c r="HWF9"/>
      <c r="HWG9"/>
      <c r="HWH9"/>
      <c r="HWI9"/>
      <c r="HWJ9"/>
      <c r="HWK9"/>
      <c r="HWL9"/>
      <c r="HWM9"/>
      <c r="HWN9"/>
      <c r="HWO9"/>
      <c r="HWP9"/>
      <c r="HWQ9"/>
      <c r="HWR9"/>
      <c r="HWS9"/>
      <c r="HWT9"/>
      <c r="HWU9"/>
      <c r="HWV9"/>
      <c r="HWW9"/>
      <c r="HWX9"/>
      <c r="HWY9"/>
      <c r="HWZ9"/>
      <c r="HXA9"/>
      <c r="HXB9"/>
      <c r="HXC9"/>
      <c r="HXD9"/>
      <c r="HXE9"/>
      <c r="HXF9"/>
      <c r="HXG9"/>
      <c r="HXH9"/>
      <c r="HXI9"/>
      <c r="HXJ9"/>
      <c r="HXK9"/>
      <c r="HXL9"/>
      <c r="HXM9"/>
      <c r="HXN9"/>
      <c r="HXO9"/>
      <c r="HXP9"/>
      <c r="HXQ9"/>
      <c r="HXR9"/>
      <c r="HXS9"/>
      <c r="HXT9"/>
      <c r="HXU9"/>
      <c r="HXV9"/>
      <c r="HXW9"/>
      <c r="HXX9"/>
      <c r="HXY9"/>
      <c r="HXZ9"/>
      <c r="HYA9"/>
      <c r="HYB9"/>
      <c r="HYC9"/>
      <c r="HYD9"/>
      <c r="HYE9"/>
      <c r="HYF9"/>
      <c r="HYG9"/>
      <c r="HYH9"/>
      <c r="HYI9"/>
      <c r="HYJ9"/>
      <c r="HYK9"/>
      <c r="HYL9"/>
      <c r="HYM9"/>
      <c r="HYN9"/>
      <c r="HYO9"/>
      <c r="HYP9"/>
      <c r="HYQ9"/>
      <c r="HYR9"/>
      <c r="HYS9"/>
      <c r="HYT9"/>
      <c r="HYU9"/>
      <c r="HYV9"/>
      <c r="HYW9"/>
      <c r="HYX9"/>
      <c r="HYY9"/>
      <c r="HYZ9"/>
      <c r="HZA9"/>
      <c r="HZB9"/>
      <c r="HZC9"/>
      <c r="HZD9"/>
      <c r="HZE9"/>
      <c r="HZF9"/>
      <c r="HZG9"/>
      <c r="HZH9"/>
      <c r="HZI9"/>
      <c r="HZJ9"/>
      <c r="HZK9"/>
      <c r="HZL9"/>
      <c r="HZM9"/>
      <c r="HZN9"/>
      <c r="HZO9"/>
      <c r="HZP9"/>
      <c r="HZQ9"/>
      <c r="HZR9"/>
      <c r="HZS9"/>
      <c r="HZT9"/>
      <c r="HZU9"/>
      <c r="HZV9"/>
      <c r="HZW9"/>
      <c r="HZX9"/>
      <c r="HZY9"/>
      <c r="HZZ9"/>
      <c r="IAA9"/>
      <c r="IAB9"/>
      <c r="IAC9"/>
      <c r="IAD9"/>
      <c r="IAE9"/>
      <c r="IAF9"/>
      <c r="IAG9"/>
      <c r="IAH9"/>
      <c r="IAI9"/>
      <c r="IAJ9"/>
      <c r="IAK9"/>
      <c r="IAL9"/>
      <c r="IAM9"/>
      <c r="IAN9"/>
      <c r="IAO9"/>
      <c r="IAP9"/>
      <c r="IAQ9"/>
      <c r="IAR9"/>
      <c r="IAS9"/>
      <c r="IAT9"/>
      <c r="IAU9"/>
      <c r="IAV9"/>
      <c r="IAW9"/>
      <c r="IAX9"/>
      <c r="IAY9"/>
      <c r="IAZ9"/>
      <c r="IBA9"/>
      <c r="IBB9"/>
      <c r="IBC9"/>
      <c r="IBD9"/>
      <c r="IBE9"/>
      <c r="IBF9"/>
      <c r="IBG9"/>
      <c r="IBH9"/>
      <c r="IBI9"/>
      <c r="IBJ9"/>
      <c r="IBK9"/>
      <c r="IBL9"/>
      <c r="IBM9"/>
      <c r="IBN9"/>
      <c r="IBO9"/>
      <c r="IBP9"/>
      <c r="IBQ9"/>
      <c r="IBR9"/>
      <c r="IBS9"/>
      <c r="IBT9"/>
      <c r="IBU9"/>
      <c r="IBV9"/>
      <c r="IBW9"/>
      <c r="IBX9"/>
      <c r="IBY9"/>
      <c r="IBZ9"/>
      <c r="ICA9"/>
      <c r="ICB9"/>
      <c r="ICC9"/>
      <c r="ICD9"/>
      <c r="ICE9"/>
      <c r="ICF9"/>
      <c r="ICG9"/>
      <c r="ICH9"/>
      <c r="ICI9"/>
      <c r="ICJ9"/>
      <c r="ICK9"/>
      <c r="ICL9"/>
      <c r="ICM9"/>
      <c r="ICN9"/>
      <c r="ICO9"/>
      <c r="ICP9"/>
      <c r="ICQ9"/>
      <c r="ICR9"/>
      <c r="ICS9"/>
      <c r="ICT9"/>
      <c r="ICU9"/>
      <c r="ICV9"/>
      <c r="ICW9"/>
      <c r="ICX9"/>
      <c r="ICY9"/>
      <c r="ICZ9"/>
      <c r="IDA9"/>
      <c r="IDB9"/>
      <c r="IDC9"/>
      <c r="IDD9"/>
      <c r="IDE9"/>
      <c r="IDF9"/>
      <c r="IDG9"/>
      <c r="IDH9"/>
      <c r="IDI9"/>
      <c r="IDJ9"/>
      <c r="IDK9"/>
      <c r="IDL9"/>
      <c r="IDM9"/>
      <c r="IDN9"/>
      <c r="IDO9"/>
      <c r="IDP9"/>
      <c r="IDQ9"/>
      <c r="IDR9"/>
      <c r="IDS9"/>
      <c r="IDT9"/>
      <c r="IDU9"/>
      <c r="IDV9"/>
      <c r="IDW9"/>
      <c r="IDX9"/>
      <c r="IDY9"/>
      <c r="IDZ9"/>
      <c r="IEA9"/>
      <c r="IEB9"/>
      <c r="IEC9"/>
      <c r="IED9"/>
      <c r="IEE9"/>
      <c r="IEF9"/>
      <c r="IEG9"/>
      <c r="IEH9"/>
      <c r="IEI9"/>
      <c r="IEJ9"/>
      <c r="IEK9"/>
      <c r="IEL9"/>
      <c r="IEM9"/>
      <c r="IEN9"/>
      <c r="IEO9"/>
      <c r="IEP9"/>
      <c r="IEQ9"/>
      <c r="IER9"/>
      <c r="IES9"/>
      <c r="IET9"/>
      <c r="IEU9"/>
      <c r="IEV9"/>
      <c r="IEW9"/>
      <c r="IEX9"/>
      <c r="IEY9"/>
      <c r="IEZ9"/>
      <c r="IFA9"/>
      <c r="IFB9"/>
      <c r="IFC9"/>
      <c r="IFD9"/>
      <c r="IFE9"/>
      <c r="IFF9"/>
      <c r="IFG9"/>
      <c r="IFH9"/>
      <c r="IFI9"/>
      <c r="IFJ9"/>
      <c r="IFK9"/>
      <c r="IFL9"/>
      <c r="IFM9"/>
      <c r="IFN9"/>
      <c r="IFO9"/>
      <c r="IFP9"/>
      <c r="IFQ9"/>
      <c r="IFR9"/>
      <c r="IFS9"/>
      <c r="IFT9"/>
      <c r="IFU9"/>
      <c r="IFV9"/>
      <c r="IFW9"/>
      <c r="IFX9"/>
      <c r="IFY9"/>
      <c r="IFZ9"/>
      <c r="IGA9"/>
      <c r="IGB9"/>
      <c r="IGC9"/>
      <c r="IGD9"/>
      <c r="IGE9"/>
      <c r="IGF9"/>
      <c r="IGG9"/>
      <c r="IGH9"/>
      <c r="IGI9"/>
      <c r="IGJ9"/>
      <c r="IGK9"/>
      <c r="IGL9"/>
      <c r="IGM9"/>
      <c r="IGN9"/>
      <c r="IGO9"/>
      <c r="IGP9"/>
      <c r="IGQ9"/>
      <c r="IGR9"/>
      <c r="IGS9"/>
      <c r="IGT9"/>
      <c r="IGU9"/>
      <c r="IGV9"/>
      <c r="IGW9"/>
      <c r="IGX9"/>
      <c r="IGY9"/>
      <c r="IGZ9"/>
      <c r="IHA9"/>
      <c r="IHB9"/>
      <c r="IHC9"/>
      <c r="IHD9"/>
      <c r="IHE9"/>
      <c r="IHF9"/>
      <c r="IHG9"/>
      <c r="IHH9"/>
      <c r="IHI9"/>
      <c r="IHJ9"/>
      <c r="IHK9"/>
      <c r="IHL9"/>
      <c r="IHM9"/>
      <c r="IHN9"/>
      <c r="IHO9"/>
      <c r="IHP9"/>
      <c r="IHQ9"/>
      <c r="IHR9"/>
      <c r="IHS9"/>
      <c r="IHT9"/>
      <c r="IHU9"/>
      <c r="IHV9"/>
      <c r="IHW9"/>
      <c r="IHX9"/>
      <c r="IHY9"/>
      <c r="IHZ9"/>
      <c r="IIA9"/>
      <c r="IIB9"/>
      <c r="IIC9"/>
      <c r="IID9"/>
      <c r="IIE9"/>
      <c r="IIF9"/>
      <c r="IIG9"/>
      <c r="IIH9"/>
      <c r="III9"/>
      <c r="IIJ9"/>
      <c r="IIK9"/>
      <c r="IIL9"/>
      <c r="IIM9"/>
      <c r="IIN9"/>
      <c r="IIO9"/>
      <c r="IIP9"/>
      <c r="IIQ9"/>
      <c r="IIR9"/>
      <c r="IIS9"/>
      <c r="IIT9"/>
      <c r="IIU9"/>
      <c r="IIV9"/>
      <c r="IIW9"/>
      <c r="IIX9"/>
      <c r="IIY9"/>
      <c r="IIZ9"/>
      <c r="IJA9"/>
      <c r="IJB9"/>
      <c r="IJC9"/>
      <c r="IJD9"/>
      <c r="IJE9"/>
      <c r="IJF9"/>
      <c r="IJG9"/>
      <c r="IJH9"/>
      <c r="IJI9"/>
      <c r="IJJ9"/>
      <c r="IJK9"/>
      <c r="IJL9"/>
      <c r="IJM9"/>
      <c r="IJN9"/>
      <c r="IJO9"/>
      <c r="IJP9"/>
      <c r="IJQ9"/>
      <c r="IJR9"/>
      <c r="IJS9"/>
      <c r="IJT9"/>
      <c r="IJU9"/>
      <c r="IJV9"/>
      <c r="IJW9"/>
      <c r="IJX9"/>
      <c r="IJY9"/>
      <c r="IJZ9"/>
      <c r="IKA9"/>
      <c r="IKB9"/>
      <c r="IKC9"/>
      <c r="IKD9"/>
      <c r="IKE9"/>
      <c r="IKF9"/>
      <c r="IKG9"/>
      <c r="IKH9"/>
      <c r="IKI9"/>
      <c r="IKJ9"/>
      <c r="IKK9"/>
      <c r="IKL9"/>
      <c r="IKM9"/>
      <c r="IKN9"/>
      <c r="IKO9"/>
      <c r="IKP9"/>
      <c r="IKQ9"/>
      <c r="IKR9"/>
      <c r="IKS9"/>
      <c r="IKT9"/>
      <c r="IKU9"/>
      <c r="IKV9"/>
      <c r="IKW9"/>
      <c r="IKX9"/>
      <c r="IKY9"/>
      <c r="IKZ9"/>
      <c r="ILA9"/>
      <c r="ILB9"/>
      <c r="ILC9"/>
      <c r="ILD9"/>
      <c r="ILE9"/>
      <c r="ILF9"/>
      <c r="ILG9"/>
      <c r="ILH9"/>
      <c r="ILI9"/>
      <c r="ILJ9"/>
      <c r="ILK9"/>
      <c r="ILL9"/>
      <c r="ILM9"/>
      <c r="ILN9"/>
      <c r="ILO9"/>
      <c r="ILP9"/>
      <c r="ILQ9"/>
      <c r="ILR9"/>
      <c r="ILS9"/>
      <c r="ILT9"/>
      <c r="ILU9"/>
      <c r="ILV9"/>
      <c r="ILW9"/>
      <c r="ILX9"/>
      <c r="ILY9"/>
      <c r="ILZ9"/>
      <c r="IMA9"/>
      <c r="IMB9"/>
      <c r="IMC9"/>
      <c r="IMD9"/>
      <c r="IME9"/>
      <c r="IMF9"/>
      <c r="IMG9"/>
      <c r="IMH9"/>
      <c r="IMI9"/>
      <c r="IMJ9"/>
      <c r="IMK9"/>
      <c r="IML9"/>
      <c r="IMM9"/>
      <c r="IMN9"/>
      <c r="IMO9"/>
      <c r="IMP9"/>
      <c r="IMQ9"/>
      <c r="IMR9"/>
      <c r="IMS9"/>
      <c r="IMT9"/>
      <c r="IMU9"/>
      <c r="IMV9"/>
      <c r="IMW9"/>
      <c r="IMX9"/>
      <c r="IMY9"/>
      <c r="IMZ9"/>
      <c r="INA9"/>
      <c r="INB9"/>
      <c r="INC9"/>
      <c r="IND9"/>
      <c r="INE9"/>
      <c r="INF9"/>
      <c r="ING9"/>
      <c r="INH9"/>
      <c r="INI9"/>
      <c r="INJ9"/>
      <c r="INK9"/>
      <c r="INL9"/>
      <c r="INM9"/>
      <c r="INN9"/>
      <c r="INO9"/>
      <c r="INP9"/>
      <c r="INQ9"/>
      <c r="INR9"/>
      <c r="INS9"/>
      <c r="INT9"/>
      <c r="INU9"/>
      <c r="INV9"/>
      <c r="INW9"/>
      <c r="INX9"/>
      <c r="INY9"/>
      <c r="INZ9"/>
      <c r="IOA9"/>
      <c r="IOB9"/>
      <c r="IOC9"/>
      <c r="IOD9"/>
      <c r="IOE9"/>
      <c r="IOF9"/>
      <c r="IOG9"/>
      <c r="IOH9"/>
      <c r="IOI9"/>
      <c r="IOJ9"/>
      <c r="IOK9"/>
      <c r="IOL9"/>
      <c r="IOM9"/>
      <c r="ION9"/>
      <c r="IOO9"/>
      <c r="IOP9"/>
      <c r="IOQ9"/>
      <c r="IOR9"/>
      <c r="IOS9"/>
      <c r="IOT9"/>
      <c r="IOU9"/>
      <c r="IOV9"/>
      <c r="IOW9"/>
      <c r="IOX9"/>
      <c r="IOY9"/>
      <c r="IOZ9"/>
      <c r="IPA9"/>
      <c r="IPB9"/>
      <c r="IPC9"/>
      <c r="IPD9"/>
      <c r="IPE9"/>
      <c r="IPF9"/>
      <c r="IPG9"/>
      <c r="IPH9"/>
      <c r="IPI9"/>
      <c r="IPJ9"/>
      <c r="IPK9"/>
      <c r="IPL9"/>
      <c r="IPM9"/>
      <c r="IPN9"/>
      <c r="IPO9"/>
      <c r="IPP9"/>
      <c r="IPQ9"/>
      <c r="IPR9"/>
      <c r="IPS9"/>
      <c r="IPT9"/>
      <c r="IPU9"/>
      <c r="IPV9"/>
      <c r="IPW9"/>
      <c r="IPX9"/>
      <c r="IPY9"/>
      <c r="IPZ9"/>
      <c r="IQA9"/>
      <c r="IQB9"/>
      <c r="IQC9"/>
      <c r="IQD9"/>
      <c r="IQE9"/>
      <c r="IQF9"/>
      <c r="IQG9"/>
      <c r="IQH9"/>
      <c r="IQI9"/>
      <c r="IQJ9"/>
      <c r="IQK9"/>
      <c r="IQL9"/>
      <c r="IQM9"/>
      <c r="IQN9"/>
      <c r="IQO9"/>
      <c r="IQP9"/>
      <c r="IQQ9"/>
      <c r="IQR9"/>
      <c r="IQS9"/>
      <c r="IQT9"/>
      <c r="IQU9"/>
      <c r="IQV9"/>
      <c r="IQW9"/>
      <c r="IQX9"/>
      <c r="IQY9"/>
      <c r="IQZ9"/>
      <c r="IRA9"/>
      <c r="IRB9"/>
      <c r="IRC9"/>
      <c r="IRD9"/>
      <c r="IRE9"/>
      <c r="IRF9"/>
      <c r="IRG9"/>
      <c r="IRH9"/>
      <c r="IRI9"/>
      <c r="IRJ9"/>
      <c r="IRK9"/>
      <c r="IRL9"/>
      <c r="IRM9"/>
      <c r="IRN9"/>
      <c r="IRO9"/>
      <c r="IRP9"/>
      <c r="IRQ9"/>
      <c r="IRR9"/>
      <c r="IRS9"/>
      <c r="IRT9"/>
      <c r="IRU9"/>
      <c r="IRV9"/>
      <c r="IRW9"/>
      <c r="IRX9"/>
      <c r="IRY9"/>
      <c r="IRZ9"/>
      <c r="ISA9"/>
      <c r="ISB9"/>
      <c r="ISC9"/>
      <c r="ISD9"/>
      <c r="ISE9"/>
      <c r="ISF9"/>
      <c r="ISG9"/>
      <c r="ISH9"/>
      <c r="ISI9"/>
      <c r="ISJ9"/>
      <c r="ISK9"/>
      <c r="ISL9"/>
      <c r="ISM9"/>
      <c r="ISN9"/>
      <c r="ISO9"/>
      <c r="ISP9"/>
      <c r="ISQ9"/>
      <c r="ISR9"/>
      <c r="ISS9"/>
      <c r="IST9"/>
      <c r="ISU9"/>
      <c r="ISV9"/>
      <c r="ISW9"/>
      <c r="ISX9"/>
      <c r="ISY9"/>
      <c r="ISZ9"/>
      <c r="ITA9"/>
      <c r="ITB9"/>
      <c r="ITC9"/>
      <c r="ITD9"/>
      <c r="ITE9"/>
      <c r="ITF9"/>
      <c r="ITG9"/>
      <c r="ITH9"/>
      <c r="ITI9"/>
      <c r="ITJ9"/>
      <c r="ITK9"/>
      <c r="ITL9"/>
      <c r="ITM9"/>
      <c r="ITN9"/>
      <c r="ITO9"/>
      <c r="ITP9"/>
      <c r="ITQ9"/>
      <c r="ITR9"/>
      <c r="ITS9"/>
      <c r="ITT9"/>
      <c r="ITU9"/>
      <c r="ITV9"/>
      <c r="ITW9"/>
      <c r="ITX9"/>
      <c r="ITY9"/>
      <c r="ITZ9"/>
      <c r="IUA9"/>
      <c r="IUB9"/>
      <c r="IUC9"/>
      <c r="IUD9"/>
      <c r="IUE9"/>
      <c r="IUF9"/>
      <c r="IUG9"/>
      <c r="IUH9"/>
      <c r="IUI9"/>
      <c r="IUJ9"/>
      <c r="IUK9"/>
      <c r="IUL9"/>
      <c r="IUM9"/>
      <c r="IUN9"/>
      <c r="IUO9"/>
      <c r="IUP9"/>
      <c r="IUQ9"/>
      <c r="IUR9"/>
      <c r="IUS9"/>
      <c r="IUT9"/>
      <c r="IUU9"/>
      <c r="IUV9"/>
      <c r="IUW9"/>
      <c r="IUX9"/>
      <c r="IUY9"/>
      <c r="IUZ9"/>
      <c r="IVA9"/>
      <c r="IVB9"/>
      <c r="IVC9"/>
      <c r="IVD9"/>
      <c r="IVE9"/>
      <c r="IVF9"/>
      <c r="IVG9"/>
      <c r="IVH9"/>
      <c r="IVI9"/>
      <c r="IVJ9"/>
      <c r="IVK9"/>
      <c r="IVL9"/>
      <c r="IVM9"/>
      <c r="IVN9"/>
      <c r="IVO9"/>
      <c r="IVP9"/>
      <c r="IVQ9"/>
      <c r="IVR9"/>
      <c r="IVS9"/>
      <c r="IVT9"/>
      <c r="IVU9"/>
      <c r="IVV9"/>
      <c r="IVW9"/>
      <c r="IVX9"/>
      <c r="IVY9"/>
      <c r="IVZ9"/>
      <c r="IWA9"/>
      <c r="IWB9"/>
      <c r="IWC9"/>
      <c r="IWD9"/>
      <c r="IWE9"/>
      <c r="IWF9"/>
      <c r="IWG9"/>
      <c r="IWH9"/>
      <c r="IWI9"/>
      <c r="IWJ9"/>
      <c r="IWK9"/>
      <c r="IWL9"/>
      <c r="IWM9"/>
      <c r="IWN9"/>
      <c r="IWO9"/>
      <c r="IWP9"/>
      <c r="IWQ9"/>
      <c r="IWR9"/>
      <c r="IWS9"/>
      <c r="IWT9"/>
      <c r="IWU9"/>
      <c r="IWV9"/>
      <c r="IWW9"/>
      <c r="IWX9"/>
      <c r="IWY9"/>
      <c r="IWZ9"/>
      <c r="IXA9"/>
      <c r="IXB9"/>
      <c r="IXC9"/>
      <c r="IXD9"/>
      <c r="IXE9"/>
      <c r="IXF9"/>
      <c r="IXG9"/>
      <c r="IXH9"/>
      <c r="IXI9"/>
      <c r="IXJ9"/>
      <c r="IXK9"/>
      <c r="IXL9"/>
      <c r="IXM9"/>
      <c r="IXN9"/>
      <c r="IXO9"/>
      <c r="IXP9"/>
      <c r="IXQ9"/>
      <c r="IXR9"/>
      <c r="IXS9"/>
      <c r="IXT9"/>
      <c r="IXU9"/>
      <c r="IXV9"/>
      <c r="IXW9"/>
      <c r="IXX9"/>
      <c r="IXY9"/>
      <c r="IXZ9"/>
      <c r="IYA9"/>
      <c r="IYB9"/>
      <c r="IYC9"/>
      <c r="IYD9"/>
      <c r="IYE9"/>
      <c r="IYF9"/>
      <c r="IYG9"/>
      <c r="IYH9"/>
      <c r="IYI9"/>
      <c r="IYJ9"/>
      <c r="IYK9"/>
      <c r="IYL9"/>
      <c r="IYM9"/>
      <c r="IYN9"/>
      <c r="IYO9"/>
      <c r="IYP9"/>
      <c r="IYQ9"/>
      <c r="IYR9"/>
      <c r="IYS9"/>
      <c r="IYT9"/>
      <c r="IYU9"/>
      <c r="IYV9"/>
      <c r="IYW9"/>
      <c r="IYX9"/>
      <c r="IYY9"/>
      <c r="IYZ9"/>
      <c r="IZA9"/>
      <c r="IZB9"/>
      <c r="IZC9"/>
      <c r="IZD9"/>
      <c r="IZE9"/>
      <c r="IZF9"/>
      <c r="IZG9"/>
      <c r="IZH9"/>
      <c r="IZI9"/>
      <c r="IZJ9"/>
      <c r="IZK9"/>
      <c r="IZL9"/>
      <c r="IZM9"/>
      <c r="IZN9"/>
      <c r="IZO9"/>
      <c r="IZP9"/>
      <c r="IZQ9"/>
      <c r="IZR9"/>
      <c r="IZS9"/>
      <c r="IZT9"/>
      <c r="IZU9"/>
      <c r="IZV9"/>
      <c r="IZW9"/>
      <c r="IZX9"/>
      <c r="IZY9"/>
      <c r="IZZ9"/>
      <c r="JAA9"/>
      <c r="JAB9"/>
      <c r="JAC9"/>
      <c r="JAD9"/>
      <c r="JAE9"/>
      <c r="JAF9"/>
      <c r="JAG9"/>
      <c r="JAH9"/>
      <c r="JAI9"/>
      <c r="JAJ9"/>
      <c r="JAK9"/>
      <c r="JAL9"/>
      <c r="JAM9"/>
      <c r="JAN9"/>
      <c r="JAO9"/>
      <c r="JAP9"/>
      <c r="JAQ9"/>
      <c r="JAR9"/>
      <c r="JAS9"/>
      <c r="JAT9"/>
      <c r="JAU9"/>
      <c r="JAV9"/>
      <c r="JAW9"/>
      <c r="JAX9"/>
      <c r="JAY9"/>
      <c r="JAZ9"/>
      <c r="JBA9"/>
      <c r="JBB9"/>
      <c r="JBC9"/>
      <c r="JBD9"/>
      <c r="JBE9"/>
      <c r="JBF9"/>
      <c r="JBG9"/>
      <c r="JBH9"/>
      <c r="JBI9"/>
      <c r="JBJ9"/>
      <c r="JBK9"/>
      <c r="JBL9"/>
      <c r="JBM9"/>
      <c r="JBN9"/>
      <c r="JBO9"/>
      <c r="JBP9"/>
      <c r="JBQ9"/>
      <c r="JBR9"/>
      <c r="JBS9"/>
      <c r="JBT9"/>
      <c r="JBU9"/>
      <c r="JBV9"/>
      <c r="JBW9"/>
      <c r="JBX9"/>
      <c r="JBY9"/>
      <c r="JBZ9"/>
      <c r="JCA9"/>
      <c r="JCB9"/>
      <c r="JCC9"/>
      <c r="JCD9"/>
      <c r="JCE9"/>
      <c r="JCF9"/>
      <c r="JCG9"/>
      <c r="JCH9"/>
      <c r="JCI9"/>
      <c r="JCJ9"/>
      <c r="JCK9"/>
      <c r="JCL9"/>
      <c r="JCM9"/>
      <c r="JCN9"/>
      <c r="JCO9"/>
      <c r="JCP9"/>
      <c r="JCQ9"/>
      <c r="JCR9"/>
      <c r="JCS9"/>
      <c r="JCT9"/>
      <c r="JCU9"/>
      <c r="JCV9"/>
      <c r="JCW9"/>
      <c r="JCX9"/>
      <c r="JCY9"/>
      <c r="JCZ9"/>
      <c r="JDA9"/>
      <c r="JDB9"/>
      <c r="JDC9"/>
      <c r="JDD9"/>
      <c r="JDE9"/>
      <c r="JDF9"/>
      <c r="JDG9"/>
      <c r="JDH9"/>
      <c r="JDI9"/>
      <c r="JDJ9"/>
      <c r="JDK9"/>
      <c r="JDL9"/>
      <c r="JDM9"/>
      <c r="JDN9"/>
      <c r="JDO9"/>
      <c r="JDP9"/>
      <c r="JDQ9"/>
      <c r="JDR9"/>
      <c r="JDS9"/>
      <c r="JDT9"/>
      <c r="JDU9"/>
      <c r="JDV9"/>
      <c r="JDW9"/>
      <c r="JDX9"/>
      <c r="JDY9"/>
      <c r="JDZ9"/>
      <c r="JEA9"/>
      <c r="JEB9"/>
      <c r="JEC9"/>
      <c r="JED9"/>
      <c r="JEE9"/>
      <c r="JEF9"/>
      <c r="JEG9"/>
      <c r="JEH9"/>
      <c r="JEI9"/>
      <c r="JEJ9"/>
      <c r="JEK9"/>
      <c r="JEL9"/>
      <c r="JEM9"/>
      <c r="JEN9"/>
      <c r="JEO9"/>
      <c r="JEP9"/>
      <c r="JEQ9"/>
      <c r="JER9"/>
      <c r="JES9"/>
      <c r="JET9"/>
      <c r="JEU9"/>
      <c r="JEV9"/>
      <c r="JEW9"/>
      <c r="JEX9"/>
      <c r="JEY9"/>
      <c r="JEZ9"/>
      <c r="JFA9"/>
      <c r="JFB9"/>
      <c r="JFC9"/>
      <c r="JFD9"/>
      <c r="JFE9"/>
      <c r="JFF9"/>
      <c r="JFG9"/>
      <c r="JFH9"/>
      <c r="JFI9"/>
      <c r="JFJ9"/>
      <c r="JFK9"/>
      <c r="JFL9"/>
      <c r="JFM9"/>
      <c r="JFN9"/>
      <c r="JFO9"/>
      <c r="JFP9"/>
      <c r="JFQ9"/>
      <c r="JFR9"/>
      <c r="JFS9"/>
      <c r="JFT9"/>
      <c r="JFU9"/>
      <c r="JFV9"/>
      <c r="JFW9"/>
      <c r="JFX9"/>
      <c r="JFY9"/>
      <c r="JFZ9"/>
      <c r="JGA9"/>
      <c r="JGB9"/>
      <c r="JGC9"/>
      <c r="JGD9"/>
      <c r="JGE9"/>
      <c r="JGF9"/>
      <c r="JGG9"/>
      <c r="JGH9"/>
      <c r="JGI9"/>
      <c r="JGJ9"/>
      <c r="JGK9"/>
      <c r="JGL9"/>
      <c r="JGM9"/>
      <c r="JGN9"/>
      <c r="JGO9"/>
      <c r="JGP9"/>
      <c r="JGQ9"/>
      <c r="JGR9"/>
      <c r="JGS9"/>
      <c r="JGT9"/>
      <c r="JGU9"/>
      <c r="JGV9"/>
      <c r="JGW9"/>
      <c r="JGX9"/>
      <c r="JGY9"/>
      <c r="JGZ9"/>
      <c r="JHA9"/>
      <c r="JHB9"/>
      <c r="JHC9"/>
      <c r="JHD9"/>
      <c r="JHE9"/>
      <c r="JHF9"/>
      <c r="JHG9"/>
      <c r="JHH9"/>
      <c r="JHI9"/>
      <c r="JHJ9"/>
      <c r="JHK9"/>
      <c r="JHL9"/>
      <c r="JHM9"/>
      <c r="JHN9"/>
      <c r="JHO9"/>
      <c r="JHP9"/>
      <c r="JHQ9"/>
      <c r="JHR9"/>
      <c r="JHS9"/>
      <c r="JHT9"/>
      <c r="JHU9"/>
      <c r="JHV9"/>
      <c r="JHW9"/>
      <c r="JHX9"/>
      <c r="JHY9"/>
      <c r="JHZ9"/>
      <c r="JIA9"/>
      <c r="JIB9"/>
      <c r="JIC9"/>
      <c r="JID9"/>
      <c r="JIE9"/>
      <c r="JIF9"/>
      <c r="JIG9"/>
      <c r="JIH9"/>
      <c r="JII9"/>
      <c r="JIJ9"/>
      <c r="JIK9"/>
      <c r="JIL9"/>
      <c r="JIM9"/>
      <c r="JIN9"/>
      <c r="JIO9"/>
      <c r="JIP9"/>
      <c r="JIQ9"/>
      <c r="JIR9"/>
      <c r="JIS9"/>
      <c r="JIT9"/>
      <c r="JIU9"/>
      <c r="JIV9"/>
      <c r="JIW9"/>
      <c r="JIX9"/>
      <c r="JIY9"/>
      <c r="JIZ9"/>
      <c r="JJA9"/>
      <c r="JJB9"/>
      <c r="JJC9"/>
      <c r="JJD9"/>
      <c r="JJE9"/>
      <c r="JJF9"/>
      <c r="JJG9"/>
      <c r="JJH9"/>
      <c r="JJI9"/>
      <c r="JJJ9"/>
      <c r="JJK9"/>
      <c r="JJL9"/>
      <c r="JJM9"/>
      <c r="JJN9"/>
      <c r="JJO9"/>
      <c r="JJP9"/>
      <c r="JJQ9"/>
      <c r="JJR9"/>
      <c r="JJS9"/>
      <c r="JJT9"/>
      <c r="JJU9"/>
      <c r="JJV9"/>
      <c r="JJW9"/>
      <c r="JJX9"/>
      <c r="JJY9"/>
      <c r="JJZ9"/>
      <c r="JKA9"/>
      <c r="JKB9"/>
      <c r="JKC9"/>
      <c r="JKD9"/>
      <c r="JKE9"/>
      <c r="JKF9"/>
      <c r="JKG9"/>
      <c r="JKH9"/>
      <c r="JKI9"/>
      <c r="JKJ9"/>
      <c r="JKK9"/>
      <c r="JKL9"/>
      <c r="JKM9"/>
      <c r="JKN9"/>
      <c r="JKO9"/>
      <c r="JKP9"/>
      <c r="JKQ9"/>
      <c r="JKR9"/>
      <c r="JKS9"/>
      <c r="JKT9"/>
      <c r="JKU9"/>
      <c r="JKV9"/>
      <c r="JKW9"/>
      <c r="JKX9"/>
      <c r="JKY9"/>
      <c r="JKZ9"/>
      <c r="JLA9"/>
      <c r="JLB9"/>
      <c r="JLC9"/>
      <c r="JLD9"/>
      <c r="JLE9"/>
      <c r="JLF9"/>
      <c r="JLG9"/>
      <c r="JLH9"/>
      <c r="JLI9"/>
      <c r="JLJ9"/>
      <c r="JLK9"/>
      <c r="JLL9"/>
      <c r="JLM9"/>
      <c r="JLN9"/>
      <c r="JLO9"/>
      <c r="JLP9"/>
      <c r="JLQ9"/>
      <c r="JLR9"/>
      <c r="JLS9"/>
      <c r="JLT9"/>
      <c r="JLU9"/>
      <c r="JLV9"/>
      <c r="JLW9"/>
      <c r="JLX9"/>
      <c r="JLY9"/>
      <c r="JLZ9"/>
      <c r="JMA9"/>
      <c r="JMB9"/>
      <c r="JMC9"/>
      <c r="JMD9"/>
      <c r="JME9"/>
      <c r="JMF9"/>
      <c r="JMG9"/>
      <c r="JMH9"/>
      <c r="JMI9"/>
      <c r="JMJ9"/>
      <c r="JMK9"/>
      <c r="JML9"/>
      <c r="JMM9"/>
      <c r="JMN9"/>
      <c r="JMO9"/>
      <c r="JMP9"/>
      <c r="JMQ9"/>
      <c r="JMR9"/>
      <c r="JMS9"/>
      <c r="JMT9"/>
      <c r="JMU9"/>
      <c r="JMV9"/>
      <c r="JMW9"/>
      <c r="JMX9"/>
      <c r="JMY9"/>
      <c r="JMZ9"/>
      <c r="JNA9"/>
      <c r="JNB9"/>
      <c r="JNC9"/>
      <c r="JND9"/>
      <c r="JNE9"/>
      <c r="JNF9"/>
      <c r="JNG9"/>
      <c r="JNH9"/>
      <c r="JNI9"/>
      <c r="JNJ9"/>
      <c r="JNK9"/>
      <c r="JNL9"/>
      <c r="JNM9"/>
      <c r="JNN9"/>
      <c r="JNO9"/>
      <c r="JNP9"/>
      <c r="JNQ9"/>
      <c r="JNR9"/>
      <c r="JNS9"/>
      <c r="JNT9"/>
      <c r="JNU9"/>
      <c r="JNV9"/>
      <c r="JNW9"/>
      <c r="JNX9"/>
      <c r="JNY9"/>
      <c r="JNZ9"/>
      <c r="JOA9"/>
      <c r="JOB9"/>
      <c r="JOC9"/>
      <c r="JOD9"/>
      <c r="JOE9"/>
      <c r="JOF9"/>
      <c r="JOG9"/>
      <c r="JOH9"/>
      <c r="JOI9"/>
      <c r="JOJ9"/>
      <c r="JOK9"/>
      <c r="JOL9"/>
      <c r="JOM9"/>
      <c r="JON9"/>
      <c r="JOO9"/>
      <c r="JOP9"/>
      <c r="JOQ9"/>
      <c r="JOR9"/>
      <c r="JOS9"/>
      <c r="JOT9"/>
      <c r="JOU9"/>
      <c r="JOV9"/>
      <c r="JOW9"/>
      <c r="JOX9"/>
      <c r="JOY9"/>
      <c r="JOZ9"/>
      <c r="JPA9"/>
      <c r="JPB9"/>
      <c r="JPC9"/>
      <c r="JPD9"/>
      <c r="JPE9"/>
      <c r="JPF9"/>
      <c r="JPG9"/>
      <c r="JPH9"/>
      <c r="JPI9"/>
      <c r="JPJ9"/>
      <c r="JPK9"/>
      <c r="JPL9"/>
      <c r="JPM9"/>
      <c r="JPN9"/>
      <c r="JPO9"/>
      <c r="JPP9"/>
      <c r="JPQ9"/>
      <c r="JPR9"/>
      <c r="JPS9"/>
      <c r="JPT9"/>
      <c r="JPU9"/>
      <c r="JPV9"/>
      <c r="JPW9"/>
      <c r="JPX9"/>
      <c r="JPY9"/>
      <c r="JPZ9"/>
      <c r="JQA9"/>
      <c r="JQB9"/>
      <c r="JQC9"/>
      <c r="JQD9"/>
      <c r="JQE9"/>
      <c r="JQF9"/>
      <c r="JQG9"/>
      <c r="JQH9"/>
      <c r="JQI9"/>
      <c r="JQJ9"/>
      <c r="JQK9"/>
      <c r="JQL9"/>
      <c r="JQM9"/>
      <c r="JQN9"/>
      <c r="JQO9"/>
      <c r="JQP9"/>
      <c r="JQQ9"/>
      <c r="JQR9"/>
      <c r="JQS9"/>
      <c r="JQT9"/>
      <c r="JQU9"/>
      <c r="JQV9"/>
      <c r="JQW9"/>
      <c r="JQX9"/>
      <c r="JQY9"/>
      <c r="JQZ9"/>
      <c r="JRA9"/>
      <c r="JRB9"/>
      <c r="JRC9"/>
      <c r="JRD9"/>
      <c r="JRE9"/>
      <c r="JRF9"/>
      <c r="JRG9"/>
      <c r="JRH9"/>
      <c r="JRI9"/>
      <c r="JRJ9"/>
      <c r="JRK9"/>
      <c r="JRL9"/>
      <c r="JRM9"/>
      <c r="JRN9"/>
      <c r="JRO9"/>
      <c r="JRP9"/>
      <c r="JRQ9"/>
      <c r="JRR9"/>
      <c r="JRS9"/>
      <c r="JRT9"/>
      <c r="JRU9"/>
      <c r="JRV9"/>
      <c r="JRW9"/>
      <c r="JRX9"/>
      <c r="JRY9"/>
      <c r="JRZ9"/>
      <c r="JSA9"/>
      <c r="JSB9"/>
      <c r="JSC9"/>
      <c r="JSD9"/>
      <c r="JSE9"/>
      <c r="JSF9"/>
      <c r="JSG9"/>
      <c r="JSH9"/>
      <c r="JSI9"/>
      <c r="JSJ9"/>
      <c r="JSK9"/>
      <c r="JSL9"/>
      <c r="JSM9"/>
      <c r="JSN9"/>
      <c r="JSO9"/>
      <c r="JSP9"/>
      <c r="JSQ9"/>
      <c r="JSR9"/>
      <c r="JSS9"/>
      <c r="JST9"/>
      <c r="JSU9"/>
      <c r="JSV9"/>
      <c r="JSW9"/>
      <c r="JSX9"/>
      <c r="JSY9"/>
      <c r="JSZ9"/>
      <c r="JTA9"/>
      <c r="JTB9"/>
      <c r="JTC9"/>
      <c r="JTD9"/>
      <c r="JTE9"/>
      <c r="JTF9"/>
      <c r="JTG9"/>
      <c r="JTH9"/>
      <c r="JTI9"/>
      <c r="JTJ9"/>
      <c r="JTK9"/>
      <c r="JTL9"/>
      <c r="JTM9"/>
      <c r="JTN9"/>
      <c r="JTO9"/>
      <c r="JTP9"/>
      <c r="JTQ9"/>
      <c r="JTR9"/>
      <c r="JTS9"/>
      <c r="JTT9"/>
      <c r="JTU9"/>
      <c r="JTV9"/>
      <c r="JTW9"/>
      <c r="JTX9"/>
      <c r="JTY9"/>
      <c r="JTZ9"/>
      <c r="JUA9"/>
      <c r="JUB9"/>
      <c r="JUC9"/>
      <c r="JUD9"/>
      <c r="JUE9"/>
      <c r="JUF9"/>
      <c r="JUG9"/>
      <c r="JUH9"/>
      <c r="JUI9"/>
      <c r="JUJ9"/>
      <c r="JUK9"/>
      <c r="JUL9"/>
      <c r="JUM9"/>
      <c r="JUN9"/>
      <c r="JUO9"/>
      <c r="JUP9"/>
      <c r="JUQ9"/>
      <c r="JUR9"/>
      <c r="JUS9"/>
      <c r="JUT9"/>
      <c r="JUU9"/>
      <c r="JUV9"/>
      <c r="JUW9"/>
      <c r="JUX9"/>
      <c r="JUY9"/>
      <c r="JUZ9"/>
      <c r="JVA9"/>
      <c r="JVB9"/>
      <c r="JVC9"/>
      <c r="JVD9"/>
      <c r="JVE9"/>
      <c r="JVF9"/>
      <c r="JVG9"/>
      <c r="JVH9"/>
      <c r="JVI9"/>
      <c r="JVJ9"/>
      <c r="JVK9"/>
      <c r="JVL9"/>
      <c r="JVM9"/>
      <c r="JVN9"/>
      <c r="JVO9"/>
      <c r="JVP9"/>
      <c r="JVQ9"/>
      <c r="JVR9"/>
      <c r="JVS9"/>
      <c r="JVT9"/>
      <c r="JVU9"/>
      <c r="JVV9"/>
      <c r="JVW9"/>
      <c r="JVX9"/>
      <c r="JVY9"/>
      <c r="JVZ9"/>
      <c r="JWA9"/>
      <c r="JWB9"/>
      <c r="JWC9"/>
      <c r="JWD9"/>
      <c r="JWE9"/>
      <c r="JWF9"/>
      <c r="JWG9"/>
      <c r="JWH9"/>
      <c r="JWI9"/>
      <c r="JWJ9"/>
      <c r="JWK9"/>
      <c r="JWL9"/>
      <c r="JWM9"/>
      <c r="JWN9"/>
      <c r="JWO9"/>
      <c r="JWP9"/>
      <c r="JWQ9"/>
      <c r="JWR9"/>
      <c r="JWS9"/>
      <c r="JWT9"/>
      <c r="JWU9"/>
      <c r="JWV9"/>
      <c r="JWW9"/>
      <c r="JWX9"/>
      <c r="JWY9"/>
      <c r="JWZ9"/>
      <c r="JXA9"/>
      <c r="JXB9"/>
      <c r="JXC9"/>
      <c r="JXD9"/>
      <c r="JXE9"/>
      <c r="JXF9"/>
      <c r="JXG9"/>
      <c r="JXH9"/>
      <c r="JXI9"/>
      <c r="JXJ9"/>
      <c r="JXK9"/>
      <c r="JXL9"/>
      <c r="JXM9"/>
      <c r="JXN9"/>
      <c r="JXO9"/>
      <c r="JXP9"/>
      <c r="JXQ9"/>
      <c r="JXR9"/>
      <c r="JXS9"/>
      <c r="JXT9"/>
      <c r="JXU9"/>
      <c r="JXV9"/>
      <c r="JXW9"/>
      <c r="JXX9"/>
      <c r="JXY9"/>
      <c r="JXZ9"/>
      <c r="JYA9"/>
      <c r="JYB9"/>
      <c r="JYC9"/>
      <c r="JYD9"/>
      <c r="JYE9"/>
      <c r="JYF9"/>
      <c r="JYG9"/>
      <c r="JYH9"/>
      <c r="JYI9"/>
      <c r="JYJ9"/>
      <c r="JYK9"/>
      <c r="JYL9"/>
      <c r="JYM9"/>
      <c r="JYN9"/>
      <c r="JYO9"/>
      <c r="JYP9"/>
      <c r="JYQ9"/>
      <c r="JYR9"/>
      <c r="JYS9"/>
      <c r="JYT9"/>
      <c r="JYU9"/>
      <c r="JYV9"/>
      <c r="JYW9"/>
      <c r="JYX9"/>
      <c r="JYY9"/>
      <c r="JYZ9"/>
      <c r="JZA9"/>
      <c r="JZB9"/>
      <c r="JZC9"/>
      <c r="JZD9"/>
      <c r="JZE9"/>
      <c r="JZF9"/>
      <c r="JZG9"/>
      <c r="JZH9"/>
      <c r="JZI9"/>
      <c r="JZJ9"/>
      <c r="JZK9"/>
      <c r="JZL9"/>
      <c r="JZM9"/>
      <c r="JZN9"/>
      <c r="JZO9"/>
      <c r="JZP9"/>
      <c r="JZQ9"/>
      <c r="JZR9"/>
      <c r="JZS9"/>
      <c r="JZT9"/>
      <c r="JZU9"/>
      <c r="JZV9"/>
      <c r="JZW9"/>
      <c r="JZX9"/>
      <c r="JZY9"/>
      <c r="JZZ9"/>
      <c r="KAA9"/>
      <c r="KAB9"/>
      <c r="KAC9"/>
      <c r="KAD9"/>
      <c r="KAE9"/>
      <c r="KAF9"/>
      <c r="KAG9"/>
      <c r="KAH9"/>
      <c r="KAI9"/>
      <c r="KAJ9"/>
      <c r="KAK9"/>
      <c r="KAL9"/>
      <c r="KAM9"/>
      <c r="KAN9"/>
      <c r="KAO9"/>
      <c r="KAP9"/>
      <c r="KAQ9"/>
      <c r="KAR9"/>
      <c r="KAS9"/>
      <c r="KAT9"/>
      <c r="KAU9"/>
      <c r="KAV9"/>
      <c r="KAW9"/>
      <c r="KAX9"/>
      <c r="KAY9"/>
      <c r="KAZ9"/>
      <c r="KBA9"/>
      <c r="KBB9"/>
      <c r="KBC9"/>
      <c r="KBD9"/>
      <c r="KBE9"/>
      <c r="KBF9"/>
      <c r="KBG9"/>
      <c r="KBH9"/>
      <c r="KBI9"/>
      <c r="KBJ9"/>
      <c r="KBK9"/>
      <c r="KBL9"/>
      <c r="KBM9"/>
      <c r="KBN9"/>
      <c r="KBO9"/>
      <c r="KBP9"/>
      <c r="KBQ9"/>
      <c r="KBR9"/>
      <c r="KBS9"/>
      <c r="KBT9"/>
      <c r="KBU9"/>
      <c r="KBV9"/>
      <c r="KBW9"/>
      <c r="KBX9"/>
      <c r="KBY9"/>
      <c r="KBZ9"/>
      <c r="KCA9"/>
      <c r="KCB9"/>
      <c r="KCC9"/>
      <c r="KCD9"/>
      <c r="KCE9"/>
      <c r="KCF9"/>
      <c r="KCG9"/>
      <c r="KCH9"/>
      <c r="KCI9"/>
      <c r="KCJ9"/>
      <c r="KCK9"/>
      <c r="KCL9"/>
      <c r="KCM9"/>
      <c r="KCN9"/>
      <c r="KCO9"/>
      <c r="KCP9"/>
      <c r="KCQ9"/>
      <c r="KCR9"/>
      <c r="KCS9"/>
      <c r="KCT9"/>
      <c r="KCU9"/>
      <c r="KCV9"/>
      <c r="KCW9"/>
      <c r="KCX9"/>
      <c r="KCY9"/>
      <c r="KCZ9"/>
      <c r="KDA9"/>
      <c r="KDB9"/>
      <c r="KDC9"/>
      <c r="KDD9"/>
      <c r="KDE9"/>
      <c r="KDF9"/>
      <c r="KDG9"/>
      <c r="KDH9"/>
      <c r="KDI9"/>
      <c r="KDJ9"/>
      <c r="KDK9"/>
      <c r="KDL9"/>
      <c r="KDM9"/>
      <c r="KDN9"/>
      <c r="KDO9"/>
      <c r="KDP9"/>
      <c r="KDQ9"/>
      <c r="KDR9"/>
      <c r="KDS9"/>
      <c r="KDT9"/>
      <c r="KDU9"/>
      <c r="KDV9"/>
      <c r="KDW9"/>
      <c r="KDX9"/>
      <c r="KDY9"/>
      <c r="KDZ9"/>
      <c r="KEA9"/>
      <c r="KEB9"/>
      <c r="KEC9"/>
      <c r="KED9"/>
      <c r="KEE9"/>
      <c r="KEF9"/>
      <c r="KEG9"/>
      <c r="KEH9"/>
      <c r="KEI9"/>
      <c r="KEJ9"/>
      <c r="KEK9"/>
      <c r="KEL9"/>
      <c r="KEM9"/>
      <c r="KEN9"/>
      <c r="KEO9"/>
      <c r="KEP9"/>
      <c r="KEQ9"/>
      <c r="KER9"/>
      <c r="KES9"/>
      <c r="KET9"/>
      <c r="KEU9"/>
      <c r="KEV9"/>
      <c r="KEW9"/>
      <c r="KEX9"/>
      <c r="KEY9"/>
      <c r="KEZ9"/>
      <c r="KFA9"/>
      <c r="KFB9"/>
      <c r="KFC9"/>
      <c r="KFD9"/>
      <c r="KFE9"/>
      <c r="KFF9"/>
      <c r="KFG9"/>
      <c r="KFH9"/>
      <c r="KFI9"/>
      <c r="KFJ9"/>
      <c r="KFK9"/>
      <c r="KFL9"/>
      <c r="KFM9"/>
      <c r="KFN9"/>
      <c r="KFO9"/>
      <c r="KFP9"/>
      <c r="KFQ9"/>
      <c r="KFR9"/>
      <c r="KFS9"/>
      <c r="KFT9"/>
      <c r="KFU9"/>
      <c r="KFV9"/>
      <c r="KFW9"/>
      <c r="KFX9"/>
      <c r="KFY9"/>
      <c r="KFZ9"/>
      <c r="KGA9"/>
      <c r="KGB9"/>
      <c r="KGC9"/>
      <c r="KGD9"/>
      <c r="KGE9"/>
      <c r="KGF9"/>
      <c r="KGG9"/>
      <c r="KGH9"/>
      <c r="KGI9"/>
      <c r="KGJ9"/>
      <c r="KGK9"/>
      <c r="KGL9"/>
      <c r="KGM9"/>
      <c r="KGN9"/>
      <c r="KGO9"/>
      <c r="KGP9"/>
      <c r="KGQ9"/>
      <c r="KGR9"/>
      <c r="KGS9"/>
      <c r="KGT9"/>
      <c r="KGU9"/>
      <c r="KGV9"/>
      <c r="KGW9"/>
      <c r="KGX9"/>
      <c r="KGY9"/>
      <c r="KGZ9"/>
      <c r="KHA9"/>
      <c r="KHB9"/>
      <c r="KHC9"/>
      <c r="KHD9"/>
      <c r="KHE9"/>
      <c r="KHF9"/>
      <c r="KHG9"/>
      <c r="KHH9"/>
      <c r="KHI9"/>
      <c r="KHJ9"/>
      <c r="KHK9"/>
      <c r="KHL9"/>
      <c r="KHM9"/>
      <c r="KHN9"/>
      <c r="KHO9"/>
      <c r="KHP9"/>
      <c r="KHQ9"/>
      <c r="KHR9"/>
      <c r="KHS9"/>
      <c r="KHT9"/>
      <c r="KHU9"/>
      <c r="KHV9"/>
      <c r="KHW9"/>
      <c r="KHX9"/>
      <c r="KHY9"/>
      <c r="KHZ9"/>
      <c r="KIA9"/>
      <c r="KIB9"/>
      <c r="KIC9"/>
      <c r="KID9"/>
      <c r="KIE9"/>
      <c r="KIF9"/>
      <c r="KIG9"/>
      <c r="KIH9"/>
      <c r="KII9"/>
      <c r="KIJ9"/>
      <c r="KIK9"/>
      <c r="KIL9"/>
      <c r="KIM9"/>
      <c r="KIN9"/>
      <c r="KIO9"/>
      <c r="KIP9"/>
      <c r="KIQ9"/>
      <c r="KIR9"/>
      <c r="KIS9"/>
      <c r="KIT9"/>
      <c r="KIU9"/>
      <c r="KIV9"/>
      <c r="KIW9"/>
      <c r="KIX9"/>
      <c r="KIY9"/>
      <c r="KIZ9"/>
      <c r="KJA9"/>
      <c r="KJB9"/>
      <c r="KJC9"/>
      <c r="KJD9"/>
      <c r="KJE9"/>
      <c r="KJF9"/>
      <c r="KJG9"/>
      <c r="KJH9"/>
      <c r="KJI9"/>
      <c r="KJJ9"/>
      <c r="KJK9"/>
      <c r="KJL9"/>
      <c r="KJM9"/>
      <c r="KJN9"/>
      <c r="KJO9"/>
      <c r="KJP9"/>
      <c r="KJQ9"/>
      <c r="KJR9"/>
      <c r="KJS9"/>
      <c r="KJT9"/>
      <c r="KJU9"/>
      <c r="KJV9"/>
      <c r="KJW9"/>
      <c r="KJX9"/>
      <c r="KJY9"/>
      <c r="KJZ9"/>
      <c r="KKA9"/>
      <c r="KKB9"/>
      <c r="KKC9"/>
      <c r="KKD9"/>
      <c r="KKE9"/>
      <c r="KKF9"/>
      <c r="KKG9"/>
      <c r="KKH9"/>
      <c r="KKI9"/>
      <c r="KKJ9"/>
      <c r="KKK9"/>
      <c r="KKL9"/>
      <c r="KKM9"/>
      <c r="KKN9"/>
      <c r="KKO9"/>
      <c r="KKP9"/>
      <c r="KKQ9"/>
      <c r="KKR9"/>
      <c r="KKS9"/>
      <c r="KKT9"/>
      <c r="KKU9"/>
      <c r="KKV9"/>
      <c r="KKW9"/>
      <c r="KKX9"/>
      <c r="KKY9"/>
      <c r="KKZ9"/>
      <c r="KLA9"/>
      <c r="KLB9"/>
      <c r="KLC9"/>
      <c r="KLD9"/>
      <c r="KLE9"/>
      <c r="KLF9"/>
      <c r="KLG9"/>
      <c r="KLH9"/>
      <c r="KLI9"/>
      <c r="KLJ9"/>
      <c r="KLK9"/>
      <c r="KLL9"/>
      <c r="KLM9"/>
      <c r="KLN9"/>
      <c r="KLO9"/>
      <c r="KLP9"/>
      <c r="KLQ9"/>
      <c r="KLR9"/>
      <c r="KLS9"/>
      <c r="KLT9"/>
      <c r="KLU9"/>
      <c r="KLV9"/>
      <c r="KLW9"/>
      <c r="KLX9"/>
      <c r="KLY9"/>
      <c r="KLZ9"/>
      <c r="KMA9"/>
      <c r="KMB9"/>
      <c r="KMC9"/>
      <c r="KMD9"/>
      <c r="KME9"/>
      <c r="KMF9"/>
      <c r="KMG9"/>
      <c r="KMH9"/>
      <c r="KMI9"/>
      <c r="KMJ9"/>
      <c r="KMK9"/>
      <c r="KML9"/>
      <c r="KMM9"/>
      <c r="KMN9"/>
      <c r="KMO9"/>
      <c r="KMP9"/>
      <c r="KMQ9"/>
      <c r="KMR9"/>
      <c r="KMS9"/>
      <c r="KMT9"/>
      <c r="KMU9"/>
      <c r="KMV9"/>
      <c r="KMW9"/>
      <c r="KMX9"/>
      <c r="KMY9"/>
      <c r="KMZ9"/>
      <c r="KNA9"/>
      <c r="KNB9"/>
      <c r="KNC9"/>
      <c r="KND9"/>
      <c r="KNE9"/>
      <c r="KNF9"/>
      <c r="KNG9"/>
      <c r="KNH9"/>
      <c r="KNI9"/>
      <c r="KNJ9"/>
      <c r="KNK9"/>
      <c r="KNL9"/>
      <c r="KNM9"/>
      <c r="KNN9"/>
      <c r="KNO9"/>
      <c r="KNP9"/>
      <c r="KNQ9"/>
      <c r="KNR9"/>
      <c r="KNS9"/>
      <c r="KNT9"/>
      <c r="KNU9"/>
      <c r="KNV9"/>
      <c r="KNW9"/>
      <c r="KNX9"/>
      <c r="KNY9"/>
      <c r="KNZ9"/>
      <c r="KOA9"/>
      <c r="KOB9"/>
      <c r="KOC9"/>
      <c r="KOD9"/>
      <c r="KOE9"/>
      <c r="KOF9"/>
      <c r="KOG9"/>
      <c r="KOH9"/>
      <c r="KOI9"/>
      <c r="KOJ9"/>
      <c r="KOK9"/>
      <c r="KOL9"/>
      <c r="KOM9"/>
      <c r="KON9"/>
      <c r="KOO9"/>
      <c r="KOP9"/>
      <c r="KOQ9"/>
      <c r="KOR9"/>
      <c r="KOS9"/>
      <c r="KOT9"/>
      <c r="KOU9"/>
      <c r="KOV9"/>
      <c r="KOW9"/>
      <c r="KOX9"/>
      <c r="KOY9"/>
      <c r="KOZ9"/>
      <c r="KPA9"/>
      <c r="KPB9"/>
      <c r="KPC9"/>
      <c r="KPD9"/>
      <c r="KPE9"/>
      <c r="KPF9"/>
      <c r="KPG9"/>
      <c r="KPH9"/>
      <c r="KPI9"/>
      <c r="KPJ9"/>
      <c r="KPK9"/>
      <c r="KPL9"/>
      <c r="KPM9"/>
      <c r="KPN9"/>
      <c r="KPO9"/>
      <c r="KPP9"/>
      <c r="KPQ9"/>
      <c r="KPR9"/>
      <c r="KPS9"/>
      <c r="KPT9"/>
      <c r="KPU9"/>
      <c r="KPV9"/>
      <c r="KPW9"/>
      <c r="KPX9"/>
      <c r="KPY9"/>
      <c r="KPZ9"/>
      <c r="KQA9"/>
      <c r="KQB9"/>
      <c r="KQC9"/>
      <c r="KQD9"/>
      <c r="KQE9"/>
      <c r="KQF9"/>
      <c r="KQG9"/>
      <c r="KQH9"/>
      <c r="KQI9"/>
      <c r="KQJ9"/>
      <c r="KQK9"/>
      <c r="KQL9"/>
      <c r="KQM9"/>
      <c r="KQN9"/>
      <c r="KQO9"/>
      <c r="KQP9"/>
      <c r="KQQ9"/>
      <c r="KQR9"/>
      <c r="KQS9"/>
      <c r="KQT9"/>
      <c r="KQU9"/>
      <c r="KQV9"/>
      <c r="KQW9"/>
      <c r="KQX9"/>
      <c r="KQY9"/>
      <c r="KQZ9"/>
      <c r="KRA9"/>
      <c r="KRB9"/>
      <c r="KRC9"/>
      <c r="KRD9"/>
      <c r="KRE9"/>
      <c r="KRF9"/>
      <c r="KRG9"/>
      <c r="KRH9"/>
      <c r="KRI9"/>
      <c r="KRJ9"/>
      <c r="KRK9"/>
      <c r="KRL9"/>
      <c r="KRM9"/>
      <c r="KRN9"/>
      <c r="KRO9"/>
      <c r="KRP9"/>
      <c r="KRQ9"/>
      <c r="KRR9"/>
      <c r="KRS9"/>
      <c r="KRT9"/>
      <c r="KRU9"/>
      <c r="KRV9"/>
      <c r="KRW9"/>
      <c r="KRX9"/>
      <c r="KRY9"/>
      <c r="KRZ9"/>
      <c r="KSA9"/>
      <c r="KSB9"/>
      <c r="KSC9"/>
      <c r="KSD9"/>
      <c r="KSE9"/>
      <c r="KSF9"/>
      <c r="KSG9"/>
      <c r="KSH9"/>
      <c r="KSI9"/>
      <c r="KSJ9"/>
      <c r="KSK9"/>
      <c r="KSL9"/>
      <c r="KSM9"/>
      <c r="KSN9"/>
      <c r="KSO9"/>
      <c r="KSP9"/>
      <c r="KSQ9"/>
      <c r="KSR9"/>
      <c r="KSS9"/>
      <c r="KST9"/>
      <c r="KSU9"/>
      <c r="KSV9"/>
      <c r="KSW9"/>
      <c r="KSX9"/>
      <c r="KSY9"/>
      <c r="KSZ9"/>
      <c r="KTA9"/>
      <c r="KTB9"/>
      <c r="KTC9"/>
      <c r="KTD9"/>
      <c r="KTE9"/>
      <c r="KTF9"/>
      <c r="KTG9"/>
      <c r="KTH9"/>
      <c r="KTI9"/>
      <c r="KTJ9"/>
      <c r="KTK9"/>
      <c r="KTL9"/>
      <c r="KTM9"/>
      <c r="KTN9"/>
      <c r="KTO9"/>
      <c r="KTP9"/>
      <c r="KTQ9"/>
      <c r="KTR9"/>
      <c r="KTS9"/>
      <c r="KTT9"/>
      <c r="KTU9"/>
      <c r="KTV9"/>
      <c r="KTW9"/>
      <c r="KTX9"/>
      <c r="KTY9"/>
      <c r="KTZ9"/>
      <c r="KUA9"/>
      <c r="KUB9"/>
      <c r="KUC9"/>
      <c r="KUD9"/>
      <c r="KUE9"/>
      <c r="KUF9"/>
      <c r="KUG9"/>
      <c r="KUH9"/>
      <c r="KUI9"/>
      <c r="KUJ9"/>
      <c r="KUK9"/>
      <c r="KUL9"/>
      <c r="KUM9"/>
      <c r="KUN9"/>
      <c r="KUO9"/>
      <c r="KUP9"/>
      <c r="KUQ9"/>
      <c r="KUR9"/>
      <c r="KUS9"/>
      <c r="KUT9"/>
      <c r="KUU9"/>
      <c r="KUV9"/>
      <c r="KUW9"/>
      <c r="KUX9"/>
      <c r="KUY9"/>
      <c r="KUZ9"/>
      <c r="KVA9"/>
      <c r="KVB9"/>
      <c r="KVC9"/>
      <c r="KVD9"/>
      <c r="KVE9"/>
      <c r="KVF9"/>
      <c r="KVG9"/>
      <c r="KVH9"/>
      <c r="KVI9"/>
      <c r="KVJ9"/>
      <c r="KVK9"/>
      <c r="KVL9"/>
      <c r="KVM9"/>
      <c r="KVN9"/>
      <c r="KVO9"/>
      <c r="KVP9"/>
      <c r="KVQ9"/>
      <c r="KVR9"/>
      <c r="KVS9"/>
      <c r="KVT9"/>
      <c r="KVU9"/>
      <c r="KVV9"/>
      <c r="KVW9"/>
      <c r="KVX9"/>
      <c r="KVY9"/>
      <c r="KVZ9"/>
      <c r="KWA9"/>
      <c r="KWB9"/>
      <c r="KWC9"/>
      <c r="KWD9"/>
      <c r="KWE9"/>
      <c r="KWF9"/>
      <c r="KWG9"/>
      <c r="KWH9"/>
      <c r="KWI9"/>
      <c r="KWJ9"/>
      <c r="KWK9"/>
      <c r="KWL9"/>
      <c r="KWM9"/>
      <c r="KWN9"/>
      <c r="KWO9"/>
      <c r="KWP9"/>
      <c r="KWQ9"/>
      <c r="KWR9"/>
      <c r="KWS9"/>
      <c r="KWT9"/>
      <c r="KWU9"/>
      <c r="KWV9"/>
      <c r="KWW9"/>
      <c r="KWX9"/>
      <c r="KWY9"/>
      <c r="KWZ9"/>
      <c r="KXA9"/>
      <c r="KXB9"/>
      <c r="KXC9"/>
      <c r="KXD9"/>
      <c r="KXE9"/>
      <c r="KXF9"/>
      <c r="KXG9"/>
      <c r="KXH9"/>
      <c r="KXI9"/>
      <c r="KXJ9"/>
      <c r="KXK9"/>
      <c r="KXL9"/>
      <c r="KXM9"/>
      <c r="KXN9"/>
      <c r="KXO9"/>
      <c r="KXP9"/>
      <c r="KXQ9"/>
      <c r="KXR9"/>
      <c r="KXS9"/>
      <c r="KXT9"/>
      <c r="KXU9"/>
      <c r="KXV9"/>
      <c r="KXW9"/>
      <c r="KXX9"/>
      <c r="KXY9"/>
      <c r="KXZ9"/>
      <c r="KYA9"/>
      <c r="KYB9"/>
      <c r="KYC9"/>
      <c r="KYD9"/>
      <c r="KYE9"/>
      <c r="KYF9"/>
      <c r="KYG9"/>
      <c r="KYH9"/>
      <c r="KYI9"/>
      <c r="KYJ9"/>
      <c r="KYK9"/>
      <c r="KYL9"/>
      <c r="KYM9"/>
      <c r="KYN9"/>
      <c r="KYO9"/>
      <c r="KYP9"/>
      <c r="KYQ9"/>
      <c r="KYR9"/>
      <c r="KYS9"/>
      <c r="KYT9"/>
      <c r="KYU9"/>
      <c r="KYV9"/>
      <c r="KYW9"/>
      <c r="KYX9"/>
      <c r="KYY9"/>
      <c r="KYZ9"/>
      <c r="KZA9"/>
      <c r="KZB9"/>
      <c r="KZC9"/>
      <c r="KZD9"/>
      <c r="KZE9"/>
      <c r="KZF9"/>
      <c r="KZG9"/>
      <c r="KZH9"/>
      <c r="KZI9"/>
      <c r="KZJ9"/>
      <c r="KZK9"/>
      <c r="KZL9"/>
      <c r="KZM9"/>
      <c r="KZN9"/>
      <c r="KZO9"/>
      <c r="KZP9"/>
      <c r="KZQ9"/>
      <c r="KZR9"/>
      <c r="KZS9"/>
      <c r="KZT9"/>
      <c r="KZU9"/>
      <c r="KZV9"/>
      <c r="KZW9"/>
      <c r="KZX9"/>
      <c r="KZY9"/>
      <c r="KZZ9"/>
      <c r="LAA9"/>
      <c r="LAB9"/>
      <c r="LAC9"/>
      <c r="LAD9"/>
      <c r="LAE9"/>
      <c r="LAF9"/>
      <c r="LAG9"/>
      <c r="LAH9"/>
      <c r="LAI9"/>
      <c r="LAJ9"/>
      <c r="LAK9"/>
      <c r="LAL9"/>
      <c r="LAM9"/>
      <c r="LAN9"/>
      <c r="LAO9"/>
      <c r="LAP9"/>
      <c r="LAQ9"/>
      <c r="LAR9"/>
      <c r="LAS9"/>
      <c r="LAT9"/>
      <c r="LAU9"/>
      <c r="LAV9"/>
      <c r="LAW9"/>
      <c r="LAX9"/>
      <c r="LAY9"/>
      <c r="LAZ9"/>
      <c r="LBA9"/>
      <c r="LBB9"/>
      <c r="LBC9"/>
      <c r="LBD9"/>
      <c r="LBE9"/>
      <c r="LBF9"/>
      <c r="LBG9"/>
      <c r="LBH9"/>
      <c r="LBI9"/>
      <c r="LBJ9"/>
      <c r="LBK9"/>
      <c r="LBL9"/>
      <c r="LBM9"/>
      <c r="LBN9"/>
      <c r="LBO9"/>
      <c r="LBP9"/>
      <c r="LBQ9"/>
      <c r="LBR9"/>
      <c r="LBS9"/>
      <c r="LBT9"/>
      <c r="LBU9"/>
      <c r="LBV9"/>
      <c r="LBW9"/>
      <c r="LBX9"/>
      <c r="LBY9"/>
      <c r="LBZ9"/>
      <c r="LCA9"/>
      <c r="LCB9"/>
      <c r="LCC9"/>
      <c r="LCD9"/>
      <c r="LCE9"/>
      <c r="LCF9"/>
      <c r="LCG9"/>
      <c r="LCH9"/>
      <c r="LCI9"/>
      <c r="LCJ9"/>
      <c r="LCK9"/>
      <c r="LCL9"/>
      <c r="LCM9"/>
      <c r="LCN9"/>
      <c r="LCO9"/>
      <c r="LCP9"/>
      <c r="LCQ9"/>
      <c r="LCR9"/>
      <c r="LCS9"/>
      <c r="LCT9"/>
      <c r="LCU9"/>
      <c r="LCV9"/>
      <c r="LCW9"/>
      <c r="LCX9"/>
      <c r="LCY9"/>
      <c r="LCZ9"/>
      <c r="LDA9"/>
      <c r="LDB9"/>
      <c r="LDC9"/>
      <c r="LDD9"/>
      <c r="LDE9"/>
      <c r="LDF9"/>
      <c r="LDG9"/>
      <c r="LDH9"/>
      <c r="LDI9"/>
      <c r="LDJ9"/>
      <c r="LDK9"/>
      <c r="LDL9"/>
      <c r="LDM9"/>
      <c r="LDN9"/>
      <c r="LDO9"/>
      <c r="LDP9"/>
      <c r="LDQ9"/>
      <c r="LDR9"/>
      <c r="LDS9"/>
      <c r="LDT9"/>
      <c r="LDU9"/>
      <c r="LDV9"/>
      <c r="LDW9"/>
      <c r="LDX9"/>
      <c r="LDY9"/>
      <c r="LDZ9"/>
      <c r="LEA9"/>
      <c r="LEB9"/>
      <c r="LEC9"/>
      <c r="LED9"/>
      <c r="LEE9"/>
      <c r="LEF9"/>
      <c r="LEG9"/>
      <c r="LEH9"/>
      <c r="LEI9"/>
      <c r="LEJ9"/>
      <c r="LEK9"/>
      <c r="LEL9"/>
      <c r="LEM9"/>
      <c r="LEN9"/>
      <c r="LEO9"/>
      <c r="LEP9"/>
      <c r="LEQ9"/>
      <c r="LER9"/>
      <c r="LES9"/>
      <c r="LET9"/>
      <c r="LEU9"/>
      <c r="LEV9"/>
      <c r="LEW9"/>
      <c r="LEX9"/>
      <c r="LEY9"/>
      <c r="LEZ9"/>
      <c r="LFA9"/>
      <c r="LFB9"/>
      <c r="LFC9"/>
      <c r="LFD9"/>
      <c r="LFE9"/>
      <c r="LFF9"/>
      <c r="LFG9"/>
      <c r="LFH9"/>
      <c r="LFI9"/>
      <c r="LFJ9"/>
      <c r="LFK9"/>
      <c r="LFL9"/>
      <c r="LFM9"/>
      <c r="LFN9"/>
      <c r="LFO9"/>
      <c r="LFP9"/>
      <c r="LFQ9"/>
      <c r="LFR9"/>
      <c r="LFS9"/>
      <c r="LFT9"/>
      <c r="LFU9"/>
      <c r="LFV9"/>
      <c r="LFW9"/>
      <c r="LFX9"/>
      <c r="LFY9"/>
      <c r="LFZ9"/>
      <c r="LGA9"/>
      <c r="LGB9"/>
      <c r="LGC9"/>
      <c r="LGD9"/>
      <c r="LGE9"/>
      <c r="LGF9"/>
      <c r="LGG9"/>
      <c r="LGH9"/>
      <c r="LGI9"/>
      <c r="LGJ9"/>
      <c r="LGK9"/>
      <c r="LGL9"/>
      <c r="LGM9"/>
      <c r="LGN9"/>
      <c r="LGO9"/>
      <c r="LGP9"/>
      <c r="LGQ9"/>
      <c r="LGR9"/>
      <c r="LGS9"/>
      <c r="LGT9"/>
      <c r="LGU9"/>
      <c r="LGV9"/>
      <c r="LGW9"/>
      <c r="LGX9"/>
      <c r="LGY9"/>
      <c r="LGZ9"/>
      <c r="LHA9"/>
      <c r="LHB9"/>
      <c r="LHC9"/>
      <c r="LHD9"/>
      <c r="LHE9"/>
      <c r="LHF9"/>
      <c r="LHG9"/>
      <c r="LHH9"/>
      <c r="LHI9"/>
      <c r="LHJ9"/>
      <c r="LHK9"/>
      <c r="LHL9"/>
      <c r="LHM9"/>
      <c r="LHN9"/>
      <c r="LHO9"/>
      <c r="LHP9"/>
      <c r="LHQ9"/>
      <c r="LHR9"/>
      <c r="LHS9"/>
      <c r="LHT9"/>
      <c r="LHU9"/>
      <c r="LHV9"/>
      <c r="LHW9"/>
      <c r="LHX9"/>
      <c r="LHY9"/>
      <c r="LHZ9"/>
      <c r="LIA9"/>
      <c r="LIB9"/>
      <c r="LIC9"/>
      <c r="LID9"/>
      <c r="LIE9"/>
      <c r="LIF9"/>
      <c r="LIG9"/>
      <c r="LIH9"/>
      <c r="LII9"/>
      <c r="LIJ9"/>
      <c r="LIK9"/>
      <c r="LIL9"/>
      <c r="LIM9"/>
      <c r="LIN9"/>
      <c r="LIO9"/>
      <c r="LIP9"/>
      <c r="LIQ9"/>
      <c r="LIR9"/>
      <c r="LIS9"/>
      <c r="LIT9"/>
      <c r="LIU9"/>
      <c r="LIV9"/>
      <c r="LIW9"/>
      <c r="LIX9"/>
      <c r="LIY9"/>
      <c r="LIZ9"/>
      <c r="LJA9"/>
      <c r="LJB9"/>
      <c r="LJC9"/>
      <c r="LJD9"/>
      <c r="LJE9"/>
      <c r="LJF9"/>
      <c r="LJG9"/>
      <c r="LJH9"/>
      <c r="LJI9"/>
      <c r="LJJ9"/>
      <c r="LJK9"/>
      <c r="LJL9"/>
      <c r="LJM9"/>
      <c r="LJN9"/>
      <c r="LJO9"/>
      <c r="LJP9"/>
      <c r="LJQ9"/>
      <c r="LJR9"/>
      <c r="LJS9"/>
      <c r="LJT9"/>
      <c r="LJU9"/>
      <c r="LJV9"/>
      <c r="LJW9"/>
      <c r="LJX9"/>
      <c r="LJY9"/>
      <c r="LJZ9"/>
      <c r="LKA9"/>
      <c r="LKB9"/>
      <c r="LKC9"/>
      <c r="LKD9"/>
      <c r="LKE9"/>
      <c r="LKF9"/>
      <c r="LKG9"/>
      <c r="LKH9"/>
      <c r="LKI9"/>
      <c r="LKJ9"/>
      <c r="LKK9"/>
      <c r="LKL9"/>
      <c r="LKM9"/>
      <c r="LKN9"/>
      <c r="LKO9"/>
      <c r="LKP9"/>
      <c r="LKQ9"/>
      <c r="LKR9"/>
      <c r="LKS9"/>
      <c r="LKT9"/>
      <c r="LKU9"/>
      <c r="LKV9"/>
      <c r="LKW9"/>
      <c r="LKX9"/>
      <c r="LKY9"/>
      <c r="LKZ9"/>
      <c r="LLA9"/>
      <c r="LLB9"/>
      <c r="LLC9"/>
      <c r="LLD9"/>
      <c r="LLE9"/>
      <c r="LLF9"/>
      <c r="LLG9"/>
      <c r="LLH9"/>
      <c r="LLI9"/>
      <c r="LLJ9"/>
      <c r="LLK9"/>
      <c r="LLL9"/>
      <c r="LLM9"/>
      <c r="LLN9"/>
      <c r="LLO9"/>
      <c r="LLP9"/>
      <c r="LLQ9"/>
      <c r="LLR9"/>
      <c r="LLS9"/>
      <c r="LLT9"/>
      <c r="LLU9"/>
      <c r="LLV9"/>
      <c r="LLW9"/>
      <c r="LLX9"/>
      <c r="LLY9"/>
      <c r="LLZ9"/>
      <c r="LMA9"/>
      <c r="LMB9"/>
      <c r="LMC9"/>
      <c r="LMD9"/>
      <c r="LME9"/>
      <c r="LMF9"/>
      <c r="LMG9"/>
      <c r="LMH9"/>
      <c r="LMI9"/>
      <c r="LMJ9"/>
      <c r="LMK9"/>
      <c r="LML9"/>
      <c r="LMM9"/>
      <c r="LMN9"/>
      <c r="LMO9"/>
      <c r="LMP9"/>
      <c r="LMQ9"/>
      <c r="LMR9"/>
      <c r="LMS9"/>
      <c r="LMT9"/>
      <c r="LMU9"/>
      <c r="LMV9"/>
      <c r="LMW9"/>
      <c r="LMX9"/>
      <c r="LMY9"/>
      <c r="LMZ9"/>
      <c r="LNA9"/>
      <c r="LNB9"/>
      <c r="LNC9"/>
      <c r="LND9"/>
      <c r="LNE9"/>
      <c r="LNF9"/>
      <c r="LNG9"/>
      <c r="LNH9"/>
      <c r="LNI9"/>
      <c r="LNJ9"/>
      <c r="LNK9"/>
      <c r="LNL9"/>
      <c r="LNM9"/>
      <c r="LNN9"/>
      <c r="LNO9"/>
      <c r="LNP9"/>
      <c r="LNQ9"/>
      <c r="LNR9"/>
      <c r="LNS9"/>
      <c r="LNT9"/>
      <c r="LNU9"/>
      <c r="LNV9"/>
      <c r="LNW9"/>
      <c r="LNX9"/>
      <c r="LNY9"/>
      <c r="LNZ9"/>
      <c r="LOA9"/>
      <c r="LOB9"/>
      <c r="LOC9"/>
      <c r="LOD9"/>
      <c r="LOE9"/>
      <c r="LOF9"/>
      <c r="LOG9"/>
      <c r="LOH9"/>
      <c r="LOI9"/>
      <c r="LOJ9"/>
      <c r="LOK9"/>
      <c r="LOL9"/>
      <c r="LOM9"/>
      <c r="LON9"/>
      <c r="LOO9"/>
      <c r="LOP9"/>
      <c r="LOQ9"/>
      <c r="LOR9"/>
      <c r="LOS9"/>
      <c r="LOT9"/>
      <c r="LOU9"/>
      <c r="LOV9"/>
      <c r="LOW9"/>
      <c r="LOX9"/>
      <c r="LOY9"/>
      <c r="LOZ9"/>
      <c r="LPA9"/>
      <c r="LPB9"/>
      <c r="LPC9"/>
      <c r="LPD9"/>
      <c r="LPE9"/>
      <c r="LPF9"/>
      <c r="LPG9"/>
      <c r="LPH9"/>
      <c r="LPI9"/>
      <c r="LPJ9"/>
      <c r="LPK9"/>
      <c r="LPL9"/>
      <c r="LPM9"/>
      <c r="LPN9"/>
      <c r="LPO9"/>
      <c r="LPP9"/>
      <c r="LPQ9"/>
      <c r="LPR9"/>
      <c r="LPS9"/>
      <c r="LPT9"/>
      <c r="LPU9"/>
      <c r="LPV9"/>
      <c r="LPW9"/>
      <c r="LPX9"/>
      <c r="LPY9"/>
      <c r="LPZ9"/>
      <c r="LQA9"/>
      <c r="LQB9"/>
      <c r="LQC9"/>
      <c r="LQD9"/>
      <c r="LQE9"/>
      <c r="LQF9"/>
      <c r="LQG9"/>
      <c r="LQH9"/>
      <c r="LQI9"/>
      <c r="LQJ9"/>
      <c r="LQK9"/>
      <c r="LQL9"/>
      <c r="LQM9"/>
      <c r="LQN9"/>
      <c r="LQO9"/>
      <c r="LQP9"/>
      <c r="LQQ9"/>
      <c r="LQR9"/>
      <c r="LQS9"/>
      <c r="LQT9"/>
      <c r="LQU9"/>
      <c r="LQV9"/>
      <c r="LQW9"/>
      <c r="LQX9"/>
      <c r="LQY9"/>
      <c r="LQZ9"/>
      <c r="LRA9"/>
      <c r="LRB9"/>
      <c r="LRC9"/>
      <c r="LRD9"/>
      <c r="LRE9"/>
      <c r="LRF9"/>
      <c r="LRG9"/>
      <c r="LRH9"/>
      <c r="LRI9"/>
      <c r="LRJ9"/>
      <c r="LRK9"/>
      <c r="LRL9"/>
      <c r="LRM9"/>
      <c r="LRN9"/>
      <c r="LRO9"/>
      <c r="LRP9"/>
      <c r="LRQ9"/>
      <c r="LRR9"/>
      <c r="LRS9"/>
      <c r="LRT9"/>
      <c r="LRU9"/>
      <c r="LRV9"/>
      <c r="LRW9"/>
      <c r="LRX9"/>
      <c r="LRY9"/>
      <c r="LRZ9"/>
      <c r="LSA9"/>
      <c r="LSB9"/>
      <c r="LSC9"/>
      <c r="LSD9"/>
      <c r="LSE9"/>
      <c r="LSF9"/>
      <c r="LSG9"/>
      <c r="LSH9"/>
      <c r="LSI9"/>
      <c r="LSJ9"/>
      <c r="LSK9"/>
      <c r="LSL9"/>
      <c r="LSM9"/>
      <c r="LSN9"/>
      <c r="LSO9"/>
      <c r="LSP9"/>
      <c r="LSQ9"/>
      <c r="LSR9"/>
      <c r="LSS9"/>
      <c r="LST9"/>
      <c r="LSU9"/>
      <c r="LSV9"/>
      <c r="LSW9"/>
      <c r="LSX9"/>
      <c r="LSY9"/>
      <c r="LSZ9"/>
      <c r="LTA9"/>
      <c r="LTB9"/>
      <c r="LTC9"/>
      <c r="LTD9"/>
      <c r="LTE9"/>
      <c r="LTF9"/>
      <c r="LTG9"/>
      <c r="LTH9"/>
      <c r="LTI9"/>
      <c r="LTJ9"/>
      <c r="LTK9"/>
      <c r="LTL9"/>
      <c r="LTM9"/>
      <c r="LTN9"/>
      <c r="LTO9"/>
      <c r="LTP9"/>
      <c r="LTQ9"/>
      <c r="LTR9"/>
      <c r="LTS9"/>
      <c r="LTT9"/>
      <c r="LTU9"/>
      <c r="LTV9"/>
      <c r="LTW9"/>
      <c r="LTX9"/>
      <c r="LTY9"/>
      <c r="LTZ9"/>
      <c r="LUA9"/>
      <c r="LUB9"/>
      <c r="LUC9"/>
      <c r="LUD9"/>
      <c r="LUE9"/>
      <c r="LUF9"/>
      <c r="LUG9"/>
      <c r="LUH9"/>
      <c r="LUI9"/>
      <c r="LUJ9"/>
      <c r="LUK9"/>
      <c r="LUL9"/>
      <c r="LUM9"/>
      <c r="LUN9"/>
      <c r="LUO9"/>
      <c r="LUP9"/>
      <c r="LUQ9"/>
      <c r="LUR9"/>
      <c r="LUS9"/>
      <c r="LUT9"/>
      <c r="LUU9"/>
      <c r="LUV9"/>
      <c r="LUW9"/>
      <c r="LUX9"/>
      <c r="LUY9"/>
      <c r="LUZ9"/>
      <c r="LVA9"/>
      <c r="LVB9"/>
      <c r="LVC9"/>
      <c r="LVD9"/>
      <c r="LVE9"/>
      <c r="LVF9"/>
      <c r="LVG9"/>
      <c r="LVH9"/>
      <c r="LVI9"/>
      <c r="LVJ9"/>
      <c r="LVK9"/>
      <c r="LVL9"/>
      <c r="LVM9"/>
      <c r="LVN9"/>
      <c r="LVO9"/>
      <c r="LVP9"/>
      <c r="LVQ9"/>
      <c r="LVR9"/>
      <c r="LVS9"/>
      <c r="LVT9"/>
      <c r="LVU9"/>
      <c r="LVV9"/>
      <c r="LVW9"/>
      <c r="LVX9"/>
      <c r="LVY9"/>
      <c r="LVZ9"/>
      <c r="LWA9"/>
      <c r="LWB9"/>
      <c r="LWC9"/>
      <c r="LWD9"/>
      <c r="LWE9"/>
      <c r="LWF9"/>
      <c r="LWG9"/>
      <c r="LWH9"/>
      <c r="LWI9"/>
      <c r="LWJ9"/>
      <c r="LWK9"/>
      <c r="LWL9"/>
      <c r="LWM9"/>
      <c r="LWN9"/>
      <c r="LWO9"/>
      <c r="LWP9"/>
      <c r="LWQ9"/>
      <c r="LWR9"/>
      <c r="LWS9"/>
      <c r="LWT9"/>
      <c r="LWU9"/>
      <c r="LWV9"/>
      <c r="LWW9"/>
      <c r="LWX9"/>
      <c r="LWY9"/>
      <c r="LWZ9"/>
      <c r="LXA9"/>
      <c r="LXB9"/>
      <c r="LXC9"/>
      <c r="LXD9"/>
      <c r="LXE9"/>
      <c r="LXF9"/>
      <c r="LXG9"/>
      <c r="LXH9"/>
      <c r="LXI9"/>
      <c r="LXJ9"/>
      <c r="LXK9"/>
      <c r="LXL9"/>
      <c r="LXM9"/>
      <c r="LXN9"/>
      <c r="LXO9"/>
      <c r="LXP9"/>
      <c r="LXQ9"/>
      <c r="LXR9"/>
      <c r="LXS9"/>
      <c r="LXT9"/>
      <c r="LXU9"/>
      <c r="LXV9"/>
      <c r="LXW9"/>
      <c r="LXX9"/>
      <c r="LXY9"/>
      <c r="LXZ9"/>
      <c r="LYA9"/>
      <c r="LYB9"/>
      <c r="LYC9"/>
      <c r="LYD9"/>
      <c r="LYE9"/>
      <c r="LYF9"/>
      <c r="LYG9"/>
      <c r="LYH9"/>
      <c r="LYI9"/>
      <c r="LYJ9"/>
      <c r="LYK9"/>
      <c r="LYL9"/>
      <c r="LYM9"/>
      <c r="LYN9"/>
      <c r="LYO9"/>
      <c r="LYP9"/>
      <c r="LYQ9"/>
      <c r="LYR9"/>
      <c r="LYS9"/>
      <c r="LYT9"/>
      <c r="LYU9"/>
      <c r="LYV9"/>
      <c r="LYW9"/>
      <c r="LYX9"/>
      <c r="LYY9"/>
      <c r="LYZ9"/>
      <c r="LZA9"/>
      <c r="LZB9"/>
      <c r="LZC9"/>
      <c r="LZD9"/>
      <c r="LZE9"/>
      <c r="LZF9"/>
      <c r="LZG9"/>
      <c r="LZH9"/>
      <c r="LZI9"/>
      <c r="LZJ9"/>
      <c r="LZK9"/>
      <c r="LZL9"/>
      <c r="LZM9"/>
      <c r="LZN9"/>
      <c r="LZO9"/>
      <c r="LZP9"/>
      <c r="LZQ9"/>
      <c r="LZR9"/>
      <c r="LZS9"/>
      <c r="LZT9"/>
      <c r="LZU9"/>
      <c r="LZV9"/>
      <c r="LZW9"/>
      <c r="LZX9"/>
      <c r="LZY9"/>
      <c r="LZZ9"/>
      <c r="MAA9"/>
      <c r="MAB9"/>
      <c r="MAC9"/>
      <c r="MAD9"/>
      <c r="MAE9"/>
      <c r="MAF9"/>
      <c r="MAG9"/>
      <c r="MAH9"/>
      <c r="MAI9"/>
      <c r="MAJ9"/>
      <c r="MAK9"/>
      <c r="MAL9"/>
      <c r="MAM9"/>
      <c r="MAN9"/>
      <c r="MAO9"/>
      <c r="MAP9"/>
      <c r="MAQ9"/>
      <c r="MAR9"/>
      <c r="MAS9"/>
      <c r="MAT9"/>
      <c r="MAU9"/>
      <c r="MAV9"/>
      <c r="MAW9"/>
      <c r="MAX9"/>
      <c r="MAY9"/>
      <c r="MAZ9"/>
      <c r="MBA9"/>
      <c r="MBB9"/>
      <c r="MBC9"/>
      <c r="MBD9"/>
      <c r="MBE9"/>
      <c r="MBF9"/>
      <c r="MBG9"/>
      <c r="MBH9"/>
      <c r="MBI9"/>
      <c r="MBJ9"/>
      <c r="MBK9"/>
      <c r="MBL9"/>
      <c r="MBM9"/>
      <c r="MBN9"/>
      <c r="MBO9"/>
      <c r="MBP9"/>
      <c r="MBQ9"/>
      <c r="MBR9"/>
      <c r="MBS9"/>
      <c r="MBT9"/>
      <c r="MBU9"/>
      <c r="MBV9"/>
      <c r="MBW9"/>
      <c r="MBX9"/>
      <c r="MBY9"/>
      <c r="MBZ9"/>
      <c r="MCA9"/>
      <c r="MCB9"/>
      <c r="MCC9"/>
      <c r="MCD9"/>
      <c r="MCE9"/>
      <c r="MCF9"/>
      <c r="MCG9"/>
      <c r="MCH9"/>
      <c r="MCI9"/>
      <c r="MCJ9"/>
      <c r="MCK9"/>
      <c r="MCL9"/>
      <c r="MCM9"/>
      <c r="MCN9"/>
      <c r="MCO9"/>
      <c r="MCP9"/>
      <c r="MCQ9"/>
      <c r="MCR9"/>
      <c r="MCS9"/>
      <c r="MCT9"/>
      <c r="MCU9"/>
      <c r="MCV9"/>
      <c r="MCW9"/>
      <c r="MCX9"/>
      <c r="MCY9"/>
      <c r="MCZ9"/>
      <c r="MDA9"/>
      <c r="MDB9"/>
      <c r="MDC9"/>
      <c r="MDD9"/>
      <c r="MDE9"/>
      <c r="MDF9"/>
      <c r="MDG9"/>
      <c r="MDH9"/>
      <c r="MDI9"/>
      <c r="MDJ9"/>
      <c r="MDK9"/>
      <c r="MDL9"/>
      <c r="MDM9"/>
      <c r="MDN9"/>
      <c r="MDO9"/>
      <c r="MDP9"/>
      <c r="MDQ9"/>
      <c r="MDR9"/>
      <c r="MDS9"/>
      <c r="MDT9"/>
      <c r="MDU9"/>
      <c r="MDV9"/>
      <c r="MDW9"/>
      <c r="MDX9"/>
      <c r="MDY9"/>
      <c r="MDZ9"/>
      <c r="MEA9"/>
      <c r="MEB9"/>
      <c r="MEC9"/>
      <c r="MED9"/>
      <c r="MEE9"/>
      <c r="MEF9"/>
      <c r="MEG9"/>
      <c r="MEH9"/>
      <c r="MEI9"/>
      <c r="MEJ9"/>
      <c r="MEK9"/>
      <c r="MEL9"/>
      <c r="MEM9"/>
      <c r="MEN9"/>
      <c r="MEO9"/>
      <c r="MEP9"/>
      <c r="MEQ9"/>
      <c r="MER9"/>
      <c r="MES9"/>
      <c r="MET9"/>
      <c r="MEU9"/>
      <c r="MEV9"/>
      <c r="MEW9"/>
      <c r="MEX9"/>
      <c r="MEY9"/>
      <c r="MEZ9"/>
      <c r="MFA9"/>
      <c r="MFB9"/>
      <c r="MFC9"/>
      <c r="MFD9"/>
      <c r="MFE9"/>
      <c r="MFF9"/>
      <c r="MFG9"/>
      <c r="MFH9"/>
      <c r="MFI9"/>
      <c r="MFJ9"/>
      <c r="MFK9"/>
      <c r="MFL9"/>
      <c r="MFM9"/>
      <c r="MFN9"/>
      <c r="MFO9"/>
      <c r="MFP9"/>
      <c r="MFQ9"/>
      <c r="MFR9"/>
      <c r="MFS9"/>
      <c r="MFT9"/>
      <c r="MFU9"/>
      <c r="MFV9"/>
      <c r="MFW9"/>
      <c r="MFX9"/>
      <c r="MFY9"/>
      <c r="MFZ9"/>
      <c r="MGA9"/>
      <c r="MGB9"/>
      <c r="MGC9"/>
      <c r="MGD9"/>
      <c r="MGE9"/>
      <c r="MGF9"/>
      <c r="MGG9"/>
      <c r="MGH9"/>
      <c r="MGI9"/>
      <c r="MGJ9"/>
      <c r="MGK9"/>
      <c r="MGL9"/>
      <c r="MGM9"/>
      <c r="MGN9"/>
      <c r="MGO9"/>
      <c r="MGP9"/>
      <c r="MGQ9"/>
      <c r="MGR9"/>
      <c r="MGS9"/>
      <c r="MGT9"/>
      <c r="MGU9"/>
      <c r="MGV9"/>
      <c r="MGW9"/>
      <c r="MGX9"/>
      <c r="MGY9"/>
      <c r="MGZ9"/>
      <c r="MHA9"/>
      <c r="MHB9"/>
      <c r="MHC9"/>
      <c r="MHD9"/>
      <c r="MHE9"/>
      <c r="MHF9"/>
      <c r="MHG9"/>
      <c r="MHH9"/>
      <c r="MHI9"/>
      <c r="MHJ9"/>
      <c r="MHK9"/>
      <c r="MHL9"/>
      <c r="MHM9"/>
      <c r="MHN9"/>
      <c r="MHO9"/>
      <c r="MHP9"/>
      <c r="MHQ9"/>
      <c r="MHR9"/>
      <c r="MHS9"/>
      <c r="MHT9"/>
      <c r="MHU9"/>
      <c r="MHV9"/>
      <c r="MHW9"/>
      <c r="MHX9"/>
      <c r="MHY9"/>
      <c r="MHZ9"/>
      <c r="MIA9"/>
      <c r="MIB9"/>
      <c r="MIC9"/>
      <c r="MID9"/>
      <c r="MIE9"/>
      <c r="MIF9"/>
      <c r="MIG9"/>
      <c r="MIH9"/>
      <c r="MII9"/>
      <c r="MIJ9"/>
      <c r="MIK9"/>
      <c r="MIL9"/>
      <c r="MIM9"/>
      <c r="MIN9"/>
      <c r="MIO9"/>
      <c r="MIP9"/>
      <c r="MIQ9"/>
      <c r="MIR9"/>
      <c r="MIS9"/>
      <c r="MIT9"/>
      <c r="MIU9"/>
      <c r="MIV9"/>
      <c r="MIW9"/>
      <c r="MIX9"/>
      <c r="MIY9"/>
      <c r="MIZ9"/>
      <c r="MJA9"/>
      <c r="MJB9"/>
      <c r="MJC9"/>
      <c r="MJD9"/>
      <c r="MJE9"/>
      <c r="MJF9"/>
      <c r="MJG9"/>
      <c r="MJH9"/>
      <c r="MJI9"/>
      <c r="MJJ9"/>
      <c r="MJK9"/>
      <c r="MJL9"/>
      <c r="MJM9"/>
      <c r="MJN9"/>
      <c r="MJO9"/>
      <c r="MJP9"/>
      <c r="MJQ9"/>
      <c r="MJR9"/>
      <c r="MJS9"/>
      <c r="MJT9"/>
      <c r="MJU9"/>
      <c r="MJV9"/>
      <c r="MJW9"/>
      <c r="MJX9"/>
      <c r="MJY9"/>
      <c r="MJZ9"/>
      <c r="MKA9"/>
      <c r="MKB9"/>
      <c r="MKC9"/>
      <c r="MKD9"/>
      <c r="MKE9"/>
      <c r="MKF9"/>
      <c r="MKG9"/>
      <c r="MKH9"/>
      <c r="MKI9"/>
      <c r="MKJ9"/>
      <c r="MKK9"/>
      <c r="MKL9"/>
      <c r="MKM9"/>
      <c r="MKN9"/>
      <c r="MKO9"/>
      <c r="MKP9"/>
      <c r="MKQ9"/>
      <c r="MKR9"/>
      <c r="MKS9"/>
      <c r="MKT9"/>
      <c r="MKU9"/>
      <c r="MKV9"/>
      <c r="MKW9"/>
      <c r="MKX9"/>
      <c r="MKY9"/>
      <c r="MKZ9"/>
      <c r="MLA9"/>
      <c r="MLB9"/>
      <c r="MLC9"/>
      <c r="MLD9"/>
      <c r="MLE9"/>
      <c r="MLF9"/>
      <c r="MLG9"/>
      <c r="MLH9"/>
      <c r="MLI9"/>
      <c r="MLJ9"/>
      <c r="MLK9"/>
      <c r="MLL9"/>
      <c r="MLM9"/>
      <c r="MLN9"/>
      <c r="MLO9"/>
      <c r="MLP9"/>
      <c r="MLQ9"/>
      <c r="MLR9"/>
      <c r="MLS9"/>
      <c r="MLT9"/>
      <c r="MLU9"/>
      <c r="MLV9"/>
      <c r="MLW9"/>
      <c r="MLX9"/>
      <c r="MLY9"/>
      <c r="MLZ9"/>
      <c r="MMA9"/>
      <c r="MMB9"/>
      <c r="MMC9"/>
      <c r="MMD9"/>
      <c r="MME9"/>
      <c r="MMF9"/>
      <c r="MMG9"/>
      <c r="MMH9"/>
      <c r="MMI9"/>
      <c r="MMJ9"/>
      <c r="MMK9"/>
      <c r="MML9"/>
      <c r="MMM9"/>
      <c r="MMN9"/>
      <c r="MMO9"/>
      <c r="MMP9"/>
      <c r="MMQ9"/>
      <c r="MMR9"/>
      <c r="MMS9"/>
      <c r="MMT9"/>
      <c r="MMU9"/>
      <c r="MMV9"/>
      <c r="MMW9"/>
      <c r="MMX9"/>
      <c r="MMY9"/>
      <c r="MMZ9"/>
      <c r="MNA9"/>
      <c r="MNB9"/>
      <c r="MNC9"/>
      <c r="MND9"/>
      <c r="MNE9"/>
      <c r="MNF9"/>
      <c r="MNG9"/>
      <c r="MNH9"/>
      <c r="MNI9"/>
      <c r="MNJ9"/>
      <c r="MNK9"/>
      <c r="MNL9"/>
      <c r="MNM9"/>
      <c r="MNN9"/>
      <c r="MNO9"/>
      <c r="MNP9"/>
      <c r="MNQ9"/>
      <c r="MNR9"/>
      <c r="MNS9"/>
      <c r="MNT9"/>
      <c r="MNU9"/>
      <c r="MNV9"/>
      <c r="MNW9"/>
      <c r="MNX9"/>
      <c r="MNY9"/>
      <c r="MNZ9"/>
      <c r="MOA9"/>
      <c r="MOB9"/>
      <c r="MOC9"/>
      <c r="MOD9"/>
      <c r="MOE9"/>
      <c r="MOF9"/>
      <c r="MOG9"/>
      <c r="MOH9"/>
      <c r="MOI9"/>
      <c r="MOJ9"/>
      <c r="MOK9"/>
      <c r="MOL9"/>
      <c r="MOM9"/>
      <c r="MON9"/>
      <c r="MOO9"/>
      <c r="MOP9"/>
      <c r="MOQ9"/>
      <c r="MOR9"/>
      <c r="MOS9"/>
      <c r="MOT9"/>
      <c r="MOU9"/>
      <c r="MOV9"/>
      <c r="MOW9"/>
      <c r="MOX9"/>
      <c r="MOY9"/>
      <c r="MOZ9"/>
      <c r="MPA9"/>
      <c r="MPB9"/>
      <c r="MPC9"/>
      <c r="MPD9"/>
      <c r="MPE9"/>
      <c r="MPF9"/>
      <c r="MPG9"/>
      <c r="MPH9"/>
      <c r="MPI9"/>
      <c r="MPJ9"/>
      <c r="MPK9"/>
      <c r="MPL9"/>
      <c r="MPM9"/>
      <c r="MPN9"/>
      <c r="MPO9"/>
      <c r="MPP9"/>
      <c r="MPQ9"/>
      <c r="MPR9"/>
      <c r="MPS9"/>
      <c r="MPT9"/>
      <c r="MPU9"/>
      <c r="MPV9"/>
      <c r="MPW9"/>
      <c r="MPX9"/>
      <c r="MPY9"/>
      <c r="MPZ9"/>
      <c r="MQA9"/>
      <c r="MQB9"/>
      <c r="MQC9"/>
      <c r="MQD9"/>
      <c r="MQE9"/>
      <c r="MQF9"/>
      <c r="MQG9"/>
      <c r="MQH9"/>
      <c r="MQI9"/>
      <c r="MQJ9"/>
      <c r="MQK9"/>
      <c r="MQL9"/>
      <c r="MQM9"/>
      <c r="MQN9"/>
      <c r="MQO9"/>
      <c r="MQP9"/>
      <c r="MQQ9"/>
      <c r="MQR9"/>
      <c r="MQS9"/>
      <c r="MQT9"/>
      <c r="MQU9"/>
      <c r="MQV9"/>
      <c r="MQW9"/>
      <c r="MQX9"/>
      <c r="MQY9"/>
      <c r="MQZ9"/>
      <c r="MRA9"/>
      <c r="MRB9"/>
      <c r="MRC9"/>
      <c r="MRD9"/>
      <c r="MRE9"/>
      <c r="MRF9"/>
      <c r="MRG9"/>
      <c r="MRH9"/>
      <c r="MRI9"/>
      <c r="MRJ9"/>
      <c r="MRK9"/>
      <c r="MRL9"/>
      <c r="MRM9"/>
      <c r="MRN9"/>
      <c r="MRO9"/>
      <c r="MRP9"/>
      <c r="MRQ9"/>
      <c r="MRR9"/>
      <c r="MRS9"/>
      <c r="MRT9"/>
      <c r="MRU9"/>
      <c r="MRV9"/>
      <c r="MRW9"/>
      <c r="MRX9"/>
      <c r="MRY9"/>
      <c r="MRZ9"/>
      <c r="MSA9"/>
      <c r="MSB9"/>
      <c r="MSC9"/>
      <c r="MSD9"/>
      <c r="MSE9"/>
      <c r="MSF9"/>
      <c r="MSG9"/>
      <c r="MSH9"/>
      <c r="MSI9"/>
      <c r="MSJ9"/>
      <c r="MSK9"/>
      <c r="MSL9"/>
      <c r="MSM9"/>
      <c r="MSN9"/>
      <c r="MSO9"/>
      <c r="MSP9"/>
      <c r="MSQ9"/>
      <c r="MSR9"/>
      <c r="MSS9"/>
      <c r="MST9"/>
      <c r="MSU9"/>
      <c r="MSV9"/>
      <c r="MSW9"/>
      <c r="MSX9"/>
      <c r="MSY9"/>
      <c r="MSZ9"/>
      <c r="MTA9"/>
      <c r="MTB9"/>
      <c r="MTC9"/>
      <c r="MTD9"/>
      <c r="MTE9"/>
      <c r="MTF9"/>
      <c r="MTG9"/>
      <c r="MTH9"/>
      <c r="MTI9"/>
      <c r="MTJ9"/>
      <c r="MTK9"/>
      <c r="MTL9"/>
      <c r="MTM9"/>
      <c r="MTN9"/>
      <c r="MTO9"/>
      <c r="MTP9"/>
      <c r="MTQ9"/>
      <c r="MTR9"/>
      <c r="MTS9"/>
      <c r="MTT9"/>
      <c r="MTU9"/>
      <c r="MTV9"/>
      <c r="MTW9"/>
      <c r="MTX9"/>
      <c r="MTY9"/>
      <c r="MTZ9"/>
      <c r="MUA9"/>
      <c r="MUB9"/>
      <c r="MUC9"/>
      <c r="MUD9"/>
      <c r="MUE9"/>
      <c r="MUF9"/>
      <c r="MUG9"/>
      <c r="MUH9"/>
      <c r="MUI9"/>
      <c r="MUJ9"/>
      <c r="MUK9"/>
      <c r="MUL9"/>
      <c r="MUM9"/>
      <c r="MUN9"/>
      <c r="MUO9"/>
      <c r="MUP9"/>
      <c r="MUQ9"/>
      <c r="MUR9"/>
      <c r="MUS9"/>
      <c r="MUT9"/>
      <c r="MUU9"/>
      <c r="MUV9"/>
      <c r="MUW9"/>
      <c r="MUX9"/>
      <c r="MUY9"/>
      <c r="MUZ9"/>
      <c r="MVA9"/>
      <c r="MVB9"/>
      <c r="MVC9"/>
      <c r="MVD9"/>
      <c r="MVE9"/>
      <c r="MVF9"/>
      <c r="MVG9"/>
      <c r="MVH9"/>
      <c r="MVI9"/>
      <c r="MVJ9"/>
      <c r="MVK9"/>
      <c r="MVL9"/>
      <c r="MVM9"/>
      <c r="MVN9"/>
      <c r="MVO9"/>
      <c r="MVP9"/>
      <c r="MVQ9"/>
      <c r="MVR9"/>
      <c r="MVS9"/>
      <c r="MVT9"/>
      <c r="MVU9"/>
      <c r="MVV9"/>
      <c r="MVW9"/>
      <c r="MVX9"/>
      <c r="MVY9"/>
      <c r="MVZ9"/>
      <c r="MWA9"/>
      <c r="MWB9"/>
      <c r="MWC9"/>
      <c r="MWD9"/>
      <c r="MWE9"/>
      <c r="MWF9"/>
      <c r="MWG9"/>
      <c r="MWH9"/>
      <c r="MWI9"/>
      <c r="MWJ9"/>
      <c r="MWK9"/>
      <c r="MWL9"/>
      <c r="MWM9"/>
      <c r="MWN9"/>
      <c r="MWO9"/>
      <c r="MWP9"/>
      <c r="MWQ9"/>
      <c r="MWR9"/>
      <c r="MWS9"/>
      <c r="MWT9"/>
      <c r="MWU9"/>
      <c r="MWV9"/>
      <c r="MWW9"/>
      <c r="MWX9"/>
      <c r="MWY9"/>
      <c r="MWZ9"/>
      <c r="MXA9"/>
      <c r="MXB9"/>
      <c r="MXC9"/>
      <c r="MXD9"/>
      <c r="MXE9"/>
      <c r="MXF9"/>
      <c r="MXG9"/>
      <c r="MXH9"/>
      <c r="MXI9"/>
      <c r="MXJ9"/>
      <c r="MXK9"/>
      <c r="MXL9"/>
      <c r="MXM9"/>
      <c r="MXN9"/>
      <c r="MXO9"/>
      <c r="MXP9"/>
      <c r="MXQ9"/>
      <c r="MXR9"/>
      <c r="MXS9"/>
      <c r="MXT9"/>
      <c r="MXU9"/>
      <c r="MXV9"/>
      <c r="MXW9"/>
      <c r="MXX9"/>
      <c r="MXY9"/>
      <c r="MXZ9"/>
      <c r="MYA9"/>
      <c r="MYB9"/>
      <c r="MYC9"/>
      <c r="MYD9"/>
      <c r="MYE9"/>
      <c r="MYF9"/>
      <c r="MYG9"/>
      <c r="MYH9"/>
      <c r="MYI9"/>
      <c r="MYJ9"/>
      <c r="MYK9"/>
      <c r="MYL9"/>
      <c r="MYM9"/>
      <c r="MYN9"/>
      <c r="MYO9"/>
      <c r="MYP9"/>
      <c r="MYQ9"/>
      <c r="MYR9"/>
      <c r="MYS9"/>
      <c r="MYT9"/>
      <c r="MYU9"/>
      <c r="MYV9"/>
      <c r="MYW9"/>
      <c r="MYX9"/>
      <c r="MYY9"/>
      <c r="MYZ9"/>
      <c r="MZA9"/>
      <c r="MZB9"/>
      <c r="MZC9"/>
      <c r="MZD9"/>
      <c r="MZE9"/>
      <c r="MZF9"/>
      <c r="MZG9"/>
      <c r="MZH9"/>
      <c r="MZI9"/>
      <c r="MZJ9"/>
      <c r="MZK9"/>
      <c r="MZL9"/>
      <c r="MZM9"/>
      <c r="MZN9"/>
      <c r="MZO9"/>
      <c r="MZP9"/>
      <c r="MZQ9"/>
      <c r="MZR9"/>
      <c r="MZS9"/>
      <c r="MZT9"/>
      <c r="MZU9"/>
      <c r="MZV9"/>
      <c r="MZW9"/>
      <c r="MZX9"/>
      <c r="MZY9"/>
      <c r="MZZ9"/>
      <c r="NAA9"/>
      <c r="NAB9"/>
      <c r="NAC9"/>
      <c r="NAD9"/>
      <c r="NAE9"/>
      <c r="NAF9"/>
      <c r="NAG9"/>
      <c r="NAH9"/>
      <c r="NAI9"/>
      <c r="NAJ9"/>
      <c r="NAK9"/>
      <c r="NAL9"/>
      <c r="NAM9"/>
      <c r="NAN9"/>
      <c r="NAO9"/>
      <c r="NAP9"/>
      <c r="NAQ9"/>
      <c r="NAR9"/>
      <c r="NAS9"/>
      <c r="NAT9"/>
      <c r="NAU9"/>
      <c r="NAV9"/>
      <c r="NAW9"/>
      <c r="NAX9"/>
      <c r="NAY9"/>
      <c r="NAZ9"/>
      <c r="NBA9"/>
      <c r="NBB9"/>
      <c r="NBC9"/>
      <c r="NBD9"/>
      <c r="NBE9"/>
      <c r="NBF9"/>
      <c r="NBG9"/>
      <c r="NBH9"/>
      <c r="NBI9"/>
      <c r="NBJ9"/>
      <c r="NBK9"/>
      <c r="NBL9"/>
      <c r="NBM9"/>
      <c r="NBN9"/>
      <c r="NBO9"/>
      <c r="NBP9"/>
      <c r="NBQ9"/>
      <c r="NBR9"/>
      <c r="NBS9"/>
      <c r="NBT9"/>
      <c r="NBU9"/>
      <c r="NBV9"/>
      <c r="NBW9"/>
      <c r="NBX9"/>
      <c r="NBY9"/>
      <c r="NBZ9"/>
      <c r="NCA9"/>
      <c r="NCB9"/>
      <c r="NCC9"/>
      <c r="NCD9"/>
      <c r="NCE9"/>
      <c r="NCF9"/>
      <c r="NCG9"/>
      <c r="NCH9"/>
      <c r="NCI9"/>
      <c r="NCJ9"/>
      <c r="NCK9"/>
      <c r="NCL9"/>
      <c r="NCM9"/>
      <c r="NCN9"/>
      <c r="NCO9"/>
      <c r="NCP9"/>
      <c r="NCQ9"/>
      <c r="NCR9"/>
      <c r="NCS9"/>
      <c r="NCT9"/>
      <c r="NCU9"/>
      <c r="NCV9"/>
      <c r="NCW9"/>
      <c r="NCX9"/>
      <c r="NCY9"/>
      <c r="NCZ9"/>
      <c r="NDA9"/>
      <c r="NDB9"/>
      <c r="NDC9"/>
      <c r="NDD9"/>
      <c r="NDE9"/>
      <c r="NDF9"/>
      <c r="NDG9"/>
      <c r="NDH9"/>
      <c r="NDI9"/>
      <c r="NDJ9"/>
      <c r="NDK9"/>
      <c r="NDL9"/>
      <c r="NDM9"/>
      <c r="NDN9"/>
      <c r="NDO9"/>
      <c r="NDP9"/>
      <c r="NDQ9"/>
      <c r="NDR9"/>
      <c r="NDS9"/>
      <c r="NDT9"/>
      <c r="NDU9"/>
      <c r="NDV9"/>
      <c r="NDW9"/>
      <c r="NDX9"/>
      <c r="NDY9"/>
      <c r="NDZ9"/>
      <c r="NEA9"/>
      <c r="NEB9"/>
      <c r="NEC9"/>
      <c r="NED9"/>
      <c r="NEE9"/>
      <c r="NEF9"/>
      <c r="NEG9"/>
      <c r="NEH9"/>
      <c r="NEI9"/>
      <c r="NEJ9"/>
      <c r="NEK9"/>
      <c r="NEL9"/>
      <c r="NEM9"/>
      <c r="NEN9"/>
      <c r="NEO9"/>
      <c r="NEP9"/>
      <c r="NEQ9"/>
      <c r="NER9"/>
      <c r="NES9"/>
      <c r="NET9"/>
      <c r="NEU9"/>
      <c r="NEV9"/>
      <c r="NEW9"/>
      <c r="NEX9"/>
      <c r="NEY9"/>
      <c r="NEZ9"/>
      <c r="NFA9"/>
      <c r="NFB9"/>
      <c r="NFC9"/>
      <c r="NFD9"/>
      <c r="NFE9"/>
      <c r="NFF9"/>
      <c r="NFG9"/>
      <c r="NFH9"/>
      <c r="NFI9"/>
      <c r="NFJ9"/>
      <c r="NFK9"/>
      <c r="NFL9"/>
      <c r="NFM9"/>
      <c r="NFN9"/>
      <c r="NFO9"/>
      <c r="NFP9"/>
      <c r="NFQ9"/>
      <c r="NFR9"/>
      <c r="NFS9"/>
      <c r="NFT9"/>
      <c r="NFU9"/>
      <c r="NFV9"/>
      <c r="NFW9"/>
      <c r="NFX9"/>
      <c r="NFY9"/>
      <c r="NFZ9"/>
      <c r="NGA9"/>
      <c r="NGB9"/>
      <c r="NGC9"/>
      <c r="NGD9"/>
      <c r="NGE9"/>
      <c r="NGF9"/>
      <c r="NGG9"/>
      <c r="NGH9"/>
      <c r="NGI9"/>
      <c r="NGJ9"/>
      <c r="NGK9"/>
      <c r="NGL9"/>
      <c r="NGM9"/>
      <c r="NGN9"/>
      <c r="NGO9"/>
      <c r="NGP9"/>
      <c r="NGQ9"/>
      <c r="NGR9"/>
      <c r="NGS9"/>
      <c r="NGT9"/>
      <c r="NGU9"/>
      <c r="NGV9"/>
      <c r="NGW9"/>
      <c r="NGX9"/>
      <c r="NGY9"/>
      <c r="NGZ9"/>
      <c r="NHA9"/>
      <c r="NHB9"/>
      <c r="NHC9"/>
      <c r="NHD9"/>
      <c r="NHE9"/>
      <c r="NHF9"/>
      <c r="NHG9"/>
      <c r="NHH9"/>
      <c r="NHI9"/>
      <c r="NHJ9"/>
      <c r="NHK9"/>
      <c r="NHL9"/>
      <c r="NHM9"/>
      <c r="NHN9"/>
      <c r="NHO9"/>
      <c r="NHP9"/>
      <c r="NHQ9"/>
      <c r="NHR9"/>
      <c r="NHS9"/>
      <c r="NHT9"/>
      <c r="NHU9"/>
      <c r="NHV9"/>
      <c r="NHW9"/>
      <c r="NHX9"/>
      <c r="NHY9"/>
      <c r="NHZ9"/>
      <c r="NIA9"/>
      <c r="NIB9"/>
      <c r="NIC9"/>
      <c r="NID9"/>
      <c r="NIE9"/>
      <c r="NIF9"/>
      <c r="NIG9"/>
      <c r="NIH9"/>
      <c r="NII9"/>
      <c r="NIJ9"/>
      <c r="NIK9"/>
      <c r="NIL9"/>
      <c r="NIM9"/>
      <c r="NIN9"/>
      <c r="NIO9"/>
      <c r="NIP9"/>
      <c r="NIQ9"/>
      <c r="NIR9"/>
      <c r="NIS9"/>
      <c r="NIT9"/>
      <c r="NIU9"/>
      <c r="NIV9"/>
      <c r="NIW9"/>
      <c r="NIX9"/>
      <c r="NIY9"/>
      <c r="NIZ9"/>
      <c r="NJA9"/>
      <c r="NJB9"/>
      <c r="NJC9"/>
      <c r="NJD9"/>
      <c r="NJE9"/>
      <c r="NJF9"/>
      <c r="NJG9"/>
      <c r="NJH9"/>
      <c r="NJI9"/>
      <c r="NJJ9"/>
      <c r="NJK9"/>
      <c r="NJL9"/>
      <c r="NJM9"/>
      <c r="NJN9"/>
      <c r="NJO9"/>
      <c r="NJP9"/>
      <c r="NJQ9"/>
      <c r="NJR9"/>
      <c r="NJS9"/>
      <c r="NJT9"/>
      <c r="NJU9"/>
      <c r="NJV9"/>
      <c r="NJW9"/>
      <c r="NJX9"/>
      <c r="NJY9"/>
      <c r="NJZ9"/>
      <c r="NKA9"/>
      <c r="NKB9"/>
      <c r="NKC9"/>
      <c r="NKD9"/>
      <c r="NKE9"/>
      <c r="NKF9"/>
      <c r="NKG9"/>
      <c r="NKH9"/>
      <c r="NKI9"/>
      <c r="NKJ9"/>
      <c r="NKK9"/>
      <c r="NKL9"/>
      <c r="NKM9"/>
      <c r="NKN9"/>
      <c r="NKO9"/>
      <c r="NKP9"/>
      <c r="NKQ9"/>
      <c r="NKR9"/>
      <c r="NKS9"/>
      <c r="NKT9"/>
      <c r="NKU9"/>
      <c r="NKV9"/>
      <c r="NKW9"/>
      <c r="NKX9"/>
      <c r="NKY9"/>
      <c r="NKZ9"/>
      <c r="NLA9"/>
      <c r="NLB9"/>
      <c r="NLC9"/>
      <c r="NLD9"/>
      <c r="NLE9"/>
      <c r="NLF9"/>
      <c r="NLG9"/>
      <c r="NLH9"/>
      <c r="NLI9"/>
      <c r="NLJ9"/>
      <c r="NLK9"/>
      <c r="NLL9"/>
      <c r="NLM9"/>
      <c r="NLN9"/>
      <c r="NLO9"/>
      <c r="NLP9"/>
      <c r="NLQ9"/>
      <c r="NLR9"/>
      <c r="NLS9"/>
      <c r="NLT9"/>
      <c r="NLU9"/>
      <c r="NLV9"/>
      <c r="NLW9"/>
      <c r="NLX9"/>
      <c r="NLY9"/>
      <c r="NLZ9"/>
      <c r="NMA9"/>
      <c r="NMB9"/>
      <c r="NMC9"/>
      <c r="NMD9"/>
      <c r="NME9"/>
      <c r="NMF9"/>
      <c r="NMG9"/>
      <c r="NMH9"/>
      <c r="NMI9"/>
      <c r="NMJ9"/>
      <c r="NMK9"/>
      <c r="NML9"/>
      <c r="NMM9"/>
      <c r="NMN9"/>
      <c r="NMO9"/>
      <c r="NMP9"/>
      <c r="NMQ9"/>
      <c r="NMR9"/>
      <c r="NMS9"/>
      <c r="NMT9"/>
      <c r="NMU9"/>
      <c r="NMV9"/>
      <c r="NMW9"/>
      <c r="NMX9"/>
      <c r="NMY9"/>
      <c r="NMZ9"/>
      <c r="NNA9"/>
      <c r="NNB9"/>
      <c r="NNC9"/>
      <c r="NND9"/>
      <c r="NNE9"/>
      <c r="NNF9"/>
      <c r="NNG9"/>
      <c r="NNH9"/>
      <c r="NNI9"/>
      <c r="NNJ9"/>
      <c r="NNK9"/>
      <c r="NNL9"/>
      <c r="NNM9"/>
      <c r="NNN9"/>
      <c r="NNO9"/>
      <c r="NNP9"/>
      <c r="NNQ9"/>
      <c r="NNR9"/>
      <c r="NNS9"/>
      <c r="NNT9"/>
      <c r="NNU9"/>
      <c r="NNV9"/>
      <c r="NNW9"/>
      <c r="NNX9"/>
      <c r="NNY9"/>
      <c r="NNZ9"/>
      <c r="NOA9"/>
      <c r="NOB9"/>
      <c r="NOC9"/>
      <c r="NOD9"/>
      <c r="NOE9"/>
      <c r="NOF9"/>
      <c r="NOG9"/>
      <c r="NOH9"/>
      <c r="NOI9"/>
      <c r="NOJ9"/>
      <c r="NOK9"/>
      <c r="NOL9"/>
      <c r="NOM9"/>
      <c r="NON9"/>
      <c r="NOO9"/>
      <c r="NOP9"/>
      <c r="NOQ9"/>
      <c r="NOR9"/>
      <c r="NOS9"/>
      <c r="NOT9"/>
      <c r="NOU9"/>
      <c r="NOV9"/>
      <c r="NOW9"/>
      <c r="NOX9"/>
      <c r="NOY9"/>
      <c r="NOZ9"/>
      <c r="NPA9"/>
      <c r="NPB9"/>
      <c r="NPC9"/>
      <c r="NPD9"/>
      <c r="NPE9"/>
      <c r="NPF9"/>
      <c r="NPG9"/>
      <c r="NPH9"/>
      <c r="NPI9"/>
      <c r="NPJ9"/>
      <c r="NPK9"/>
      <c r="NPL9"/>
      <c r="NPM9"/>
      <c r="NPN9"/>
      <c r="NPO9"/>
      <c r="NPP9"/>
      <c r="NPQ9"/>
      <c r="NPR9"/>
      <c r="NPS9"/>
      <c r="NPT9"/>
      <c r="NPU9"/>
      <c r="NPV9"/>
      <c r="NPW9"/>
      <c r="NPX9"/>
      <c r="NPY9"/>
      <c r="NPZ9"/>
      <c r="NQA9"/>
      <c r="NQB9"/>
      <c r="NQC9"/>
      <c r="NQD9"/>
      <c r="NQE9"/>
      <c r="NQF9"/>
      <c r="NQG9"/>
      <c r="NQH9"/>
      <c r="NQI9"/>
      <c r="NQJ9"/>
      <c r="NQK9"/>
      <c r="NQL9"/>
      <c r="NQM9"/>
      <c r="NQN9"/>
      <c r="NQO9"/>
      <c r="NQP9"/>
      <c r="NQQ9"/>
      <c r="NQR9"/>
      <c r="NQS9"/>
      <c r="NQT9"/>
      <c r="NQU9"/>
      <c r="NQV9"/>
      <c r="NQW9"/>
      <c r="NQX9"/>
      <c r="NQY9"/>
      <c r="NQZ9"/>
      <c r="NRA9"/>
      <c r="NRB9"/>
      <c r="NRC9"/>
      <c r="NRD9"/>
      <c r="NRE9"/>
      <c r="NRF9"/>
      <c r="NRG9"/>
      <c r="NRH9"/>
      <c r="NRI9"/>
      <c r="NRJ9"/>
      <c r="NRK9"/>
      <c r="NRL9"/>
      <c r="NRM9"/>
      <c r="NRN9"/>
      <c r="NRO9"/>
      <c r="NRP9"/>
      <c r="NRQ9"/>
      <c r="NRR9"/>
      <c r="NRS9"/>
      <c r="NRT9"/>
      <c r="NRU9"/>
      <c r="NRV9"/>
      <c r="NRW9"/>
      <c r="NRX9"/>
      <c r="NRY9"/>
      <c r="NRZ9"/>
      <c r="NSA9"/>
      <c r="NSB9"/>
      <c r="NSC9"/>
      <c r="NSD9"/>
      <c r="NSE9"/>
      <c r="NSF9"/>
      <c r="NSG9"/>
      <c r="NSH9"/>
      <c r="NSI9"/>
      <c r="NSJ9"/>
      <c r="NSK9"/>
      <c r="NSL9"/>
      <c r="NSM9"/>
      <c r="NSN9"/>
      <c r="NSO9"/>
      <c r="NSP9"/>
      <c r="NSQ9"/>
      <c r="NSR9"/>
      <c r="NSS9"/>
      <c r="NST9"/>
      <c r="NSU9"/>
      <c r="NSV9"/>
      <c r="NSW9"/>
      <c r="NSX9"/>
      <c r="NSY9"/>
      <c r="NSZ9"/>
      <c r="NTA9"/>
      <c r="NTB9"/>
      <c r="NTC9"/>
      <c r="NTD9"/>
      <c r="NTE9"/>
      <c r="NTF9"/>
      <c r="NTG9"/>
      <c r="NTH9"/>
      <c r="NTI9"/>
      <c r="NTJ9"/>
      <c r="NTK9"/>
      <c r="NTL9"/>
      <c r="NTM9"/>
      <c r="NTN9"/>
      <c r="NTO9"/>
      <c r="NTP9"/>
      <c r="NTQ9"/>
      <c r="NTR9"/>
      <c r="NTS9"/>
      <c r="NTT9"/>
      <c r="NTU9"/>
      <c r="NTV9"/>
      <c r="NTW9"/>
      <c r="NTX9"/>
      <c r="NTY9"/>
      <c r="NTZ9"/>
      <c r="NUA9"/>
      <c r="NUB9"/>
      <c r="NUC9"/>
      <c r="NUD9"/>
      <c r="NUE9"/>
      <c r="NUF9"/>
      <c r="NUG9"/>
      <c r="NUH9"/>
      <c r="NUI9"/>
      <c r="NUJ9"/>
      <c r="NUK9"/>
      <c r="NUL9"/>
      <c r="NUM9"/>
      <c r="NUN9"/>
      <c r="NUO9"/>
      <c r="NUP9"/>
      <c r="NUQ9"/>
      <c r="NUR9"/>
      <c r="NUS9"/>
      <c r="NUT9"/>
      <c r="NUU9"/>
      <c r="NUV9"/>
      <c r="NUW9"/>
      <c r="NUX9"/>
      <c r="NUY9"/>
      <c r="NUZ9"/>
      <c r="NVA9"/>
      <c r="NVB9"/>
      <c r="NVC9"/>
      <c r="NVD9"/>
      <c r="NVE9"/>
      <c r="NVF9"/>
      <c r="NVG9"/>
      <c r="NVH9"/>
      <c r="NVI9"/>
      <c r="NVJ9"/>
      <c r="NVK9"/>
      <c r="NVL9"/>
      <c r="NVM9"/>
      <c r="NVN9"/>
      <c r="NVO9"/>
      <c r="NVP9"/>
      <c r="NVQ9"/>
      <c r="NVR9"/>
      <c r="NVS9"/>
      <c r="NVT9"/>
      <c r="NVU9"/>
      <c r="NVV9"/>
      <c r="NVW9"/>
      <c r="NVX9"/>
      <c r="NVY9"/>
      <c r="NVZ9"/>
      <c r="NWA9"/>
      <c r="NWB9"/>
      <c r="NWC9"/>
      <c r="NWD9"/>
      <c r="NWE9"/>
      <c r="NWF9"/>
      <c r="NWG9"/>
      <c r="NWH9"/>
      <c r="NWI9"/>
      <c r="NWJ9"/>
      <c r="NWK9"/>
      <c r="NWL9"/>
      <c r="NWM9"/>
      <c r="NWN9"/>
      <c r="NWO9"/>
      <c r="NWP9"/>
      <c r="NWQ9"/>
      <c r="NWR9"/>
      <c r="NWS9"/>
      <c r="NWT9"/>
      <c r="NWU9"/>
      <c r="NWV9"/>
      <c r="NWW9"/>
      <c r="NWX9"/>
      <c r="NWY9"/>
      <c r="NWZ9"/>
      <c r="NXA9"/>
      <c r="NXB9"/>
      <c r="NXC9"/>
      <c r="NXD9"/>
      <c r="NXE9"/>
      <c r="NXF9"/>
      <c r="NXG9"/>
      <c r="NXH9"/>
      <c r="NXI9"/>
      <c r="NXJ9"/>
      <c r="NXK9"/>
      <c r="NXL9"/>
      <c r="NXM9"/>
      <c r="NXN9"/>
      <c r="NXO9"/>
      <c r="NXP9"/>
      <c r="NXQ9"/>
      <c r="NXR9"/>
      <c r="NXS9"/>
      <c r="NXT9"/>
      <c r="NXU9"/>
      <c r="NXV9"/>
      <c r="NXW9"/>
      <c r="NXX9"/>
      <c r="NXY9"/>
      <c r="NXZ9"/>
      <c r="NYA9"/>
      <c r="NYB9"/>
      <c r="NYC9"/>
      <c r="NYD9"/>
      <c r="NYE9"/>
      <c r="NYF9"/>
      <c r="NYG9"/>
      <c r="NYH9"/>
      <c r="NYI9"/>
      <c r="NYJ9"/>
      <c r="NYK9"/>
      <c r="NYL9"/>
      <c r="NYM9"/>
      <c r="NYN9"/>
      <c r="NYO9"/>
      <c r="NYP9"/>
      <c r="NYQ9"/>
      <c r="NYR9"/>
      <c r="NYS9"/>
      <c r="NYT9"/>
      <c r="NYU9"/>
      <c r="NYV9"/>
      <c r="NYW9"/>
      <c r="NYX9"/>
      <c r="NYY9"/>
      <c r="NYZ9"/>
      <c r="NZA9"/>
      <c r="NZB9"/>
      <c r="NZC9"/>
      <c r="NZD9"/>
      <c r="NZE9"/>
      <c r="NZF9"/>
      <c r="NZG9"/>
      <c r="NZH9"/>
      <c r="NZI9"/>
      <c r="NZJ9"/>
      <c r="NZK9"/>
      <c r="NZL9"/>
      <c r="NZM9"/>
      <c r="NZN9"/>
      <c r="NZO9"/>
      <c r="NZP9"/>
      <c r="NZQ9"/>
      <c r="NZR9"/>
      <c r="NZS9"/>
      <c r="NZT9"/>
      <c r="NZU9"/>
      <c r="NZV9"/>
      <c r="NZW9"/>
      <c r="NZX9"/>
      <c r="NZY9"/>
      <c r="NZZ9"/>
      <c r="OAA9"/>
      <c r="OAB9"/>
      <c r="OAC9"/>
      <c r="OAD9"/>
      <c r="OAE9"/>
      <c r="OAF9"/>
      <c r="OAG9"/>
      <c r="OAH9"/>
      <c r="OAI9"/>
      <c r="OAJ9"/>
      <c r="OAK9"/>
      <c r="OAL9"/>
      <c r="OAM9"/>
      <c r="OAN9"/>
      <c r="OAO9"/>
      <c r="OAP9"/>
      <c r="OAQ9"/>
      <c r="OAR9"/>
      <c r="OAS9"/>
      <c r="OAT9"/>
      <c r="OAU9"/>
      <c r="OAV9"/>
      <c r="OAW9"/>
      <c r="OAX9"/>
      <c r="OAY9"/>
      <c r="OAZ9"/>
      <c r="OBA9"/>
      <c r="OBB9"/>
      <c r="OBC9"/>
      <c r="OBD9"/>
      <c r="OBE9"/>
      <c r="OBF9"/>
      <c r="OBG9"/>
      <c r="OBH9"/>
      <c r="OBI9"/>
      <c r="OBJ9"/>
      <c r="OBK9"/>
      <c r="OBL9"/>
      <c r="OBM9"/>
      <c r="OBN9"/>
      <c r="OBO9"/>
      <c r="OBP9"/>
      <c r="OBQ9"/>
      <c r="OBR9"/>
      <c r="OBS9"/>
      <c r="OBT9"/>
      <c r="OBU9"/>
      <c r="OBV9"/>
      <c r="OBW9"/>
      <c r="OBX9"/>
      <c r="OBY9"/>
      <c r="OBZ9"/>
      <c r="OCA9"/>
      <c r="OCB9"/>
      <c r="OCC9"/>
      <c r="OCD9"/>
      <c r="OCE9"/>
      <c r="OCF9"/>
      <c r="OCG9"/>
      <c r="OCH9"/>
      <c r="OCI9"/>
      <c r="OCJ9"/>
      <c r="OCK9"/>
      <c r="OCL9"/>
      <c r="OCM9"/>
      <c r="OCN9"/>
      <c r="OCO9"/>
      <c r="OCP9"/>
      <c r="OCQ9"/>
      <c r="OCR9"/>
      <c r="OCS9"/>
      <c r="OCT9"/>
      <c r="OCU9"/>
      <c r="OCV9"/>
      <c r="OCW9"/>
      <c r="OCX9"/>
      <c r="OCY9"/>
      <c r="OCZ9"/>
      <c r="ODA9"/>
      <c r="ODB9"/>
      <c r="ODC9"/>
      <c r="ODD9"/>
      <c r="ODE9"/>
      <c r="ODF9"/>
      <c r="ODG9"/>
      <c r="ODH9"/>
      <c r="ODI9"/>
      <c r="ODJ9"/>
      <c r="ODK9"/>
      <c r="ODL9"/>
      <c r="ODM9"/>
      <c r="ODN9"/>
      <c r="ODO9"/>
      <c r="ODP9"/>
      <c r="ODQ9"/>
      <c r="ODR9"/>
      <c r="ODS9"/>
      <c r="ODT9"/>
      <c r="ODU9"/>
      <c r="ODV9"/>
      <c r="ODW9"/>
      <c r="ODX9"/>
      <c r="ODY9"/>
      <c r="ODZ9"/>
      <c r="OEA9"/>
      <c r="OEB9"/>
      <c r="OEC9"/>
      <c r="OED9"/>
      <c r="OEE9"/>
      <c r="OEF9"/>
      <c r="OEG9"/>
      <c r="OEH9"/>
      <c r="OEI9"/>
      <c r="OEJ9"/>
      <c r="OEK9"/>
      <c r="OEL9"/>
      <c r="OEM9"/>
      <c r="OEN9"/>
      <c r="OEO9"/>
      <c r="OEP9"/>
      <c r="OEQ9"/>
      <c r="OER9"/>
      <c r="OES9"/>
      <c r="OET9"/>
      <c r="OEU9"/>
      <c r="OEV9"/>
      <c r="OEW9"/>
      <c r="OEX9"/>
      <c r="OEY9"/>
      <c r="OEZ9"/>
      <c r="OFA9"/>
      <c r="OFB9"/>
      <c r="OFC9"/>
      <c r="OFD9"/>
      <c r="OFE9"/>
      <c r="OFF9"/>
      <c r="OFG9"/>
      <c r="OFH9"/>
      <c r="OFI9"/>
      <c r="OFJ9"/>
      <c r="OFK9"/>
      <c r="OFL9"/>
      <c r="OFM9"/>
      <c r="OFN9"/>
      <c r="OFO9"/>
      <c r="OFP9"/>
      <c r="OFQ9"/>
      <c r="OFR9"/>
      <c r="OFS9"/>
      <c r="OFT9"/>
      <c r="OFU9"/>
      <c r="OFV9"/>
      <c r="OFW9"/>
      <c r="OFX9"/>
      <c r="OFY9"/>
      <c r="OFZ9"/>
      <c r="OGA9"/>
      <c r="OGB9"/>
      <c r="OGC9"/>
      <c r="OGD9"/>
      <c r="OGE9"/>
      <c r="OGF9"/>
      <c r="OGG9"/>
      <c r="OGH9"/>
      <c r="OGI9"/>
      <c r="OGJ9"/>
      <c r="OGK9"/>
      <c r="OGL9"/>
      <c r="OGM9"/>
      <c r="OGN9"/>
      <c r="OGO9"/>
      <c r="OGP9"/>
      <c r="OGQ9"/>
      <c r="OGR9"/>
      <c r="OGS9"/>
      <c r="OGT9"/>
      <c r="OGU9"/>
      <c r="OGV9"/>
      <c r="OGW9"/>
      <c r="OGX9"/>
      <c r="OGY9"/>
      <c r="OGZ9"/>
      <c r="OHA9"/>
      <c r="OHB9"/>
      <c r="OHC9"/>
      <c r="OHD9"/>
      <c r="OHE9"/>
      <c r="OHF9"/>
      <c r="OHG9"/>
      <c r="OHH9"/>
      <c r="OHI9"/>
      <c r="OHJ9"/>
      <c r="OHK9"/>
      <c r="OHL9"/>
      <c r="OHM9"/>
      <c r="OHN9"/>
      <c r="OHO9"/>
      <c r="OHP9"/>
      <c r="OHQ9"/>
      <c r="OHR9"/>
      <c r="OHS9"/>
      <c r="OHT9"/>
      <c r="OHU9"/>
      <c r="OHV9"/>
      <c r="OHW9"/>
      <c r="OHX9"/>
      <c r="OHY9"/>
      <c r="OHZ9"/>
      <c r="OIA9"/>
      <c r="OIB9"/>
      <c r="OIC9"/>
      <c r="OID9"/>
      <c r="OIE9"/>
      <c r="OIF9"/>
      <c r="OIG9"/>
      <c r="OIH9"/>
      <c r="OII9"/>
      <c r="OIJ9"/>
      <c r="OIK9"/>
      <c r="OIL9"/>
      <c r="OIM9"/>
      <c r="OIN9"/>
      <c r="OIO9"/>
      <c r="OIP9"/>
      <c r="OIQ9"/>
      <c r="OIR9"/>
      <c r="OIS9"/>
      <c r="OIT9"/>
      <c r="OIU9"/>
      <c r="OIV9"/>
      <c r="OIW9"/>
      <c r="OIX9"/>
      <c r="OIY9"/>
      <c r="OIZ9"/>
      <c r="OJA9"/>
      <c r="OJB9"/>
      <c r="OJC9"/>
      <c r="OJD9"/>
      <c r="OJE9"/>
      <c r="OJF9"/>
      <c r="OJG9"/>
      <c r="OJH9"/>
      <c r="OJI9"/>
      <c r="OJJ9"/>
      <c r="OJK9"/>
      <c r="OJL9"/>
      <c r="OJM9"/>
      <c r="OJN9"/>
      <c r="OJO9"/>
      <c r="OJP9"/>
      <c r="OJQ9"/>
      <c r="OJR9"/>
      <c r="OJS9"/>
      <c r="OJT9"/>
      <c r="OJU9"/>
      <c r="OJV9"/>
      <c r="OJW9"/>
      <c r="OJX9"/>
      <c r="OJY9"/>
      <c r="OJZ9"/>
      <c r="OKA9"/>
      <c r="OKB9"/>
      <c r="OKC9"/>
      <c r="OKD9"/>
      <c r="OKE9"/>
      <c r="OKF9"/>
      <c r="OKG9"/>
      <c r="OKH9"/>
      <c r="OKI9"/>
      <c r="OKJ9"/>
      <c r="OKK9"/>
      <c r="OKL9"/>
      <c r="OKM9"/>
      <c r="OKN9"/>
      <c r="OKO9"/>
      <c r="OKP9"/>
      <c r="OKQ9"/>
      <c r="OKR9"/>
      <c r="OKS9"/>
      <c r="OKT9"/>
      <c r="OKU9"/>
      <c r="OKV9"/>
      <c r="OKW9"/>
      <c r="OKX9"/>
      <c r="OKY9"/>
      <c r="OKZ9"/>
      <c r="OLA9"/>
      <c r="OLB9"/>
      <c r="OLC9"/>
      <c r="OLD9"/>
      <c r="OLE9"/>
      <c r="OLF9"/>
      <c r="OLG9"/>
      <c r="OLH9"/>
      <c r="OLI9"/>
      <c r="OLJ9"/>
      <c r="OLK9"/>
      <c r="OLL9"/>
      <c r="OLM9"/>
      <c r="OLN9"/>
      <c r="OLO9"/>
      <c r="OLP9"/>
      <c r="OLQ9"/>
      <c r="OLR9"/>
      <c r="OLS9"/>
      <c r="OLT9"/>
      <c r="OLU9"/>
      <c r="OLV9"/>
      <c r="OLW9"/>
      <c r="OLX9"/>
      <c r="OLY9"/>
      <c r="OLZ9"/>
      <c r="OMA9"/>
      <c r="OMB9"/>
      <c r="OMC9"/>
      <c r="OMD9"/>
      <c r="OME9"/>
      <c r="OMF9"/>
      <c r="OMG9"/>
      <c r="OMH9"/>
      <c r="OMI9"/>
      <c r="OMJ9"/>
      <c r="OMK9"/>
      <c r="OML9"/>
      <c r="OMM9"/>
      <c r="OMN9"/>
      <c r="OMO9"/>
      <c r="OMP9"/>
      <c r="OMQ9"/>
      <c r="OMR9"/>
      <c r="OMS9"/>
      <c r="OMT9"/>
      <c r="OMU9"/>
      <c r="OMV9"/>
      <c r="OMW9"/>
      <c r="OMX9"/>
      <c r="OMY9"/>
      <c r="OMZ9"/>
      <c r="ONA9"/>
      <c r="ONB9"/>
      <c r="ONC9"/>
      <c r="OND9"/>
      <c r="ONE9"/>
      <c r="ONF9"/>
      <c r="ONG9"/>
      <c r="ONH9"/>
      <c r="ONI9"/>
      <c r="ONJ9"/>
      <c r="ONK9"/>
      <c r="ONL9"/>
      <c r="ONM9"/>
      <c r="ONN9"/>
      <c r="ONO9"/>
      <c r="ONP9"/>
      <c r="ONQ9"/>
      <c r="ONR9"/>
      <c r="ONS9"/>
      <c r="ONT9"/>
      <c r="ONU9"/>
      <c r="ONV9"/>
      <c r="ONW9"/>
      <c r="ONX9"/>
      <c r="ONY9"/>
      <c r="ONZ9"/>
      <c r="OOA9"/>
      <c r="OOB9"/>
      <c r="OOC9"/>
      <c r="OOD9"/>
      <c r="OOE9"/>
      <c r="OOF9"/>
      <c r="OOG9"/>
      <c r="OOH9"/>
      <c r="OOI9"/>
      <c r="OOJ9"/>
      <c r="OOK9"/>
      <c r="OOL9"/>
      <c r="OOM9"/>
      <c r="OON9"/>
      <c r="OOO9"/>
      <c r="OOP9"/>
      <c r="OOQ9"/>
      <c r="OOR9"/>
      <c r="OOS9"/>
      <c r="OOT9"/>
      <c r="OOU9"/>
      <c r="OOV9"/>
      <c r="OOW9"/>
      <c r="OOX9"/>
      <c r="OOY9"/>
      <c r="OOZ9"/>
      <c r="OPA9"/>
      <c r="OPB9"/>
      <c r="OPC9"/>
      <c r="OPD9"/>
      <c r="OPE9"/>
      <c r="OPF9"/>
      <c r="OPG9"/>
      <c r="OPH9"/>
      <c r="OPI9"/>
      <c r="OPJ9"/>
      <c r="OPK9"/>
      <c r="OPL9"/>
      <c r="OPM9"/>
      <c r="OPN9"/>
      <c r="OPO9"/>
      <c r="OPP9"/>
      <c r="OPQ9"/>
      <c r="OPR9"/>
      <c r="OPS9"/>
      <c r="OPT9"/>
      <c r="OPU9"/>
      <c r="OPV9"/>
      <c r="OPW9"/>
      <c r="OPX9"/>
      <c r="OPY9"/>
      <c r="OPZ9"/>
      <c r="OQA9"/>
      <c r="OQB9"/>
      <c r="OQC9"/>
      <c r="OQD9"/>
      <c r="OQE9"/>
      <c r="OQF9"/>
      <c r="OQG9"/>
      <c r="OQH9"/>
      <c r="OQI9"/>
      <c r="OQJ9"/>
      <c r="OQK9"/>
      <c r="OQL9"/>
      <c r="OQM9"/>
      <c r="OQN9"/>
      <c r="OQO9"/>
      <c r="OQP9"/>
      <c r="OQQ9"/>
      <c r="OQR9"/>
      <c r="OQS9"/>
      <c r="OQT9"/>
      <c r="OQU9"/>
      <c r="OQV9"/>
      <c r="OQW9"/>
      <c r="OQX9"/>
      <c r="OQY9"/>
      <c r="OQZ9"/>
      <c r="ORA9"/>
      <c r="ORB9"/>
      <c r="ORC9"/>
      <c r="ORD9"/>
      <c r="ORE9"/>
      <c r="ORF9"/>
      <c r="ORG9"/>
      <c r="ORH9"/>
      <c r="ORI9"/>
      <c r="ORJ9"/>
      <c r="ORK9"/>
      <c r="ORL9"/>
      <c r="ORM9"/>
      <c r="ORN9"/>
      <c r="ORO9"/>
      <c r="ORP9"/>
      <c r="ORQ9"/>
      <c r="ORR9"/>
      <c r="ORS9"/>
      <c r="ORT9"/>
      <c r="ORU9"/>
      <c r="ORV9"/>
      <c r="ORW9"/>
      <c r="ORX9"/>
      <c r="ORY9"/>
      <c r="ORZ9"/>
      <c r="OSA9"/>
      <c r="OSB9"/>
      <c r="OSC9"/>
      <c r="OSD9"/>
      <c r="OSE9"/>
      <c r="OSF9"/>
      <c r="OSG9"/>
      <c r="OSH9"/>
      <c r="OSI9"/>
      <c r="OSJ9"/>
      <c r="OSK9"/>
      <c r="OSL9"/>
      <c r="OSM9"/>
      <c r="OSN9"/>
      <c r="OSO9"/>
      <c r="OSP9"/>
      <c r="OSQ9"/>
      <c r="OSR9"/>
      <c r="OSS9"/>
      <c r="OST9"/>
      <c r="OSU9"/>
      <c r="OSV9"/>
      <c r="OSW9"/>
      <c r="OSX9"/>
      <c r="OSY9"/>
      <c r="OSZ9"/>
      <c r="OTA9"/>
      <c r="OTB9"/>
      <c r="OTC9"/>
      <c r="OTD9"/>
      <c r="OTE9"/>
      <c r="OTF9"/>
      <c r="OTG9"/>
      <c r="OTH9"/>
      <c r="OTI9"/>
      <c r="OTJ9"/>
      <c r="OTK9"/>
      <c r="OTL9"/>
      <c r="OTM9"/>
      <c r="OTN9"/>
      <c r="OTO9"/>
      <c r="OTP9"/>
      <c r="OTQ9"/>
      <c r="OTR9"/>
      <c r="OTS9"/>
      <c r="OTT9"/>
      <c r="OTU9"/>
      <c r="OTV9"/>
      <c r="OTW9"/>
      <c r="OTX9"/>
      <c r="OTY9"/>
      <c r="OTZ9"/>
      <c r="OUA9"/>
      <c r="OUB9"/>
      <c r="OUC9"/>
      <c r="OUD9"/>
      <c r="OUE9"/>
      <c r="OUF9"/>
      <c r="OUG9"/>
      <c r="OUH9"/>
      <c r="OUI9"/>
      <c r="OUJ9"/>
      <c r="OUK9"/>
      <c r="OUL9"/>
      <c r="OUM9"/>
      <c r="OUN9"/>
      <c r="OUO9"/>
      <c r="OUP9"/>
      <c r="OUQ9"/>
      <c r="OUR9"/>
      <c r="OUS9"/>
      <c r="OUT9"/>
      <c r="OUU9"/>
      <c r="OUV9"/>
      <c r="OUW9"/>
      <c r="OUX9"/>
      <c r="OUY9"/>
      <c r="OUZ9"/>
      <c r="OVA9"/>
      <c r="OVB9"/>
      <c r="OVC9"/>
      <c r="OVD9"/>
      <c r="OVE9"/>
      <c r="OVF9"/>
      <c r="OVG9"/>
      <c r="OVH9"/>
      <c r="OVI9"/>
      <c r="OVJ9"/>
      <c r="OVK9"/>
      <c r="OVL9"/>
      <c r="OVM9"/>
      <c r="OVN9"/>
      <c r="OVO9"/>
      <c r="OVP9"/>
      <c r="OVQ9"/>
      <c r="OVR9"/>
      <c r="OVS9"/>
      <c r="OVT9"/>
      <c r="OVU9"/>
      <c r="OVV9"/>
      <c r="OVW9"/>
      <c r="OVX9"/>
      <c r="OVY9"/>
      <c r="OVZ9"/>
      <c r="OWA9"/>
      <c r="OWB9"/>
      <c r="OWC9"/>
      <c r="OWD9"/>
      <c r="OWE9"/>
      <c r="OWF9"/>
      <c r="OWG9"/>
      <c r="OWH9"/>
      <c r="OWI9"/>
      <c r="OWJ9"/>
      <c r="OWK9"/>
      <c r="OWL9"/>
      <c r="OWM9"/>
      <c r="OWN9"/>
      <c r="OWO9"/>
      <c r="OWP9"/>
      <c r="OWQ9"/>
      <c r="OWR9"/>
      <c r="OWS9"/>
      <c r="OWT9"/>
      <c r="OWU9"/>
      <c r="OWV9"/>
      <c r="OWW9"/>
      <c r="OWX9"/>
      <c r="OWY9"/>
      <c r="OWZ9"/>
      <c r="OXA9"/>
      <c r="OXB9"/>
      <c r="OXC9"/>
      <c r="OXD9"/>
      <c r="OXE9"/>
      <c r="OXF9"/>
      <c r="OXG9"/>
      <c r="OXH9"/>
      <c r="OXI9"/>
      <c r="OXJ9"/>
      <c r="OXK9"/>
      <c r="OXL9"/>
      <c r="OXM9"/>
      <c r="OXN9"/>
      <c r="OXO9"/>
      <c r="OXP9"/>
      <c r="OXQ9"/>
      <c r="OXR9"/>
      <c r="OXS9"/>
      <c r="OXT9"/>
      <c r="OXU9"/>
      <c r="OXV9"/>
      <c r="OXW9"/>
      <c r="OXX9"/>
      <c r="OXY9"/>
      <c r="OXZ9"/>
      <c r="OYA9"/>
      <c r="OYB9"/>
      <c r="OYC9"/>
      <c r="OYD9"/>
      <c r="OYE9"/>
      <c r="OYF9"/>
      <c r="OYG9"/>
      <c r="OYH9"/>
      <c r="OYI9"/>
      <c r="OYJ9"/>
      <c r="OYK9"/>
      <c r="OYL9"/>
      <c r="OYM9"/>
      <c r="OYN9"/>
      <c r="OYO9"/>
      <c r="OYP9"/>
      <c r="OYQ9"/>
      <c r="OYR9"/>
      <c r="OYS9"/>
      <c r="OYT9"/>
      <c r="OYU9"/>
      <c r="OYV9"/>
      <c r="OYW9"/>
      <c r="OYX9"/>
      <c r="OYY9"/>
      <c r="OYZ9"/>
      <c r="OZA9"/>
      <c r="OZB9"/>
      <c r="OZC9"/>
      <c r="OZD9"/>
      <c r="OZE9"/>
      <c r="OZF9"/>
      <c r="OZG9"/>
      <c r="OZH9"/>
      <c r="OZI9"/>
      <c r="OZJ9"/>
      <c r="OZK9"/>
      <c r="OZL9"/>
      <c r="OZM9"/>
      <c r="OZN9"/>
      <c r="OZO9"/>
      <c r="OZP9"/>
      <c r="OZQ9"/>
      <c r="OZR9"/>
      <c r="OZS9"/>
      <c r="OZT9"/>
      <c r="OZU9"/>
      <c r="OZV9"/>
      <c r="OZW9"/>
      <c r="OZX9"/>
      <c r="OZY9"/>
      <c r="OZZ9"/>
      <c r="PAA9"/>
      <c r="PAB9"/>
      <c r="PAC9"/>
      <c r="PAD9"/>
      <c r="PAE9"/>
      <c r="PAF9"/>
      <c r="PAG9"/>
      <c r="PAH9"/>
      <c r="PAI9"/>
      <c r="PAJ9"/>
      <c r="PAK9"/>
      <c r="PAL9"/>
      <c r="PAM9"/>
      <c r="PAN9"/>
      <c r="PAO9"/>
      <c r="PAP9"/>
      <c r="PAQ9"/>
      <c r="PAR9"/>
      <c r="PAS9"/>
      <c r="PAT9"/>
      <c r="PAU9"/>
      <c r="PAV9"/>
      <c r="PAW9"/>
      <c r="PAX9"/>
      <c r="PAY9"/>
      <c r="PAZ9"/>
      <c r="PBA9"/>
      <c r="PBB9"/>
      <c r="PBC9"/>
      <c r="PBD9"/>
      <c r="PBE9"/>
      <c r="PBF9"/>
      <c r="PBG9"/>
      <c r="PBH9"/>
      <c r="PBI9"/>
      <c r="PBJ9"/>
      <c r="PBK9"/>
      <c r="PBL9"/>
      <c r="PBM9"/>
      <c r="PBN9"/>
      <c r="PBO9"/>
      <c r="PBP9"/>
      <c r="PBQ9"/>
      <c r="PBR9"/>
      <c r="PBS9"/>
      <c r="PBT9"/>
      <c r="PBU9"/>
      <c r="PBV9"/>
      <c r="PBW9"/>
      <c r="PBX9"/>
      <c r="PBY9"/>
      <c r="PBZ9"/>
      <c r="PCA9"/>
      <c r="PCB9"/>
      <c r="PCC9"/>
      <c r="PCD9"/>
      <c r="PCE9"/>
      <c r="PCF9"/>
      <c r="PCG9"/>
      <c r="PCH9"/>
      <c r="PCI9"/>
      <c r="PCJ9"/>
      <c r="PCK9"/>
      <c r="PCL9"/>
      <c r="PCM9"/>
      <c r="PCN9"/>
      <c r="PCO9"/>
      <c r="PCP9"/>
      <c r="PCQ9"/>
      <c r="PCR9"/>
      <c r="PCS9"/>
      <c r="PCT9"/>
      <c r="PCU9"/>
      <c r="PCV9"/>
      <c r="PCW9"/>
      <c r="PCX9"/>
      <c r="PCY9"/>
      <c r="PCZ9"/>
      <c r="PDA9"/>
      <c r="PDB9"/>
      <c r="PDC9"/>
      <c r="PDD9"/>
      <c r="PDE9"/>
      <c r="PDF9"/>
      <c r="PDG9"/>
      <c r="PDH9"/>
      <c r="PDI9"/>
      <c r="PDJ9"/>
      <c r="PDK9"/>
      <c r="PDL9"/>
      <c r="PDM9"/>
      <c r="PDN9"/>
      <c r="PDO9"/>
      <c r="PDP9"/>
      <c r="PDQ9"/>
      <c r="PDR9"/>
      <c r="PDS9"/>
      <c r="PDT9"/>
      <c r="PDU9"/>
      <c r="PDV9"/>
      <c r="PDW9"/>
      <c r="PDX9"/>
      <c r="PDY9"/>
      <c r="PDZ9"/>
      <c r="PEA9"/>
      <c r="PEB9"/>
      <c r="PEC9"/>
      <c r="PED9"/>
      <c r="PEE9"/>
      <c r="PEF9"/>
      <c r="PEG9"/>
      <c r="PEH9"/>
      <c r="PEI9"/>
      <c r="PEJ9"/>
      <c r="PEK9"/>
      <c r="PEL9"/>
      <c r="PEM9"/>
      <c r="PEN9"/>
      <c r="PEO9"/>
      <c r="PEP9"/>
      <c r="PEQ9"/>
      <c r="PER9"/>
      <c r="PES9"/>
      <c r="PET9"/>
      <c r="PEU9"/>
      <c r="PEV9"/>
      <c r="PEW9"/>
      <c r="PEX9"/>
      <c r="PEY9"/>
      <c r="PEZ9"/>
      <c r="PFA9"/>
      <c r="PFB9"/>
      <c r="PFC9"/>
      <c r="PFD9"/>
      <c r="PFE9"/>
      <c r="PFF9"/>
      <c r="PFG9"/>
      <c r="PFH9"/>
      <c r="PFI9"/>
      <c r="PFJ9"/>
      <c r="PFK9"/>
      <c r="PFL9"/>
      <c r="PFM9"/>
      <c r="PFN9"/>
      <c r="PFO9"/>
      <c r="PFP9"/>
      <c r="PFQ9"/>
      <c r="PFR9"/>
      <c r="PFS9"/>
      <c r="PFT9"/>
      <c r="PFU9"/>
      <c r="PFV9"/>
      <c r="PFW9"/>
      <c r="PFX9"/>
      <c r="PFY9"/>
      <c r="PFZ9"/>
      <c r="PGA9"/>
      <c r="PGB9"/>
      <c r="PGC9"/>
      <c r="PGD9"/>
      <c r="PGE9"/>
      <c r="PGF9"/>
      <c r="PGG9"/>
      <c r="PGH9"/>
      <c r="PGI9"/>
      <c r="PGJ9"/>
      <c r="PGK9"/>
      <c r="PGL9"/>
      <c r="PGM9"/>
      <c r="PGN9"/>
      <c r="PGO9"/>
      <c r="PGP9"/>
      <c r="PGQ9"/>
      <c r="PGR9"/>
      <c r="PGS9"/>
      <c r="PGT9"/>
      <c r="PGU9"/>
      <c r="PGV9"/>
      <c r="PGW9"/>
      <c r="PGX9"/>
      <c r="PGY9"/>
      <c r="PGZ9"/>
      <c r="PHA9"/>
      <c r="PHB9"/>
      <c r="PHC9"/>
      <c r="PHD9"/>
      <c r="PHE9"/>
      <c r="PHF9"/>
      <c r="PHG9"/>
      <c r="PHH9"/>
      <c r="PHI9"/>
      <c r="PHJ9"/>
      <c r="PHK9"/>
      <c r="PHL9"/>
      <c r="PHM9"/>
      <c r="PHN9"/>
      <c r="PHO9"/>
      <c r="PHP9"/>
      <c r="PHQ9"/>
      <c r="PHR9"/>
      <c r="PHS9"/>
      <c r="PHT9"/>
      <c r="PHU9"/>
      <c r="PHV9"/>
      <c r="PHW9"/>
      <c r="PHX9"/>
      <c r="PHY9"/>
      <c r="PHZ9"/>
      <c r="PIA9"/>
      <c r="PIB9"/>
      <c r="PIC9"/>
      <c r="PID9"/>
      <c r="PIE9"/>
      <c r="PIF9"/>
      <c r="PIG9"/>
      <c r="PIH9"/>
      <c r="PII9"/>
      <c r="PIJ9"/>
      <c r="PIK9"/>
      <c r="PIL9"/>
      <c r="PIM9"/>
      <c r="PIN9"/>
      <c r="PIO9"/>
      <c r="PIP9"/>
      <c r="PIQ9"/>
      <c r="PIR9"/>
      <c r="PIS9"/>
      <c r="PIT9"/>
      <c r="PIU9"/>
      <c r="PIV9"/>
      <c r="PIW9"/>
      <c r="PIX9"/>
      <c r="PIY9"/>
      <c r="PIZ9"/>
      <c r="PJA9"/>
      <c r="PJB9"/>
      <c r="PJC9"/>
      <c r="PJD9"/>
      <c r="PJE9"/>
      <c r="PJF9"/>
      <c r="PJG9"/>
      <c r="PJH9"/>
      <c r="PJI9"/>
      <c r="PJJ9"/>
      <c r="PJK9"/>
      <c r="PJL9"/>
      <c r="PJM9"/>
      <c r="PJN9"/>
      <c r="PJO9"/>
      <c r="PJP9"/>
      <c r="PJQ9"/>
      <c r="PJR9"/>
      <c r="PJS9"/>
      <c r="PJT9"/>
      <c r="PJU9"/>
      <c r="PJV9"/>
      <c r="PJW9"/>
      <c r="PJX9"/>
      <c r="PJY9"/>
      <c r="PJZ9"/>
      <c r="PKA9"/>
      <c r="PKB9"/>
      <c r="PKC9"/>
      <c r="PKD9"/>
      <c r="PKE9"/>
      <c r="PKF9"/>
      <c r="PKG9"/>
      <c r="PKH9"/>
      <c r="PKI9"/>
      <c r="PKJ9"/>
      <c r="PKK9"/>
      <c r="PKL9"/>
      <c r="PKM9"/>
      <c r="PKN9"/>
      <c r="PKO9"/>
      <c r="PKP9"/>
      <c r="PKQ9"/>
      <c r="PKR9"/>
      <c r="PKS9"/>
      <c r="PKT9"/>
      <c r="PKU9"/>
      <c r="PKV9"/>
      <c r="PKW9"/>
      <c r="PKX9"/>
      <c r="PKY9"/>
      <c r="PKZ9"/>
      <c r="PLA9"/>
      <c r="PLB9"/>
      <c r="PLC9"/>
      <c r="PLD9"/>
      <c r="PLE9"/>
      <c r="PLF9"/>
      <c r="PLG9"/>
      <c r="PLH9"/>
      <c r="PLI9"/>
      <c r="PLJ9"/>
      <c r="PLK9"/>
      <c r="PLL9"/>
      <c r="PLM9"/>
      <c r="PLN9"/>
      <c r="PLO9"/>
      <c r="PLP9"/>
      <c r="PLQ9"/>
      <c r="PLR9"/>
      <c r="PLS9"/>
      <c r="PLT9"/>
      <c r="PLU9"/>
      <c r="PLV9"/>
      <c r="PLW9"/>
      <c r="PLX9"/>
      <c r="PLY9"/>
      <c r="PLZ9"/>
      <c r="PMA9"/>
      <c r="PMB9"/>
      <c r="PMC9"/>
      <c r="PMD9"/>
      <c r="PME9"/>
      <c r="PMF9"/>
      <c r="PMG9"/>
      <c r="PMH9"/>
      <c r="PMI9"/>
      <c r="PMJ9"/>
      <c r="PMK9"/>
      <c r="PML9"/>
      <c r="PMM9"/>
      <c r="PMN9"/>
      <c r="PMO9"/>
      <c r="PMP9"/>
      <c r="PMQ9"/>
      <c r="PMR9"/>
      <c r="PMS9"/>
      <c r="PMT9"/>
      <c r="PMU9"/>
      <c r="PMV9"/>
      <c r="PMW9"/>
      <c r="PMX9"/>
      <c r="PMY9"/>
      <c r="PMZ9"/>
      <c r="PNA9"/>
      <c r="PNB9"/>
      <c r="PNC9"/>
      <c r="PND9"/>
      <c r="PNE9"/>
      <c r="PNF9"/>
      <c r="PNG9"/>
      <c r="PNH9"/>
      <c r="PNI9"/>
      <c r="PNJ9"/>
      <c r="PNK9"/>
      <c r="PNL9"/>
      <c r="PNM9"/>
      <c r="PNN9"/>
      <c r="PNO9"/>
      <c r="PNP9"/>
      <c r="PNQ9"/>
      <c r="PNR9"/>
      <c r="PNS9"/>
      <c r="PNT9"/>
      <c r="PNU9"/>
      <c r="PNV9"/>
      <c r="PNW9"/>
      <c r="PNX9"/>
      <c r="PNY9"/>
      <c r="PNZ9"/>
      <c r="POA9"/>
      <c r="POB9"/>
      <c r="POC9"/>
      <c r="POD9"/>
      <c r="POE9"/>
      <c r="POF9"/>
      <c r="POG9"/>
      <c r="POH9"/>
      <c r="POI9"/>
      <c r="POJ9"/>
      <c r="POK9"/>
      <c r="POL9"/>
      <c r="POM9"/>
      <c r="PON9"/>
      <c r="POO9"/>
      <c r="POP9"/>
      <c r="POQ9"/>
      <c r="POR9"/>
      <c r="POS9"/>
      <c r="POT9"/>
      <c r="POU9"/>
      <c r="POV9"/>
      <c r="POW9"/>
      <c r="POX9"/>
      <c r="POY9"/>
      <c r="POZ9"/>
      <c r="PPA9"/>
      <c r="PPB9"/>
      <c r="PPC9"/>
      <c r="PPD9"/>
      <c r="PPE9"/>
      <c r="PPF9"/>
      <c r="PPG9"/>
      <c r="PPH9"/>
      <c r="PPI9"/>
      <c r="PPJ9"/>
      <c r="PPK9"/>
      <c r="PPL9"/>
      <c r="PPM9"/>
      <c r="PPN9"/>
      <c r="PPO9"/>
      <c r="PPP9"/>
      <c r="PPQ9"/>
      <c r="PPR9"/>
      <c r="PPS9"/>
      <c r="PPT9"/>
      <c r="PPU9"/>
      <c r="PPV9"/>
      <c r="PPW9"/>
      <c r="PPX9"/>
      <c r="PPY9"/>
      <c r="PPZ9"/>
      <c r="PQA9"/>
      <c r="PQB9"/>
      <c r="PQC9"/>
      <c r="PQD9"/>
      <c r="PQE9"/>
      <c r="PQF9"/>
      <c r="PQG9"/>
      <c r="PQH9"/>
      <c r="PQI9"/>
      <c r="PQJ9"/>
      <c r="PQK9"/>
      <c r="PQL9"/>
      <c r="PQM9"/>
      <c r="PQN9"/>
      <c r="PQO9"/>
      <c r="PQP9"/>
      <c r="PQQ9"/>
      <c r="PQR9"/>
      <c r="PQS9"/>
      <c r="PQT9"/>
      <c r="PQU9"/>
      <c r="PQV9"/>
      <c r="PQW9"/>
      <c r="PQX9"/>
      <c r="PQY9"/>
      <c r="PQZ9"/>
      <c r="PRA9"/>
      <c r="PRB9"/>
      <c r="PRC9"/>
      <c r="PRD9"/>
      <c r="PRE9"/>
      <c r="PRF9"/>
      <c r="PRG9"/>
      <c r="PRH9"/>
      <c r="PRI9"/>
      <c r="PRJ9"/>
      <c r="PRK9"/>
      <c r="PRL9"/>
      <c r="PRM9"/>
      <c r="PRN9"/>
      <c r="PRO9"/>
      <c r="PRP9"/>
      <c r="PRQ9"/>
      <c r="PRR9"/>
      <c r="PRS9"/>
      <c r="PRT9"/>
      <c r="PRU9"/>
      <c r="PRV9"/>
      <c r="PRW9"/>
      <c r="PRX9"/>
      <c r="PRY9"/>
      <c r="PRZ9"/>
      <c r="PSA9"/>
      <c r="PSB9"/>
      <c r="PSC9"/>
      <c r="PSD9"/>
      <c r="PSE9"/>
      <c r="PSF9"/>
      <c r="PSG9"/>
      <c r="PSH9"/>
      <c r="PSI9"/>
      <c r="PSJ9"/>
      <c r="PSK9"/>
      <c r="PSL9"/>
      <c r="PSM9"/>
      <c r="PSN9"/>
      <c r="PSO9"/>
      <c r="PSP9"/>
      <c r="PSQ9"/>
      <c r="PSR9"/>
      <c r="PSS9"/>
      <c r="PST9"/>
      <c r="PSU9"/>
      <c r="PSV9"/>
      <c r="PSW9"/>
      <c r="PSX9"/>
      <c r="PSY9"/>
      <c r="PSZ9"/>
      <c r="PTA9"/>
      <c r="PTB9"/>
      <c r="PTC9"/>
      <c r="PTD9"/>
      <c r="PTE9"/>
      <c r="PTF9"/>
      <c r="PTG9"/>
      <c r="PTH9"/>
      <c r="PTI9"/>
      <c r="PTJ9"/>
      <c r="PTK9"/>
      <c r="PTL9"/>
      <c r="PTM9"/>
      <c r="PTN9"/>
      <c r="PTO9"/>
      <c r="PTP9"/>
      <c r="PTQ9"/>
      <c r="PTR9"/>
      <c r="PTS9"/>
      <c r="PTT9"/>
      <c r="PTU9"/>
      <c r="PTV9"/>
      <c r="PTW9"/>
      <c r="PTX9"/>
      <c r="PTY9"/>
      <c r="PTZ9"/>
      <c r="PUA9"/>
      <c r="PUB9"/>
      <c r="PUC9"/>
      <c r="PUD9"/>
      <c r="PUE9"/>
      <c r="PUF9"/>
      <c r="PUG9"/>
      <c r="PUH9"/>
      <c r="PUI9"/>
      <c r="PUJ9"/>
      <c r="PUK9"/>
      <c r="PUL9"/>
      <c r="PUM9"/>
      <c r="PUN9"/>
      <c r="PUO9"/>
      <c r="PUP9"/>
      <c r="PUQ9"/>
      <c r="PUR9"/>
      <c r="PUS9"/>
      <c r="PUT9"/>
      <c r="PUU9"/>
      <c r="PUV9"/>
      <c r="PUW9"/>
      <c r="PUX9"/>
      <c r="PUY9"/>
      <c r="PUZ9"/>
      <c r="PVA9"/>
      <c r="PVB9"/>
      <c r="PVC9"/>
      <c r="PVD9"/>
      <c r="PVE9"/>
      <c r="PVF9"/>
      <c r="PVG9"/>
      <c r="PVH9"/>
      <c r="PVI9"/>
      <c r="PVJ9"/>
      <c r="PVK9"/>
      <c r="PVL9"/>
      <c r="PVM9"/>
      <c r="PVN9"/>
      <c r="PVO9"/>
      <c r="PVP9"/>
      <c r="PVQ9"/>
      <c r="PVR9"/>
      <c r="PVS9"/>
      <c r="PVT9"/>
      <c r="PVU9"/>
      <c r="PVV9"/>
      <c r="PVW9"/>
      <c r="PVX9"/>
      <c r="PVY9"/>
      <c r="PVZ9"/>
      <c r="PWA9"/>
      <c r="PWB9"/>
      <c r="PWC9"/>
      <c r="PWD9"/>
      <c r="PWE9"/>
      <c r="PWF9"/>
      <c r="PWG9"/>
      <c r="PWH9"/>
      <c r="PWI9"/>
      <c r="PWJ9"/>
      <c r="PWK9"/>
      <c r="PWL9"/>
      <c r="PWM9"/>
      <c r="PWN9"/>
      <c r="PWO9"/>
      <c r="PWP9"/>
      <c r="PWQ9"/>
      <c r="PWR9"/>
      <c r="PWS9"/>
      <c r="PWT9"/>
      <c r="PWU9"/>
      <c r="PWV9"/>
      <c r="PWW9"/>
      <c r="PWX9"/>
      <c r="PWY9"/>
      <c r="PWZ9"/>
      <c r="PXA9"/>
      <c r="PXB9"/>
      <c r="PXC9"/>
      <c r="PXD9"/>
      <c r="PXE9"/>
      <c r="PXF9"/>
      <c r="PXG9"/>
      <c r="PXH9"/>
      <c r="PXI9"/>
      <c r="PXJ9"/>
      <c r="PXK9"/>
      <c r="PXL9"/>
      <c r="PXM9"/>
      <c r="PXN9"/>
      <c r="PXO9"/>
      <c r="PXP9"/>
      <c r="PXQ9"/>
      <c r="PXR9"/>
      <c r="PXS9"/>
      <c r="PXT9"/>
      <c r="PXU9"/>
      <c r="PXV9"/>
      <c r="PXW9"/>
      <c r="PXX9"/>
      <c r="PXY9"/>
      <c r="PXZ9"/>
      <c r="PYA9"/>
      <c r="PYB9"/>
      <c r="PYC9"/>
      <c r="PYD9"/>
      <c r="PYE9"/>
      <c r="PYF9"/>
      <c r="PYG9"/>
      <c r="PYH9"/>
      <c r="PYI9"/>
      <c r="PYJ9"/>
      <c r="PYK9"/>
      <c r="PYL9"/>
      <c r="PYM9"/>
      <c r="PYN9"/>
      <c r="PYO9"/>
      <c r="PYP9"/>
      <c r="PYQ9"/>
      <c r="PYR9"/>
      <c r="PYS9"/>
      <c r="PYT9"/>
      <c r="PYU9"/>
      <c r="PYV9"/>
      <c r="PYW9"/>
      <c r="PYX9"/>
      <c r="PYY9"/>
      <c r="PYZ9"/>
      <c r="PZA9"/>
      <c r="PZB9"/>
      <c r="PZC9"/>
      <c r="PZD9"/>
      <c r="PZE9"/>
      <c r="PZF9"/>
      <c r="PZG9"/>
      <c r="PZH9"/>
      <c r="PZI9"/>
      <c r="PZJ9"/>
      <c r="PZK9"/>
      <c r="PZL9"/>
      <c r="PZM9"/>
      <c r="PZN9"/>
      <c r="PZO9"/>
      <c r="PZP9"/>
      <c r="PZQ9"/>
      <c r="PZR9"/>
      <c r="PZS9"/>
      <c r="PZT9"/>
      <c r="PZU9"/>
      <c r="PZV9"/>
      <c r="PZW9"/>
      <c r="PZX9"/>
      <c r="PZY9"/>
      <c r="PZZ9"/>
      <c r="QAA9"/>
      <c r="QAB9"/>
      <c r="QAC9"/>
      <c r="QAD9"/>
      <c r="QAE9"/>
      <c r="QAF9"/>
      <c r="QAG9"/>
      <c r="QAH9"/>
      <c r="QAI9"/>
      <c r="QAJ9"/>
      <c r="QAK9"/>
      <c r="QAL9"/>
      <c r="QAM9"/>
      <c r="QAN9"/>
      <c r="QAO9"/>
      <c r="QAP9"/>
      <c r="QAQ9"/>
      <c r="QAR9"/>
      <c r="QAS9"/>
      <c r="QAT9"/>
      <c r="QAU9"/>
      <c r="QAV9"/>
      <c r="QAW9"/>
      <c r="QAX9"/>
      <c r="QAY9"/>
      <c r="QAZ9"/>
      <c r="QBA9"/>
      <c r="QBB9"/>
      <c r="QBC9"/>
      <c r="QBD9"/>
      <c r="QBE9"/>
      <c r="QBF9"/>
      <c r="QBG9"/>
      <c r="QBH9"/>
      <c r="QBI9"/>
      <c r="QBJ9"/>
      <c r="QBK9"/>
      <c r="QBL9"/>
      <c r="QBM9"/>
      <c r="QBN9"/>
      <c r="QBO9"/>
      <c r="QBP9"/>
      <c r="QBQ9"/>
      <c r="QBR9"/>
      <c r="QBS9"/>
      <c r="QBT9"/>
      <c r="QBU9"/>
      <c r="QBV9"/>
      <c r="QBW9"/>
      <c r="QBX9"/>
      <c r="QBY9"/>
      <c r="QBZ9"/>
      <c r="QCA9"/>
      <c r="QCB9"/>
      <c r="QCC9"/>
      <c r="QCD9"/>
      <c r="QCE9"/>
      <c r="QCF9"/>
      <c r="QCG9"/>
      <c r="QCH9"/>
      <c r="QCI9"/>
      <c r="QCJ9"/>
      <c r="QCK9"/>
      <c r="QCL9"/>
      <c r="QCM9"/>
      <c r="QCN9"/>
      <c r="QCO9"/>
      <c r="QCP9"/>
      <c r="QCQ9"/>
      <c r="QCR9"/>
      <c r="QCS9"/>
      <c r="QCT9"/>
      <c r="QCU9"/>
      <c r="QCV9"/>
      <c r="QCW9"/>
      <c r="QCX9"/>
      <c r="QCY9"/>
      <c r="QCZ9"/>
      <c r="QDA9"/>
      <c r="QDB9"/>
      <c r="QDC9"/>
      <c r="QDD9"/>
      <c r="QDE9"/>
      <c r="QDF9"/>
      <c r="QDG9"/>
      <c r="QDH9"/>
      <c r="QDI9"/>
      <c r="QDJ9"/>
      <c r="QDK9"/>
      <c r="QDL9"/>
      <c r="QDM9"/>
      <c r="QDN9"/>
      <c r="QDO9"/>
      <c r="QDP9"/>
      <c r="QDQ9"/>
      <c r="QDR9"/>
      <c r="QDS9"/>
      <c r="QDT9"/>
      <c r="QDU9"/>
      <c r="QDV9"/>
      <c r="QDW9"/>
      <c r="QDX9"/>
      <c r="QDY9"/>
      <c r="QDZ9"/>
      <c r="QEA9"/>
      <c r="QEB9"/>
      <c r="QEC9"/>
      <c r="QED9"/>
      <c r="QEE9"/>
      <c r="QEF9"/>
      <c r="QEG9"/>
      <c r="QEH9"/>
      <c r="QEI9"/>
      <c r="QEJ9"/>
      <c r="QEK9"/>
      <c r="QEL9"/>
      <c r="QEM9"/>
      <c r="QEN9"/>
      <c r="QEO9"/>
      <c r="QEP9"/>
      <c r="QEQ9"/>
      <c r="QER9"/>
      <c r="QES9"/>
      <c r="QET9"/>
      <c r="QEU9"/>
      <c r="QEV9"/>
      <c r="QEW9"/>
      <c r="QEX9"/>
      <c r="QEY9"/>
      <c r="QEZ9"/>
      <c r="QFA9"/>
      <c r="QFB9"/>
      <c r="QFC9"/>
      <c r="QFD9"/>
      <c r="QFE9"/>
      <c r="QFF9"/>
      <c r="QFG9"/>
      <c r="QFH9"/>
      <c r="QFI9"/>
      <c r="QFJ9"/>
      <c r="QFK9"/>
      <c r="QFL9"/>
      <c r="QFM9"/>
      <c r="QFN9"/>
      <c r="QFO9"/>
      <c r="QFP9"/>
      <c r="QFQ9"/>
      <c r="QFR9"/>
      <c r="QFS9"/>
      <c r="QFT9"/>
      <c r="QFU9"/>
      <c r="QFV9"/>
      <c r="QFW9"/>
      <c r="QFX9"/>
      <c r="QFY9"/>
      <c r="QFZ9"/>
      <c r="QGA9"/>
      <c r="QGB9"/>
      <c r="QGC9"/>
      <c r="QGD9"/>
      <c r="QGE9"/>
      <c r="QGF9"/>
      <c r="QGG9"/>
      <c r="QGH9"/>
      <c r="QGI9"/>
      <c r="QGJ9"/>
      <c r="QGK9"/>
      <c r="QGL9"/>
      <c r="QGM9"/>
      <c r="QGN9"/>
      <c r="QGO9"/>
      <c r="QGP9"/>
      <c r="QGQ9"/>
      <c r="QGR9"/>
      <c r="QGS9"/>
      <c r="QGT9"/>
      <c r="QGU9"/>
      <c r="QGV9"/>
      <c r="QGW9"/>
      <c r="QGX9"/>
      <c r="QGY9"/>
      <c r="QGZ9"/>
      <c r="QHA9"/>
      <c r="QHB9"/>
      <c r="QHC9"/>
      <c r="QHD9"/>
      <c r="QHE9"/>
      <c r="QHF9"/>
      <c r="QHG9"/>
      <c r="QHH9"/>
      <c r="QHI9"/>
      <c r="QHJ9"/>
      <c r="QHK9"/>
      <c r="QHL9"/>
      <c r="QHM9"/>
      <c r="QHN9"/>
      <c r="QHO9"/>
      <c r="QHP9"/>
      <c r="QHQ9"/>
      <c r="QHR9"/>
      <c r="QHS9"/>
      <c r="QHT9"/>
      <c r="QHU9"/>
      <c r="QHV9"/>
      <c r="QHW9"/>
      <c r="QHX9"/>
      <c r="QHY9"/>
      <c r="QHZ9"/>
      <c r="QIA9"/>
      <c r="QIB9"/>
      <c r="QIC9"/>
      <c r="QID9"/>
      <c r="QIE9"/>
      <c r="QIF9"/>
      <c r="QIG9"/>
      <c r="QIH9"/>
      <c r="QII9"/>
      <c r="QIJ9"/>
      <c r="QIK9"/>
      <c r="QIL9"/>
      <c r="QIM9"/>
      <c r="QIN9"/>
      <c r="QIO9"/>
      <c r="QIP9"/>
      <c r="QIQ9"/>
      <c r="QIR9"/>
      <c r="QIS9"/>
      <c r="QIT9"/>
      <c r="QIU9"/>
      <c r="QIV9"/>
      <c r="QIW9"/>
      <c r="QIX9"/>
      <c r="QIY9"/>
      <c r="QIZ9"/>
      <c r="QJA9"/>
      <c r="QJB9"/>
      <c r="QJC9"/>
      <c r="QJD9"/>
      <c r="QJE9"/>
      <c r="QJF9"/>
      <c r="QJG9"/>
      <c r="QJH9"/>
      <c r="QJI9"/>
      <c r="QJJ9"/>
      <c r="QJK9"/>
      <c r="QJL9"/>
      <c r="QJM9"/>
      <c r="QJN9"/>
      <c r="QJO9"/>
      <c r="QJP9"/>
      <c r="QJQ9"/>
      <c r="QJR9"/>
      <c r="QJS9"/>
      <c r="QJT9"/>
      <c r="QJU9"/>
      <c r="QJV9"/>
      <c r="QJW9"/>
      <c r="QJX9"/>
      <c r="QJY9"/>
      <c r="QJZ9"/>
      <c r="QKA9"/>
      <c r="QKB9"/>
      <c r="QKC9"/>
      <c r="QKD9"/>
      <c r="QKE9"/>
      <c r="QKF9"/>
      <c r="QKG9"/>
      <c r="QKH9"/>
      <c r="QKI9"/>
      <c r="QKJ9"/>
      <c r="QKK9"/>
      <c r="QKL9"/>
      <c r="QKM9"/>
      <c r="QKN9"/>
      <c r="QKO9"/>
      <c r="QKP9"/>
      <c r="QKQ9"/>
      <c r="QKR9"/>
      <c r="QKS9"/>
      <c r="QKT9"/>
      <c r="QKU9"/>
      <c r="QKV9"/>
      <c r="QKW9"/>
      <c r="QKX9"/>
      <c r="QKY9"/>
      <c r="QKZ9"/>
      <c r="QLA9"/>
      <c r="QLB9"/>
      <c r="QLC9"/>
      <c r="QLD9"/>
      <c r="QLE9"/>
      <c r="QLF9"/>
      <c r="QLG9"/>
      <c r="QLH9"/>
      <c r="QLI9"/>
      <c r="QLJ9"/>
      <c r="QLK9"/>
      <c r="QLL9"/>
      <c r="QLM9"/>
      <c r="QLN9"/>
      <c r="QLO9"/>
      <c r="QLP9"/>
      <c r="QLQ9"/>
      <c r="QLR9"/>
      <c r="QLS9"/>
      <c r="QLT9"/>
      <c r="QLU9"/>
      <c r="QLV9"/>
      <c r="QLW9"/>
      <c r="QLX9"/>
      <c r="QLY9"/>
      <c r="QLZ9"/>
      <c r="QMA9"/>
      <c r="QMB9"/>
      <c r="QMC9"/>
      <c r="QMD9"/>
      <c r="QME9"/>
      <c r="QMF9"/>
      <c r="QMG9"/>
      <c r="QMH9"/>
      <c r="QMI9"/>
      <c r="QMJ9"/>
      <c r="QMK9"/>
      <c r="QML9"/>
      <c r="QMM9"/>
      <c r="QMN9"/>
      <c r="QMO9"/>
      <c r="QMP9"/>
      <c r="QMQ9"/>
      <c r="QMR9"/>
      <c r="QMS9"/>
      <c r="QMT9"/>
      <c r="QMU9"/>
      <c r="QMV9"/>
      <c r="QMW9"/>
      <c r="QMX9"/>
      <c r="QMY9"/>
      <c r="QMZ9"/>
      <c r="QNA9"/>
      <c r="QNB9"/>
      <c r="QNC9"/>
      <c r="QND9"/>
      <c r="QNE9"/>
      <c r="QNF9"/>
      <c r="QNG9"/>
      <c r="QNH9"/>
      <c r="QNI9"/>
      <c r="QNJ9"/>
      <c r="QNK9"/>
      <c r="QNL9"/>
      <c r="QNM9"/>
      <c r="QNN9"/>
      <c r="QNO9"/>
      <c r="QNP9"/>
      <c r="QNQ9"/>
      <c r="QNR9"/>
      <c r="QNS9"/>
      <c r="QNT9"/>
      <c r="QNU9"/>
      <c r="QNV9"/>
      <c r="QNW9"/>
      <c r="QNX9"/>
      <c r="QNY9"/>
      <c r="QNZ9"/>
      <c r="QOA9"/>
      <c r="QOB9"/>
      <c r="QOC9"/>
      <c r="QOD9"/>
      <c r="QOE9"/>
      <c r="QOF9"/>
      <c r="QOG9"/>
      <c r="QOH9"/>
      <c r="QOI9"/>
      <c r="QOJ9"/>
      <c r="QOK9"/>
      <c r="QOL9"/>
      <c r="QOM9"/>
      <c r="QON9"/>
      <c r="QOO9"/>
      <c r="QOP9"/>
      <c r="QOQ9"/>
      <c r="QOR9"/>
      <c r="QOS9"/>
      <c r="QOT9"/>
      <c r="QOU9"/>
      <c r="QOV9"/>
      <c r="QOW9"/>
      <c r="QOX9"/>
      <c r="QOY9"/>
      <c r="QOZ9"/>
      <c r="QPA9"/>
      <c r="QPB9"/>
      <c r="QPC9"/>
      <c r="QPD9"/>
      <c r="QPE9"/>
      <c r="QPF9"/>
      <c r="QPG9"/>
      <c r="QPH9"/>
      <c r="QPI9"/>
      <c r="QPJ9"/>
      <c r="QPK9"/>
      <c r="QPL9"/>
      <c r="QPM9"/>
      <c r="QPN9"/>
      <c r="QPO9"/>
      <c r="QPP9"/>
      <c r="QPQ9"/>
      <c r="QPR9"/>
      <c r="QPS9"/>
      <c r="QPT9"/>
      <c r="QPU9"/>
      <c r="QPV9"/>
      <c r="QPW9"/>
      <c r="QPX9"/>
      <c r="QPY9"/>
      <c r="QPZ9"/>
      <c r="QQA9"/>
      <c r="QQB9"/>
      <c r="QQC9"/>
      <c r="QQD9"/>
      <c r="QQE9"/>
      <c r="QQF9"/>
      <c r="QQG9"/>
      <c r="QQH9"/>
      <c r="QQI9"/>
      <c r="QQJ9"/>
      <c r="QQK9"/>
      <c r="QQL9"/>
      <c r="QQM9"/>
      <c r="QQN9"/>
      <c r="QQO9"/>
      <c r="QQP9"/>
      <c r="QQQ9"/>
      <c r="QQR9"/>
      <c r="QQS9"/>
      <c r="QQT9"/>
      <c r="QQU9"/>
      <c r="QQV9"/>
      <c r="QQW9"/>
      <c r="QQX9"/>
      <c r="QQY9"/>
      <c r="QQZ9"/>
      <c r="QRA9"/>
      <c r="QRB9"/>
      <c r="QRC9"/>
      <c r="QRD9"/>
      <c r="QRE9"/>
      <c r="QRF9"/>
      <c r="QRG9"/>
      <c r="QRH9"/>
      <c r="QRI9"/>
      <c r="QRJ9"/>
      <c r="QRK9"/>
      <c r="QRL9"/>
      <c r="QRM9"/>
      <c r="QRN9"/>
      <c r="QRO9"/>
      <c r="QRP9"/>
      <c r="QRQ9"/>
      <c r="QRR9"/>
      <c r="QRS9"/>
      <c r="QRT9"/>
      <c r="QRU9"/>
      <c r="QRV9"/>
      <c r="QRW9"/>
      <c r="QRX9"/>
      <c r="QRY9"/>
      <c r="QRZ9"/>
      <c r="QSA9"/>
      <c r="QSB9"/>
      <c r="QSC9"/>
      <c r="QSD9"/>
      <c r="QSE9"/>
      <c r="QSF9"/>
      <c r="QSG9"/>
      <c r="QSH9"/>
      <c r="QSI9"/>
      <c r="QSJ9"/>
      <c r="QSK9"/>
      <c r="QSL9"/>
      <c r="QSM9"/>
      <c r="QSN9"/>
      <c r="QSO9"/>
      <c r="QSP9"/>
      <c r="QSQ9"/>
      <c r="QSR9"/>
      <c r="QSS9"/>
      <c r="QST9"/>
      <c r="QSU9"/>
      <c r="QSV9"/>
      <c r="QSW9"/>
      <c r="QSX9"/>
      <c r="QSY9"/>
      <c r="QSZ9"/>
      <c r="QTA9"/>
      <c r="QTB9"/>
      <c r="QTC9"/>
      <c r="QTD9"/>
      <c r="QTE9"/>
      <c r="QTF9"/>
      <c r="QTG9"/>
      <c r="QTH9"/>
      <c r="QTI9"/>
      <c r="QTJ9"/>
      <c r="QTK9"/>
      <c r="QTL9"/>
      <c r="QTM9"/>
      <c r="QTN9"/>
      <c r="QTO9"/>
      <c r="QTP9"/>
      <c r="QTQ9"/>
      <c r="QTR9"/>
      <c r="QTS9"/>
      <c r="QTT9"/>
      <c r="QTU9"/>
      <c r="QTV9"/>
      <c r="QTW9"/>
      <c r="QTX9"/>
      <c r="QTY9"/>
      <c r="QTZ9"/>
      <c r="QUA9"/>
      <c r="QUB9"/>
      <c r="QUC9"/>
      <c r="QUD9"/>
      <c r="QUE9"/>
      <c r="QUF9"/>
      <c r="QUG9"/>
      <c r="QUH9"/>
      <c r="QUI9"/>
      <c r="QUJ9"/>
      <c r="QUK9"/>
      <c r="QUL9"/>
      <c r="QUM9"/>
      <c r="QUN9"/>
      <c r="QUO9"/>
      <c r="QUP9"/>
      <c r="QUQ9"/>
      <c r="QUR9"/>
      <c r="QUS9"/>
      <c r="QUT9"/>
      <c r="QUU9"/>
      <c r="QUV9"/>
      <c r="QUW9"/>
      <c r="QUX9"/>
      <c r="QUY9"/>
      <c r="QUZ9"/>
      <c r="QVA9"/>
      <c r="QVB9"/>
      <c r="QVC9"/>
      <c r="QVD9"/>
      <c r="QVE9"/>
      <c r="QVF9"/>
      <c r="QVG9"/>
      <c r="QVH9"/>
      <c r="QVI9"/>
      <c r="QVJ9"/>
      <c r="QVK9"/>
      <c r="QVL9"/>
      <c r="QVM9"/>
      <c r="QVN9"/>
      <c r="QVO9"/>
      <c r="QVP9"/>
      <c r="QVQ9"/>
      <c r="QVR9"/>
      <c r="QVS9"/>
      <c r="QVT9"/>
      <c r="QVU9"/>
      <c r="QVV9"/>
      <c r="QVW9"/>
      <c r="QVX9"/>
      <c r="QVY9"/>
      <c r="QVZ9"/>
      <c r="QWA9"/>
      <c r="QWB9"/>
      <c r="QWC9"/>
      <c r="QWD9"/>
      <c r="QWE9"/>
      <c r="QWF9"/>
      <c r="QWG9"/>
      <c r="QWH9"/>
      <c r="QWI9"/>
      <c r="QWJ9"/>
      <c r="QWK9"/>
      <c r="QWL9"/>
      <c r="QWM9"/>
      <c r="QWN9"/>
      <c r="QWO9"/>
      <c r="QWP9"/>
      <c r="QWQ9"/>
      <c r="QWR9"/>
      <c r="QWS9"/>
      <c r="QWT9"/>
      <c r="QWU9"/>
      <c r="QWV9"/>
      <c r="QWW9"/>
      <c r="QWX9"/>
      <c r="QWY9"/>
      <c r="QWZ9"/>
      <c r="QXA9"/>
      <c r="QXB9"/>
      <c r="QXC9"/>
      <c r="QXD9"/>
      <c r="QXE9"/>
      <c r="QXF9"/>
      <c r="QXG9"/>
      <c r="QXH9"/>
      <c r="QXI9"/>
      <c r="QXJ9"/>
      <c r="QXK9"/>
      <c r="QXL9"/>
      <c r="QXM9"/>
      <c r="QXN9"/>
      <c r="QXO9"/>
      <c r="QXP9"/>
      <c r="QXQ9"/>
      <c r="QXR9"/>
      <c r="QXS9"/>
      <c r="QXT9"/>
      <c r="QXU9"/>
      <c r="QXV9"/>
      <c r="QXW9"/>
      <c r="QXX9"/>
      <c r="QXY9"/>
      <c r="QXZ9"/>
      <c r="QYA9"/>
      <c r="QYB9"/>
      <c r="QYC9"/>
      <c r="QYD9"/>
      <c r="QYE9"/>
      <c r="QYF9"/>
      <c r="QYG9"/>
      <c r="QYH9"/>
      <c r="QYI9"/>
      <c r="QYJ9"/>
      <c r="QYK9"/>
      <c r="QYL9"/>
      <c r="QYM9"/>
      <c r="QYN9"/>
      <c r="QYO9"/>
      <c r="QYP9"/>
      <c r="QYQ9"/>
      <c r="QYR9"/>
      <c r="QYS9"/>
      <c r="QYT9"/>
      <c r="QYU9"/>
      <c r="QYV9"/>
      <c r="QYW9"/>
      <c r="QYX9"/>
      <c r="QYY9"/>
      <c r="QYZ9"/>
      <c r="QZA9"/>
      <c r="QZB9"/>
      <c r="QZC9"/>
      <c r="QZD9"/>
      <c r="QZE9"/>
      <c r="QZF9"/>
      <c r="QZG9"/>
      <c r="QZH9"/>
      <c r="QZI9"/>
      <c r="QZJ9"/>
      <c r="QZK9"/>
      <c r="QZL9"/>
      <c r="QZM9"/>
      <c r="QZN9"/>
      <c r="QZO9"/>
      <c r="QZP9"/>
      <c r="QZQ9"/>
      <c r="QZR9"/>
      <c r="QZS9"/>
      <c r="QZT9"/>
      <c r="QZU9"/>
      <c r="QZV9"/>
      <c r="QZW9"/>
      <c r="QZX9"/>
      <c r="QZY9"/>
      <c r="QZZ9"/>
      <c r="RAA9"/>
      <c r="RAB9"/>
      <c r="RAC9"/>
      <c r="RAD9"/>
      <c r="RAE9"/>
      <c r="RAF9"/>
      <c r="RAG9"/>
      <c r="RAH9"/>
      <c r="RAI9"/>
      <c r="RAJ9"/>
      <c r="RAK9"/>
      <c r="RAL9"/>
      <c r="RAM9"/>
      <c r="RAN9"/>
      <c r="RAO9"/>
      <c r="RAP9"/>
      <c r="RAQ9"/>
      <c r="RAR9"/>
      <c r="RAS9"/>
      <c r="RAT9"/>
      <c r="RAU9"/>
      <c r="RAV9"/>
      <c r="RAW9"/>
      <c r="RAX9"/>
      <c r="RAY9"/>
      <c r="RAZ9"/>
      <c r="RBA9"/>
      <c r="RBB9"/>
      <c r="RBC9"/>
      <c r="RBD9"/>
      <c r="RBE9"/>
      <c r="RBF9"/>
      <c r="RBG9"/>
      <c r="RBH9"/>
      <c r="RBI9"/>
      <c r="RBJ9"/>
      <c r="RBK9"/>
      <c r="RBL9"/>
      <c r="RBM9"/>
      <c r="RBN9"/>
      <c r="RBO9"/>
      <c r="RBP9"/>
      <c r="RBQ9"/>
      <c r="RBR9"/>
      <c r="RBS9"/>
      <c r="RBT9"/>
      <c r="RBU9"/>
      <c r="RBV9"/>
      <c r="RBW9"/>
      <c r="RBX9"/>
      <c r="RBY9"/>
      <c r="RBZ9"/>
      <c r="RCA9"/>
      <c r="RCB9"/>
      <c r="RCC9"/>
      <c r="RCD9"/>
      <c r="RCE9"/>
      <c r="RCF9"/>
      <c r="RCG9"/>
      <c r="RCH9"/>
      <c r="RCI9"/>
      <c r="RCJ9"/>
      <c r="RCK9"/>
      <c r="RCL9"/>
      <c r="RCM9"/>
      <c r="RCN9"/>
      <c r="RCO9"/>
      <c r="RCP9"/>
      <c r="RCQ9"/>
      <c r="RCR9"/>
      <c r="RCS9"/>
      <c r="RCT9"/>
      <c r="RCU9"/>
      <c r="RCV9"/>
      <c r="RCW9"/>
      <c r="RCX9"/>
      <c r="RCY9"/>
      <c r="RCZ9"/>
      <c r="RDA9"/>
      <c r="RDB9"/>
      <c r="RDC9"/>
      <c r="RDD9"/>
      <c r="RDE9"/>
      <c r="RDF9"/>
      <c r="RDG9"/>
      <c r="RDH9"/>
      <c r="RDI9"/>
      <c r="RDJ9"/>
      <c r="RDK9"/>
      <c r="RDL9"/>
      <c r="RDM9"/>
      <c r="RDN9"/>
      <c r="RDO9"/>
      <c r="RDP9"/>
      <c r="RDQ9"/>
      <c r="RDR9"/>
      <c r="RDS9"/>
      <c r="RDT9"/>
      <c r="RDU9"/>
      <c r="RDV9"/>
      <c r="RDW9"/>
      <c r="RDX9"/>
      <c r="RDY9"/>
      <c r="RDZ9"/>
      <c r="REA9"/>
      <c r="REB9"/>
      <c r="REC9"/>
      <c r="RED9"/>
      <c r="REE9"/>
      <c r="REF9"/>
      <c r="REG9"/>
      <c r="REH9"/>
      <c r="REI9"/>
      <c r="REJ9"/>
      <c r="REK9"/>
      <c r="REL9"/>
      <c r="REM9"/>
      <c r="REN9"/>
      <c r="REO9"/>
      <c r="REP9"/>
      <c r="REQ9"/>
      <c r="RER9"/>
      <c r="RES9"/>
      <c r="RET9"/>
      <c r="REU9"/>
      <c r="REV9"/>
      <c r="REW9"/>
      <c r="REX9"/>
      <c r="REY9"/>
      <c r="REZ9"/>
      <c r="RFA9"/>
      <c r="RFB9"/>
      <c r="RFC9"/>
      <c r="RFD9"/>
      <c r="RFE9"/>
      <c r="RFF9"/>
      <c r="RFG9"/>
      <c r="RFH9"/>
      <c r="RFI9"/>
      <c r="RFJ9"/>
      <c r="RFK9"/>
      <c r="RFL9"/>
      <c r="RFM9"/>
      <c r="RFN9"/>
      <c r="RFO9"/>
      <c r="RFP9"/>
      <c r="RFQ9"/>
      <c r="RFR9"/>
      <c r="RFS9"/>
      <c r="RFT9"/>
      <c r="RFU9"/>
      <c r="RFV9"/>
      <c r="RFW9"/>
      <c r="RFX9"/>
      <c r="RFY9"/>
      <c r="RFZ9"/>
      <c r="RGA9"/>
      <c r="RGB9"/>
      <c r="RGC9"/>
      <c r="RGD9"/>
      <c r="RGE9"/>
      <c r="RGF9"/>
      <c r="RGG9"/>
      <c r="RGH9"/>
      <c r="RGI9"/>
      <c r="RGJ9"/>
      <c r="RGK9"/>
      <c r="RGL9"/>
      <c r="RGM9"/>
      <c r="RGN9"/>
      <c r="RGO9"/>
      <c r="RGP9"/>
      <c r="RGQ9"/>
      <c r="RGR9"/>
      <c r="RGS9"/>
      <c r="RGT9"/>
      <c r="RGU9"/>
      <c r="RGV9"/>
      <c r="RGW9"/>
      <c r="RGX9"/>
      <c r="RGY9"/>
      <c r="RGZ9"/>
      <c r="RHA9"/>
      <c r="RHB9"/>
      <c r="RHC9"/>
      <c r="RHD9"/>
      <c r="RHE9"/>
      <c r="RHF9"/>
      <c r="RHG9"/>
      <c r="RHH9"/>
      <c r="RHI9"/>
      <c r="RHJ9"/>
      <c r="RHK9"/>
      <c r="RHL9"/>
      <c r="RHM9"/>
      <c r="RHN9"/>
      <c r="RHO9"/>
      <c r="RHP9"/>
      <c r="RHQ9"/>
      <c r="RHR9"/>
      <c r="RHS9"/>
      <c r="RHT9"/>
      <c r="RHU9"/>
      <c r="RHV9"/>
      <c r="RHW9"/>
      <c r="RHX9"/>
      <c r="RHY9"/>
      <c r="RHZ9"/>
      <c r="RIA9"/>
      <c r="RIB9"/>
      <c r="RIC9"/>
      <c r="RID9"/>
      <c r="RIE9"/>
      <c r="RIF9"/>
      <c r="RIG9"/>
      <c r="RIH9"/>
      <c r="RII9"/>
      <c r="RIJ9"/>
      <c r="RIK9"/>
      <c r="RIL9"/>
      <c r="RIM9"/>
      <c r="RIN9"/>
      <c r="RIO9"/>
      <c r="RIP9"/>
      <c r="RIQ9"/>
      <c r="RIR9"/>
      <c r="RIS9"/>
      <c r="RIT9"/>
      <c r="RIU9"/>
      <c r="RIV9"/>
      <c r="RIW9"/>
      <c r="RIX9"/>
      <c r="RIY9"/>
      <c r="RIZ9"/>
      <c r="RJA9"/>
      <c r="RJB9"/>
      <c r="RJC9"/>
      <c r="RJD9"/>
      <c r="RJE9"/>
      <c r="RJF9"/>
      <c r="RJG9"/>
      <c r="RJH9"/>
      <c r="RJI9"/>
      <c r="RJJ9"/>
      <c r="RJK9"/>
      <c r="RJL9"/>
      <c r="RJM9"/>
      <c r="RJN9"/>
      <c r="RJO9"/>
      <c r="RJP9"/>
      <c r="RJQ9"/>
      <c r="RJR9"/>
      <c r="RJS9"/>
      <c r="RJT9"/>
      <c r="RJU9"/>
      <c r="RJV9"/>
      <c r="RJW9"/>
      <c r="RJX9"/>
      <c r="RJY9"/>
      <c r="RJZ9"/>
      <c r="RKA9"/>
      <c r="RKB9"/>
      <c r="RKC9"/>
      <c r="RKD9"/>
      <c r="RKE9"/>
      <c r="RKF9"/>
      <c r="RKG9"/>
      <c r="RKH9"/>
      <c r="RKI9"/>
      <c r="RKJ9"/>
      <c r="RKK9"/>
      <c r="RKL9"/>
      <c r="RKM9"/>
      <c r="RKN9"/>
      <c r="RKO9"/>
      <c r="RKP9"/>
      <c r="RKQ9"/>
      <c r="RKR9"/>
      <c r="RKS9"/>
      <c r="RKT9"/>
      <c r="RKU9"/>
      <c r="RKV9"/>
      <c r="RKW9"/>
      <c r="RKX9"/>
      <c r="RKY9"/>
      <c r="RKZ9"/>
      <c r="RLA9"/>
      <c r="RLB9"/>
      <c r="RLC9"/>
      <c r="RLD9"/>
      <c r="RLE9"/>
      <c r="RLF9"/>
      <c r="RLG9"/>
      <c r="RLH9"/>
      <c r="RLI9"/>
      <c r="RLJ9"/>
      <c r="RLK9"/>
      <c r="RLL9"/>
      <c r="RLM9"/>
      <c r="RLN9"/>
      <c r="RLO9"/>
      <c r="RLP9"/>
      <c r="RLQ9"/>
      <c r="RLR9"/>
      <c r="RLS9"/>
      <c r="RLT9"/>
      <c r="RLU9"/>
      <c r="RLV9"/>
      <c r="RLW9"/>
      <c r="RLX9"/>
      <c r="RLY9"/>
      <c r="RLZ9"/>
      <c r="RMA9"/>
      <c r="RMB9"/>
      <c r="RMC9"/>
      <c r="RMD9"/>
      <c r="RME9"/>
      <c r="RMF9"/>
      <c r="RMG9"/>
      <c r="RMH9"/>
      <c r="RMI9"/>
      <c r="RMJ9"/>
      <c r="RMK9"/>
      <c r="RML9"/>
      <c r="RMM9"/>
      <c r="RMN9"/>
      <c r="RMO9"/>
      <c r="RMP9"/>
      <c r="RMQ9"/>
      <c r="RMR9"/>
      <c r="RMS9"/>
      <c r="RMT9"/>
      <c r="RMU9"/>
      <c r="RMV9"/>
      <c r="RMW9"/>
      <c r="RMX9"/>
      <c r="RMY9"/>
      <c r="RMZ9"/>
      <c r="RNA9"/>
      <c r="RNB9"/>
      <c r="RNC9"/>
      <c r="RND9"/>
      <c r="RNE9"/>
      <c r="RNF9"/>
      <c r="RNG9"/>
      <c r="RNH9"/>
      <c r="RNI9"/>
      <c r="RNJ9"/>
      <c r="RNK9"/>
      <c r="RNL9"/>
      <c r="RNM9"/>
      <c r="RNN9"/>
      <c r="RNO9"/>
      <c r="RNP9"/>
      <c r="RNQ9"/>
      <c r="RNR9"/>
      <c r="RNS9"/>
      <c r="RNT9"/>
      <c r="RNU9"/>
      <c r="RNV9"/>
      <c r="RNW9"/>
      <c r="RNX9"/>
      <c r="RNY9"/>
      <c r="RNZ9"/>
      <c r="ROA9"/>
      <c r="ROB9"/>
      <c r="ROC9"/>
      <c r="ROD9"/>
      <c r="ROE9"/>
      <c r="ROF9"/>
      <c r="ROG9"/>
      <c r="ROH9"/>
      <c r="ROI9"/>
      <c r="ROJ9"/>
      <c r="ROK9"/>
      <c r="ROL9"/>
      <c r="ROM9"/>
      <c r="RON9"/>
      <c r="ROO9"/>
      <c r="ROP9"/>
      <c r="ROQ9"/>
      <c r="ROR9"/>
      <c r="ROS9"/>
      <c r="ROT9"/>
      <c r="ROU9"/>
      <c r="ROV9"/>
      <c r="ROW9"/>
      <c r="ROX9"/>
      <c r="ROY9"/>
      <c r="ROZ9"/>
      <c r="RPA9"/>
      <c r="RPB9"/>
      <c r="RPC9"/>
      <c r="RPD9"/>
      <c r="RPE9"/>
      <c r="RPF9"/>
      <c r="RPG9"/>
      <c r="RPH9"/>
      <c r="RPI9"/>
      <c r="RPJ9"/>
      <c r="RPK9"/>
      <c r="RPL9"/>
      <c r="RPM9"/>
      <c r="RPN9"/>
      <c r="RPO9"/>
      <c r="RPP9"/>
      <c r="RPQ9"/>
      <c r="RPR9"/>
      <c r="RPS9"/>
      <c r="RPT9"/>
      <c r="RPU9"/>
      <c r="RPV9"/>
      <c r="RPW9"/>
      <c r="RPX9"/>
      <c r="RPY9"/>
      <c r="RPZ9"/>
      <c r="RQA9"/>
      <c r="RQB9"/>
      <c r="RQC9"/>
      <c r="RQD9"/>
      <c r="RQE9"/>
      <c r="RQF9"/>
      <c r="RQG9"/>
      <c r="RQH9"/>
      <c r="RQI9"/>
      <c r="RQJ9"/>
      <c r="RQK9"/>
      <c r="RQL9"/>
      <c r="RQM9"/>
      <c r="RQN9"/>
      <c r="RQO9"/>
      <c r="RQP9"/>
      <c r="RQQ9"/>
      <c r="RQR9"/>
      <c r="RQS9"/>
      <c r="RQT9"/>
      <c r="RQU9"/>
      <c r="RQV9"/>
      <c r="RQW9"/>
      <c r="RQX9"/>
      <c r="RQY9"/>
      <c r="RQZ9"/>
      <c r="RRA9"/>
      <c r="RRB9"/>
      <c r="RRC9"/>
      <c r="RRD9"/>
      <c r="RRE9"/>
      <c r="RRF9"/>
      <c r="RRG9"/>
      <c r="RRH9"/>
      <c r="RRI9"/>
      <c r="RRJ9"/>
      <c r="RRK9"/>
      <c r="RRL9"/>
      <c r="RRM9"/>
      <c r="RRN9"/>
      <c r="RRO9"/>
      <c r="RRP9"/>
      <c r="RRQ9"/>
      <c r="RRR9"/>
      <c r="RRS9"/>
      <c r="RRT9"/>
      <c r="RRU9"/>
      <c r="RRV9"/>
      <c r="RRW9"/>
      <c r="RRX9"/>
      <c r="RRY9"/>
      <c r="RRZ9"/>
      <c r="RSA9"/>
      <c r="RSB9"/>
      <c r="RSC9"/>
      <c r="RSD9"/>
      <c r="RSE9"/>
      <c r="RSF9"/>
      <c r="RSG9"/>
      <c r="RSH9"/>
      <c r="RSI9"/>
      <c r="RSJ9"/>
      <c r="RSK9"/>
      <c r="RSL9"/>
      <c r="RSM9"/>
      <c r="RSN9"/>
      <c r="RSO9"/>
      <c r="RSP9"/>
      <c r="RSQ9"/>
      <c r="RSR9"/>
      <c r="RSS9"/>
      <c r="RST9"/>
      <c r="RSU9"/>
      <c r="RSV9"/>
      <c r="RSW9"/>
      <c r="RSX9"/>
      <c r="RSY9"/>
      <c r="RSZ9"/>
      <c r="RTA9"/>
      <c r="RTB9"/>
      <c r="RTC9"/>
      <c r="RTD9"/>
      <c r="RTE9"/>
      <c r="RTF9"/>
      <c r="RTG9"/>
      <c r="RTH9"/>
      <c r="RTI9"/>
      <c r="RTJ9"/>
      <c r="RTK9"/>
      <c r="RTL9"/>
      <c r="RTM9"/>
      <c r="RTN9"/>
      <c r="RTO9"/>
      <c r="RTP9"/>
      <c r="RTQ9"/>
      <c r="RTR9"/>
      <c r="RTS9"/>
      <c r="RTT9"/>
      <c r="RTU9"/>
      <c r="RTV9"/>
      <c r="RTW9"/>
      <c r="RTX9"/>
      <c r="RTY9"/>
      <c r="RTZ9"/>
      <c r="RUA9"/>
      <c r="RUB9"/>
      <c r="RUC9"/>
      <c r="RUD9"/>
      <c r="RUE9"/>
      <c r="RUF9"/>
      <c r="RUG9"/>
      <c r="RUH9"/>
      <c r="RUI9"/>
      <c r="RUJ9"/>
      <c r="RUK9"/>
      <c r="RUL9"/>
      <c r="RUM9"/>
      <c r="RUN9"/>
      <c r="RUO9"/>
      <c r="RUP9"/>
      <c r="RUQ9"/>
      <c r="RUR9"/>
      <c r="RUS9"/>
      <c r="RUT9"/>
      <c r="RUU9"/>
      <c r="RUV9"/>
      <c r="RUW9"/>
      <c r="RUX9"/>
      <c r="RUY9"/>
      <c r="RUZ9"/>
      <c r="RVA9"/>
      <c r="RVB9"/>
      <c r="RVC9"/>
      <c r="RVD9"/>
      <c r="RVE9"/>
      <c r="RVF9"/>
      <c r="RVG9"/>
      <c r="RVH9"/>
      <c r="RVI9"/>
      <c r="RVJ9"/>
      <c r="RVK9"/>
      <c r="RVL9"/>
      <c r="RVM9"/>
      <c r="RVN9"/>
      <c r="RVO9"/>
      <c r="RVP9"/>
      <c r="RVQ9"/>
      <c r="RVR9"/>
      <c r="RVS9"/>
      <c r="RVT9"/>
      <c r="RVU9"/>
      <c r="RVV9"/>
      <c r="RVW9"/>
      <c r="RVX9"/>
      <c r="RVY9"/>
      <c r="RVZ9"/>
      <c r="RWA9"/>
      <c r="RWB9"/>
      <c r="RWC9"/>
      <c r="RWD9"/>
      <c r="RWE9"/>
      <c r="RWF9"/>
      <c r="RWG9"/>
      <c r="RWH9"/>
      <c r="RWI9"/>
      <c r="RWJ9"/>
      <c r="RWK9"/>
      <c r="RWL9"/>
      <c r="RWM9"/>
      <c r="RWN9"/>
      <c r="RWO9"/>
      <c r="RWP9"/>
      <c r="RWQ9"/>
      <c r="RWR9"/>
      <c r="RWS9"/>
      <c r="RWT9"/>
      <c r="RWU9"/>
      <c r="RWV9"/>
      <c r="RWW9"/>
      <c r="RWX9"/>
      <c r="RWY9"/>
      <c r="RWZ9"/>
      <c r="RXA9"/>
      <c r="RXB9"/>
      <c r="RXC9"/>
      <c r="RXD9"/>
      <c r="RXE9"/>
      <c r="RXF9"/>
      <c r="RXG9"/>
      <c r="RXH9"/>
      <c r="RXI9"/>
      <c r="RXJ9"/>
      <c r="RXK9"/>
      <c r="RXL9"/>
      <c r="RXM9"/>
      <c r="RXN9"/>
      <c r="RXO9"/>
      <c r="RXP9"/>
      <c r="RXQ9"/>
      <c r="RXR9"/>
      <c r="RXS9"/>
      <c r="RXT9"/>
      <c r="RXU9"/>
      <c r="RXV9"/>
      <c r="RXW9"/>
      <c r="RXX9"/>
      <c r="RXY9"/>
      <c r="RXZ9"/>
      <c r="RYA9"/>
      <c r="RYB9"/>
      <c r="RYC9"/>
      <c r="RYD9"/>
      <c r="RYE9"/>
      <c r="RYF9"/>
      <c r="RYG9"/>
      <c r="RYH9"/>
      <c r="RYI9"/>
      <c r="RYJ9"/>
      <c r="RYK9"/>
      <c r="RYL9"/>
      <c r="RYM9"/>
      <c r="RYN9"/>
      <c r="RYO9"/>
      <c r="RYP9"/>
      <c r="RYQ9"/>
      <c r="RYR9"/>
      <c r="RYS9"/>
      <c r="RYT9"/>
      <c r="RYU9"/>
      <c r="RYV9"/>
      <c r="RYW9"/>
      <c r="RYX9"/>
      <c r="RYY9"/>
      <c r="RYZ9"/>
      <c r="RZA9"/>
      <c r="RZB9"/>
      <c r="RZC9"/>
      <c r="RZD9"/>
      <c r="RZE9"/>
      <c r="RZF9"/>
      <c r="RZG9"/>
      <c r="RZH9"/>
      <c r="RZI9"/>
      <c r="RZJ9"/>
      <c r="RZK9"/>
      <c r="RZL9"/>
      <c r="RZM9"/>
      <c r="RZN9"/>
      <c r="RZO9"/>
      <c r="RZP9"/>
      <c r="RZQ9"/>
      <c r="RZR9"/>
      <c r="RZS9"/>
      <c r="RZT9"/>
      <c r="RZU9"/>
      <c r="RZV9"/>
      <c r="RZW9"/>
      <c r="RZX9"/>
      <c r="RZY9"/>
      <c r="RZZ9"/>
      <c r="SAA9"/>
      <c r="SAB9"/>
      <c r="SAC9"/>
      <c r="SAD9"/>
      <c r="SAE9"/>
      <c r="SAF9"/>
      <c r="SAG9"/>
      <c r="SAH9"/>
      <c r="SAI9"/>
      <c r="SAJ9"/>
      <c r="SAK9"/>
      <c r="SAL9"/>
      <c r="SAM9"/>
      <c r="SAN9"/>
      <c r="SAO9"/>
      <c r="SAP9"/>
      <c r="SAQ9"/>
      <c r="SAR9"/>
      <c r="SAS9"/>
      <c r="SAT9"/>
      <c r="SAU9"/>
      <c r="SAV9"/>
      <c r="SAW9"/>
      <c r="SAX9"/>
      <c r="SAY9"/>
      <c r="SAZ9"/>
      <c r="SBA9"/>
      <c r="SBB9"/>
      <c r="SBC9"/>
      <c r="SBD9"/>
      <c r="SBE9"/>
      <c r="SBF9"/>
      <c r="SBG9"/>
      <c r="SBH9"/>
      <c r="SBI9"/>
      <c r="SBJ9"/>
      <c r="SBK9"/>
      <c r="SBL9"/>
      <c r="SBM9"/>
      <c r="SBN9"/>
      <c r="SBO9"/>
      <c r="SBP9"/>
      <c r="SBQ9"/>
      <c r="SBR9"/>
      <c r="SBS9"/>
      <c r="SBT9"/>
      <c r="SBU9"/>
      <c r="SBV9"/>
      <c r="SBW9"/>
      <c r="SBX9"/>
      <c r="SBY9"/>
      <c r="SBZ9"/>
      <c r="SCA9"/>
      <c r="SCB9"/>
      <c r="SCC9"/>
      <c r="SCD9"/>
      <c r="SCE9"/>
      <c r="SCF9"/>
      <c r="SCG9"/>
      <c r="SCH9"/>
      <c r="SCI9"/>
      <c r="SCJ9"/>
      <c r="SCK9"/>
      <c r="SCL9"/>
      <c r="SCM9"/>
      <c r="SCN9"/>
      <c r="SCO9"/>
      <c r="SCP9"/>
      <c r="SCQ9"/>
      <c r="SCR9"/>
      <c r="SCS9"/>
      <c r="SCT9"/>
      <c r="SCU9"/>
      <c r="SCV9"/>
      <c r="SCW9"/>
      <c r="SCX9"/>
      <c r="SCY9"/>
      <c r="SCZ9"/>
      <c r="SDA9"/>
      <c r="SDB9"/>
      <c r="SDC9"/>
      <c r="SDD9"/>
      <c r="SDE9"/>
      <c r="SDF9"/>
      <c r="SDG9"/>
      <c r="SDH9"/>
      <c r="SDI9"/>
      <c r="SDJ9"/>
      <c r="SDK9"/>
      <c r="SDL9"/>
      <c r="SDM9"/>
      <c r="SDN9"/>
      <c r="SDO9"/>
      <c r="SDP9"/>
      <c r="SDQ9"/>
      <c r="SDR9"/>
      <c r="SDS9"/>
      <c r="SDT9"/>
      <c r="SDU9"/>
      <c r="SDV9"/>
      <c r="SDW9"/>
      <c r="SDX9"/>
      <c r="SDY9"/>
      <c r="SDZ9"/>
      <c r="SEA9"/>
      <c r="SEB9"/>
      <c r="SEC9"/>
      <c r="SED9"/>
      <c r="SEE9"/>
      <c r="SEF9"/>
      <c r="SEG9"/>
      <c r="SEH9"/>
      <c r="SEI9"/>
      <c r="SEJ9"/>
      <c r="SEK9"/>
      <c r="SEL9"/>
      <c r="SEM9"/>
      <c r="SEN9"/>
      <c r="SEO9"/>
      <c r="SEP9"/>
      <c r="SEQ9"/>
      <c r="SER9"/>
      <c r="SES9"/>
      <c r="SET9"/>
      <c r="SEU9"/>
      <c r="SEV9"/>
      <c r="SEW9"/>
      <c r="SEX9"/>
      <c r="SEY9"/>
      <c r="SEZ9"/>
      <c r="SFA9"/>
      <c r="SFB9"/>
      <c r="SFC9"/>
      <c r="SFD9"/>
      <c r="SFE9"/>
      <c r="SFF9"/>
      <c r="SFG9"/>
      <c r="SFH9"/>
      <c r="SFI9"/>
      <c r="SFJ9"/>
      <c r="SFK9"/>
      <c r="SFL9"/>
      <c r="SFM9"/>
      <c r="SFN9"/>
      <c r="SFO9"/>
      <c r="SFP9"/>
      <c r="SFQ9"/>
      <c r="SFR9"/>
      <c r="SFS9"/>
      <c r="SFT9"/>
      <c r="SFU9"/>
      <c r="SFV9"/>
      <c r="SFW9"/>
      <c r="SFX9"/>
      <c r="SFY9"/>
      <c r="SFZ9"/>
      <c r="SGA9"/>
      <c r="SGB9"/>
      <c r="SGC9"/>
      <c r="SGD9"/>
      <c r="SGE9"/>
      <c r="SGF9"/>
      <c r="SGG9"/>
      <c r="SGH9"/>
      <c r="SGI9"/>
      <c r="SGJ9"/>
      <c r="SGK9"/>
      <c r="SGL9"/>
      <c r="SGM9"/>
      <c r="SGN9"/>
      <c r="SGO9"/>
      <c r="SGP9"/>
      <c r="SGQ9"/>
      <c r="SGR9"/>
      <c r="SGS9"/>
      <c r="SGT9"/>
      <c r="SGU9"/>
      <c r="SGV9"/>
      <c r="SGW9"/>
      <c r="SGX9"/>
      <c r="SGY9"/>
      <c r="SGZ9"/>
      <c r="SHA9"/>
      <c r="SHB9"/>
      <c r="SHC9"/>
      <c r="SHD9"/>
      <c r="SHE9"/>
      <c r="SHF9"/>
      <c r="SHG9"/>
      <c r="SHH9"/>
      <c r="SHI9"/>
      <c r="SHJ9"/>
      <c r="SHK9"/>
      <c r="SHL9"/>
      <c r="SHM9"/>
      <c r="SHN9"/>
      <c r="SHO9"/>
      <c r="SHP9"/>
      <c r="SHQ9"/>
      <c r="SHR9"/>
      <c r="SHS9"/>
      <c r="SHT9"/>
      <c r="SHU9"/>
      <c r="SHV9"/>
      <c r="SHW9"/>
      <c r="SHX9"/>
      <c r="SHY9"/>
      <c r="SHZ9"/>
      <c r="SIA9"/>
      <c r="SIB9"/>
      <c r="SIC9"/>
      <c r="SID9"/>
      <c r="SIE9"/>
      <c r="SIF9"/>
      <c r="SIG9"/>
      <c r="SIH9"/>
      <c r="SII9"/>
      <c r="SIJ9"/>
      <c r="SIK9"/>
      <c r="SIL9"/>
      <c r="SIM9"/>
      <c r="SIN9"/>
      <c r="SIO9"/>
      <c r="SIP9"/>
      <c r="SIQ9"/>
      <c r="SIR9"/>
      <c r="SIS9"/>
      <c r="SIT9"/>
      <c r="SIU9"/>
      <c r="SIV9"/>
      <c r="SIW9"/>
      <c r="SIX9"/>
      <c r="SIY9"/>
      <c r="SIZ9"/>
      <c r="SJA9"/>
      <c r="SJB9"/>
      <c r="SJC9"/>
      <c r="SJD9"/>
      <c r="SJE9"/>
      <c r="SJF9"/>
      <c r="SJG9"/>
      <c r="SJH9"/>
      <c r="SJI9"/>
      <c r="SJJ9"/>
      <c r="SJK9"/>
      <c r="SJL9"/>
      <c r="SJM9"/>
      <c r="SJN9"/>
      <c r="SJO9"/>
      <c r="SJP9"/>
      <c r="SJQ9"/>
      <c r="SJR9"/>
      <c r="SJS9"/>
      <c r="SJT9"/>
      <c r="SJU9"/>
      <c r="SJV9"/>
      <c r="SJW9"/>
      <c r="SJX9"/>
      <c r="SJY9"/>
      <c r="SJZ9"/>
      <c r="SKA9"/>
      <c r="SKB9"/>
      <c r="SKC9"/>
      <c r="SKD9"/>
      <c r="SKE9"/>
      <c r="SKF9"/>
      <c r="SKG9"/>
      <c r="SKH9"/>
      <c r="SKI9"/>
      <c r="SKJ9"/>
      <c r="SKK9"/>
      <c r="SKL9"/>
      <c r="SKM9"/>
      <c r="SKN9"/>
      <c r="SKO9"/>
      <c r="SKP9"/>
      <c r="SKQ9"/>
      <c r="SKR9"/>
      <c r="SKS9"/>
      <c r="SKT9"/>
      <c r="SKU9"/>
      <c r="SKV9"/>
      <c r="SKW9"/>
      <c r="SKX9"/>
      <c r="SKY9"/>
      <c r="SKZ9"/>
      <c r="SLA9"/>
      <c r="SLB9"/>
      <c r="SLC9"/>
      <c r="SLD9"/>
      <c r="SLE9"/>
      <c r="SLF9"/>
      <c r="SLG9"/>
      <c r="SLH9"/>
      <c r="SLI9"/>
      <c r="SLJ9"/>
      <c r="SLK9"/>
      <c r="SLL9"/>
      <c r="SLM9"/>
      <c r="SLN9"/>
      <c r="SLO9"/>
      <c r="SLP9"/>
      <c r="SLQ9"/>
      <c r="SLR9"/>
      <c r="SLS9"/>
      <c r="SLT9"/>
      <c r="SLU9"/>
      <c r="SLV9"/>
      <c r="SLW9"/>
      <c r="SLX9"/>
      <c r="SLY9"/>
      <c r="SLZ9"/>
      <c r="SMA9"/>
      <c r="SMB9"/>
      <c r="SMC9"/>
      <c r="SMD9"/>
      <c r="SME9"/>
      <c r="SMF9"/>
      <c r="SMG9"/>
      <c r="SMH9"/>
      <c r="SMI9"/>
      <c r="SMJ9"/>
      <c r="SMK9"/>
      <c r="SML9"/>
      <c r="SMM9"/>
      <c r="SMN9"/>
      <c r="SMO9"/>
      <c r="SMP9"/>
      <c r="SMQ9"/>
      <c r="SMR9"/>
      <c r="SMS9"/>
      <c r="SMT9"/>
      <c r="SMU9"/>
      <c r="SMV9"/>
      <c r="SMW9"/>
      <c r="SMX9"/>
      <c r="SMY9"/>
      <c r="SMZ9"/>
      <c r="SNA9"/>
      <c r="SNB9"/>
      <c r="SNC9"/>
      <c r="SND9"/>
      <c r="SNE9"/>
      <c r="SNF9"/>
      <c r="SNG9"/>
      <c r="SNH9"/>
      <c r="SNI9"/>
      <c r="SNJ9"/>
      <c r="SNK9"/>
      <c r="SNL9"/>
      <c r="SNM9"/>
      <c r="SNN9"/>
      <c r="SNO9"/>
      <c r="SNP9"/>
      <c r="SNQ9"/>
      <c r="SNR9"/>
      <c r="SNS9"/>
      <c r="SNT9"/>
      <c r="SNU9"/>
      <c r="SNV9"/>
      <c r="SNW9"/>
      <c r="SNX9"/>
      <c r="SNY9"/>
      <c r="SNZ9"/>
      <c r="SOA9"/>
      <c r="SOB9"/>
      <c r="SOC9"/>
      <c r="SOD9"/>
      <c r="SOE9"/>
      <c r="SOF9"/>
      <c r="SOG9"/>
      <c r="SOH9"/>
      <c r="SOI9"/>
      <c r="SOJ9"/>
      <c r="SOK9"/>
      <c r="SOL9"/>
      <c r="SOM9"/>
      <c r="SON9"/>
      <c r="SOO9"/>
      <c r="SOP9"/>
      <c r="SOQ9"/>
      <c r="SOR9"/>
      <c r="SOS9"/>
      <c r="SOT9"/>
      <c r="SOU9"/>
      <c r="SOV9"/>
      <c r="SOW9"/>
      <c r="SOX9"/>
      <c r="SOY9"/>
      <c r="SOZ9"/>
      <c r="SPA9"/>
      <c r="SPB9"/>
      <c r="SPC9"/>
      <c r="SPD9"/>
      <c r="SPE9"/>
      <c r="SPF9"/>
      <c r="SPG9"/>
      <c r="SPH9"/>
      <c r="SPI9"/>
      <c r="SPJ9"/>
      <c r="SPK9"/>
      <c r="SPL9"/>
      <c r="SPM9"/>
      <c r="SPN9"/>
      <c r="SPO9"/>
      <c r="SPP9"/>
      <c r="SPQ9"/>
      <c r="SPR9"/>
      <c r="SPS9"/>
      <c r="SPT9"/>
      <c r="SPU9"/>
      <c r="SPV9"/>
      <c r="SPW9"/>
      <c r="SPX9"/>
      <c r="SPY9"/>
      <c r="SPZ9"/>
      <c r="SQA9"/>
      <c r="SQB9"/>
      <c r="SQC9"/>
      <c r="SQD9"/>
      <c r="SQE9"/>
      <c r="SQF9"/>
      <c r="SQG9"/>
      <c r="SQH9"/>
      <c r="SQI9"/>
      <c r="SQJ9"/>
      <c r="SQK9"/>
      <c r="SQL9"/>
      <c r="SQM9"/>
      <c r="SQN9"/>
      <c r="SQO9"/>
      <c r="SQP9"/>
      <c r="SQQ9"/>
      <c r="SQR9"/>
      <c r="SQS9"/>
      <c r="SQT9"/>
      <c r="SQU9"/>
      <c r="SQV9"/>
      <c r="SQW9"/>
      <c r="SQX9"/>
      <c r="SQY9"/>
      <c r="SQZ9"/>
      <c r="SRA9"/>
      <c r="SRB9"/>
      <c r="SRC9"/>
      <c r="SRD9"/>
      <c r="SRE9"/>
      <c r="SRF9"/>
      <c r="SRG9"/>
      <c r="SRH9"/>
      <c r="SRI9"/>
      <c r="SRJ9"/>
      <c r="SRK9"/>
      <c r="SRL9"/>
      <c r="SRM9"/>
      <c r="SRN9"/>
      <c r="SRO9"/>
      <c r="SRP9"/>
      <c r="SRQ9"/>
      <c r="SRR9"/>
      <c r="SRS9"/>
      <c r="SRT9"/>
      <c r="SRU9"/>
      <c r="SRV9"/>
      <c r="SRW9"/>
      <c r="SRX9"/>
      <c r="SRY9"/>
      <c r="SRZ9"/>
      <c r="SSA9"/>
      <c r="SSB9"/>
      <c r="SSC9"/>
      <c r="SSD9"/>
      <c r="SSE9"/>
      <c r="SSF9"/>
      <c r="SSG9"/>
      <c r="SSH9"/>
      <c r="SSI9"/>
      <c r="SSJ9"/>
      <c r="SSK9"/>
      <c r="SSL9"/>
      <c r="SSM9"/>
      <c r="SSN9"/>
      <c r="SSO9"/>
      <c r="SSP9"/>
      <c r="SSQ9"/>
      <c r="SSR9"/>
      <c r="SSS9"/>
      <c r="SST9"/>
      <c r="SSU9"/>
      <c r="SSV9"/>
      <c r="SSW9"/>
      <c r="SSX9"/>
      <c r="SSY9"/>
      <c r="SSZ9"/>
      <c r="STA9"/>
      <c r="STB9"/>
      <c r="STC9"/>
      <c r="STD9"/>
      <c r="STE9"/>
      <c r="STF9"/>
      <c r="STG9"/>
      <c r="STH9"/>
      <c r="STI9"/>
      <c r="STJ9"/>
      <c r="STK9"/>
      <c r="STL9"/>
      <c r="STM9"/>
      <c r="STN9"/>
      <c r="STO9"/>
      <c r="STP9"/>
      <c r="STQ9"/>
      <c r="STR9"/>
      <c r="STS9"/>
      <c r="STT9"/>
      <c r="STU9"/>
      <c r="STV9"/>
      <c r="STW9"/>
      <c r="STX9"/>
      <c r="STY9"/>
      <c r="STZ9"/>
      <c r="SUA9"/>
      <c r="SUB9"/>
      <c r="SUC9"/>
      <c r="SUD9"/>
      <c r="SUE9"/>
      <c r="SUF9"/>
      <c r="SUG9"/>
      <c r="SUH9"/>
      <c r="SUI9"/>
      <c r="SUJ9"/>
      <c r="SUK9"/>
      <c r="SUL9"/>
      <c r="SUM9"/>
      <c r="SUN9"/>
      <c r="SUO9"/>
      <c r="SUP9"/>
      <c r="SUQ9"/>
      <c r="SUR9"/>
      <c r="SUS9"/>
      <c r="SUT9"/>
      <c r="SUU9"/>
      <c r="SUV9"/>
      <c r="SUW9"/>
      <c r="SUX9"/>
      <c r="SUY9"/>
      <c r="SUZ9"/>
      <c r="SVA9"/>
      <c r="SVB9"/>
      <c r="SVC9"/>
      <c r="SVD9"/>
      <c r="SVE9"/>
      <c r="SVF9"/>
      <c r="SVG9"/>
      <c r="SVH9"/>
      <c r="SVI9"/>
      <c r="SVJ9"/>
      <c r="SVK9"/>
      <c r="SVL9"/>
      <c r="SVM9"/>
      <c r="SVN9"/>
      <c r="SVO9"/>
      <c r="SVP9"/>
      <c r="SVQ9"/>
      <c r="SVR9"/>
      <c r="SVS9"/>
      <c r="SVT9"/>
      <c r="SVU9"/>
      <c r="SVV9"/>
      <c r="SVW9"/>
      <c r="SVX9"/>
      <c r="SVY9"/>
      <c r="SVZ9"/>
      <c r="SWA9"/>
      <c r="SWB9"/>
      <c r="SWC9"/>
      <c r="SWD9"/>
      <c r="SWE9"/>
      <c r="SWF9"/>
      <c r="SWG9"/>
      <c r="SWH9"/>
      <c r="SWI9"/>
      <c r="SWJ9"/>
      <c r="SWK9"/>
      <c r="SWL9"/>
      <c r="SWM9"/>
      <c r="SWN9"/>
      <c r="SWO9"/>
      <c r="SWP9"/>
      <c r="SWQ9"/>
      <c r="SWR9"/>
      <c r="SWS9"/>
      <c r="SWT9"/>
      <c r="SWU9"/>
      <c r="SWV9"/>
      <c r="SWW9"/>
      <c r="SWX9"/>
      <c r="SWY9"/>
      <c r="SWZ9"/>
      <c r="SXA9"/>
      <c r="SXB9"/>
      <c r="SXC9"/>
      <c r="SXD9"/>
      <c r="SXE9"/>
      <c r="SXF9"/>
      <c r="SXG9"/>
      <c r="SXH9"/>
      <c r="SXI9"/>
      <c r="SXJ9"/>
      <c r="SXK9"/>
      <c r="SXL9"/>
      <c r="SXM9"/>
      <c r="SXN9"/>
      <c r="SXO9"/>
      <c r="SXP9"/>
      <c r="SXQ9"/>
      <c r="SXR9"/>
      <c r="SXS9"/>
      <c r="SXT9"/>
      <c r="SXU9"/>
      <c r="SXV9"/>
      <c r="SXW9"/>
      <c r="SXX9"/>
      <c r="SXY9"/>
      <c r="SXZ9"/>
      <c r="SYA9"/>
      <c r="SYB9"/>
      <c r="SYC9"/>
      <c r="SYD9"/>
      <c r="SYE9"/>
      <c r="SYF9"/>
      <c r="SYG9"/>
      <c r="SYH9"/>
      <c r="SYI9"/>
      <c r="SYJ9"/>
      <c r="SYK9"/>
      <c r="SYL9"/>
      <c r="SYM9"/>
      <c r="SYN9"/>
      <c r="SYO9"/>
      <c r="SYP9"/>
      <c r="SYQ9"/>
      <c r="SYR9"/>
      <c r="SYS9"/>
      <c r="SYT9"/>
      <c r="SYU9"/>
      <c r="SYV9"/>
      <c r="SYW9"/>
      <c r="SYX9"/>
      <c r="SYY9"/>
      <c r="SYZ9"/>
      <c r="SZA9"/>
      <c r="SZB9"/>
      <c r="SZC9"/>
      <c r="SZD9"/>
      <c r="SZE9"/>
      <c r="SZF9"/>
      <c r="SZG9"/>
      <c r="SZH9"/>
      <c r="SZI9"/>
      <c r="SZJ9"/>
      <c r="SZK9"/>
      <c r="SZL9"/>
      <c r="SZM9"/>
      <c r="SZN9"/>
      <c r="SZO9"/>
      <c r="SZP9"/>
      <c r="SZQ9"/>
      <c r="SZR9"/>
      <c r="SZS9"/>
      <c r="SZT9"/>
      <c r="SZU9"/>
      <c r="SZV9"/>
      <c r="SZW9"/>
      <c r="SZX9"/>
      <c r="SZY9"/>
      <c r="SZZ9"/>
      <c r="TAA9"/>
      <c r="TAB9"/>
      <c r="TAC9"/>
      <c r="TAD9"/>
      <c r="TAE9"/>
      <c r="TAF9"/>
      <c r="TAG9"/>
      <c r="TAH9"/>
      <c r="TAI9"/>
      <c r="TAJ9"/>
      <c r="TAK9"/>
      <c r="TAL9"/>
      <c r="TAM9"/>
      <c r="TAN9"/>
      <c r="TAO9"/>
      <c r="TAP9"/>
      <c r="TAQ9"/>
      <c r="TAR9"/>
      <c r="TAS9"/>
      <c r="TAT9"/>
      <c r="TAU9"/>
      <c r="TAV9"/>
      <c r="TAW9"/>
      <c r="TAX9"/>
      <c r="TAY9"/>
      <c r="TAZ9"/>
      <c r="TBA9"/>
      <c r="TBB9"/>
      <c r="TBC9"/>
      <c r="TBD9"/>
      <c r="TBE9"/>
      <c r="TBF9"/>
      <c r="TBG9"/>
      <c r="TBH9"/>
      <c r="TBI9"/>
      <c r="TBJ9"/>
      <c r="TBK9"/>
      <c r="TBL9"/>
      <c r="TBM9"/>
      <c r="TBN9"/>
      <c r="TBO9"/>
      <c r="TBP9"/>
      <c r="TBQ9"/>
      <c r="TBR9"/>
      <c r="TBS9"/>
      <c r="TBT9"/>
      <c r="TBU9"/>
      <c r="TBV9"/>
      <c r="TBW9"/>
      <c r="TBX9"/>
      <c r="TBY9"/>
      <c r="TBZ9"/>
      <c r="TCA9"/>
      <c r="TCB9"/>
      <c r="TCC9"/>
      <c r="TCD9"/>
      <c r="TCE9"/>
      <c r="TCF9"/>
      <c r="TCG9"/>
      <c r="TCH9"/>
      <c r="TCI9"/>
      <c r="TCJ9"/>
      <c r="TCK9"/>
      <c r="TCL9"/>
      <c r="TCM9"/>
      <c r="TCN9"/>
      <c r="TCO9"/>
      <c r="TCP9"/>
      <c r="TCQ9"/>
      <c r="TCR9"/>
      <c r="TCS9"/>
      <c r="TCT9"/>
      <c r="TCU9"/>
      <c r="TCV9"/>
      <c r="TCW9"/>
      <c r="TCX9"/>
      <c r="TCY9"/>
      <c r="TCZ9"/>
      <c r="TDA9"/>
      <c r="TDB9"/>
      <c r="TDC9"/>
      <c r="TDD9"/>
      <c r="TDE9"/>
      <c r="TDF9"/>
      <c r="TDG9"/>
      <c r="TDH9"/>
      <c r="TDI9"/>
      <c r="TDJ9"/>
      <c r="TDK9"/>
      <c r="TDL9"/>
      <c r="TDM9"/>
      <c r="TDN9"/>
      <c r="TDO9"/>
      <c r="TDP9"/>
      <c r="TDQ9"/>
      <c r="TDR9"/>
      <c r="TDS9"/>
      <c r="TDT9"/>
      <c r="TDU9"/>
      <c r="TDV9"/>
      <c r="TDW9"/>
      <c r="TDX9"/>
      <c r="TDY9"/>
      <c r="TDZ9"/>
      <c r="TEA9"/>
      <c r="TEB9"/>
      <c r="TEC9"/>
      <c r="TED9"/>
      <c r="TEE9"/>
      <c r="TEF9"/>
      <c r="TEG9"/>
      <c r="TEH9"/>
      <c r="TEI9"/>
      <c r="TEJ9"/>
      <c r="TEK9"/>
      <c r="TEL9"/>
      <c r="TEM9"/>
      <c r="TEN9"/>
      <c r="TEO9"/>
      <c r="TEP9"/>
      <c r="TEQ9"/>
      <c r="TER9"/>
      <c r="TES9"/>
      <c r="TET9"/>
      <c r="TEU9"/>
      <c r="TEV9"/>
      <c r="TEW9"/>
      <c r="TEX9"/>
      <c r="TEY9"/>
      <c r="TEZ9"/>
      <c r="TFA9"/>
      <c r="TFB9"/>
      <c r="TFC9"/>
      <c r="TFD9"/>
      <c r="TFE9"/>
      <c r="TFF9"/>
      <c r="TFG9"/>
      <c r="TFH9"/>
      <c r="TFI9"/>
      <c r="TFJ9"/>
      <c r="TFK9"/>
      <c r="TFL9"/>
      <c r="TFM9"/>
      <c r="TFN9"/>
      <c r="TFO9"/>
      <c r="TFP9"/>
      <c r="TFQ9"/>
      <c r="TFR9"/>
      <c r="TFS9"/>
      <c r="TFT9"/>
      <c r="TFU9"/>
      <c r="TFV9"/>
      <c r="TFW9"/>
      <c r="TFX9"/>
      <c r="TFY9"/>
      <c r="TFZ9"/>
      <c r="TGA9"/>
      <c r="TGB9"/>
      <c r="TGC9"/>
      <c r="TGD9"/>
      <c r="TGE9"/>
      <c r="TGF9"/>
      <c r="TGG9"/>
      <c r="TGH9"/>
      <c r="TGI9"/>
      <c r="TGJ9"/>
      <c r="TGK9"/>
      <c r="TGL9"/>
      <c r="TGM9"/>
      <c r="TGN9"/>
      <c r="TGO9"/>
      <c r="TGP9"/>
      <c r="TGQ9"/>
      <c r="TGR9"/>
      <c r="TGS9"/>
      <c r="TGT9"/>
      <c r="TGU9"/>
      <c r="TGV9"/>
      <c r="TGW9"/>
      <c r="TGX9"/>
      <c r="TGY9"/>
      <c r="TGZ9"/>
      <c r="THA9"/>
      <c r="THB9"/>
      <c r="THC9"/>
      <c r="THD9"/>
      <c r="THE9"/>
      <c r="THF9"/>
      <c r="THG9"/>
      <c r="THH9"/>
      <c r="THI9"/>
      <c r="THJ9"/>
      <c r="THK9"/>
      <c r="THL9"/>
      <c r="THM9"/>
      <c r="THN9"/>
      <c r="THO9"/>
      <c r="THP9"/>
      <c r="THQ9"/>
      <c r="THR9"/>
      <c r="THS9"/>
      <c r="THT9"/>
      <c r="THU9"/>
      <c r="THV9"/>
      <c r="THW9"/>
      <c r="THX9"/>
      <c r="THY9"/>
      <c r="THZ9"/>
      <c r="TIA9"/>
      <c r="TIB9"/>
      <c r="TIC9"/>
      <c r="TID9"/>
      <c r="TIE9"/>
      <c r="TIF9"/>
      <c r="TIG9"/>
      <c r="TIH9"/>
      <c r="TII9"/>
      <c r="TIJ9"/>
      <c r="TIK9"/>
      <c r="TIL9"/>
      <c r="TIM9"/>
      <c r="TIN9"/>
      <c r="TIO9"/>
      <c r="TIP9"/>
      <c r="TIQ9"/>
      <c r="TIR9"/>
      <c r="TIS9"/>
      <c r="TIT9"/>
      <c r="TIU9"/>
      <c r="TIV9"/>
      <c r="TIW9"/>
      <c r="TIX9"/>
      <c r="TIY9"/>
      <c r="TIZ9"/>
      <c r="TJA9"/>
      <c r="TJB9"/>
      <c r="TJC9"/>
      <c r="TJD9"/>
      <c r="TJE9"/>
      <c r="TJF9"/>
      <c r="TJG9"/>
      <c r="TJH9"/>
      <c r="TJI9"/>
      <c r="TJJ9"/>
      <c r="TJK9"/>
      <c r="TJL9"/>
      <c r="TJM9"/>
      <c r="TJN9"/>
      <c r="TJO9"/>
      <c r="TJP9"/>
      <c r="TJQ9"/>
      <c r="TJR9"/>
      <c r="TJS9"/>
      <c r="TJT9"/>
      <c r="TJU9"/>
      <c r="TJV9"/>
      <c r="TJW9"/>
      <c r="TJX9"/>
      <c r="TJY9"/>
      <c r="TJZ9"/>
      <c r="TKA9"/>
      <c r="TKB9"/>
      <c r="TKC9"/>
      <c r="TKD9"/>
      <c r="TKE9"/>
      <c r="TKF9"/>
      <c r="TKG9"/>
      <c r="TKH9"/>
      <c r="TKI9"/>
      <c r="TKJ9"/>
      <c r="TKK9"/>
      <c r="TKL9"/>
      <c r="TKM9"/>
      <c r="TKN9"/>
      <c r="TKO9"/>
      <c r="TKP9"/>
      <c r="TKQ9"/>
      <c r="TKR9"/>
      <c r="TKS9"/>
      <c r="TKT9"/>
      <c r="TKU9"/>
      <c r="TKV9"/>
      <c r="TKW9"/>
      <c r="TKX9"/>
      <c r="TKY9"/>
      <c r="TKZ9"/>
      <c r="TLA9"/>
      <c r="TLB9"/>
      <c r="TLC9"/>
      <c r="TLD9"/>
      <c r="TLE9"/>
      <c r="TLF9"/>
      <c r="TLG9"/>
      <c r="TLH9"/>
      <c r="TLI9"/>
      <c r="TLJ9"/>
      <c r="TLK9"/>
      <c r="TLL9"/>
      <c r="TLM9"/>
      <c r="TLN9"/>
      <c r="TLO9"/>
      <c r="TLP9"/>
      <c r="TLQ9"/>
      <c r="TLR9"/>
      <c r="TLS9"/>
      <c r="TLT9"/>
      <c r="TLU9"/>
      <c r="TLV9"/>
      <c r="TLW9"/>
      <c r="TLX9"/>
      <c r="TLY9"/>
      <c r="TLZ9"/>
      <c r="TMA9"/>
      <c r="TMB9"/>
      <c r="TMC9"/>
      <c r="TMD9"/>
      <c r="TME9"/>
      <c r="TMF9"/>
      <c r="TMG9"/>
      <c r="TMH9"/>
      <c r="TMI9"/>
      <c r="TMJ9"/>
      <c r="TMK9"/>
      <c r="TML9"/>
      <c r="TMM9"/>
      <c r="TMN9"/>
      <c r="TMO9"/>
      <c r="TMP9"/>
      <c r="TMQ9"/>
      <c r="TMR9"/>
      <c r="TMS9"/>
      <c r="TMT9"/>
      <c r="TMU9"/>
      <c r="TMV9"/>
      <c r="TMW9"/>
      <c r="TMX9"/>
      <c r="TMY9"/>
      <c r="TMZ9"/>
      <c r="TNA9"/>
      <c r="TNB9"/>
      <c r="TNC9"/>
      <c r="TND9"/>
      <c r="TNE9"/>
      <c r="TNF9"/>
      <c r="TNG9"/>
      <c r="TNH9"/>
      <c r="TNI9"/>
      <c r="TNJ9"/>
      <c r="TNK9"/>
      <c r="TNL9"/>
      <c r="TNM9"/>
      <c r="TNN9"/>
      <c r="TNO9"/>
      <c r="TNP9"/>
      <c r="TNQ9"/>
      <c r="TNR9"/>
      <c r="TNS9"/>
      <c r="TNT9"/>
      <c r="TNU9"/>
      <c r="TNV9"/>
      <c r="TNW9"/>
      <c r="TNX9"/>
      <c r="TNY9"/>
      <c r="TNZ9"/>
      <c r="TOA9"/>
      <c r="TOB9"/>
      <c r="TOC9"/>
      <c r="TOD9"/>
      <c r="TOE9"/>
      <c r="TOF9"/>
      <c r="TOG9"/>
      <c r="TOH9"/>
      <c r="TOI9"/>
      <c r="TOJ9"/>
      <c r="TOK9"/>
      <c r="TOL9"/>
      <c r="TOM9"/>
      <c r="TON9"/>
      <c r="TOO9"/>
      <c r="TOP9"/>
      <c r="TOQ9"/>
      <c r="TOR9"/>
      <c r="TOS9"/>
      <c r="TOT9"/>
      <c r="TOU9"/>
      <c r="TOV9"/>
      <c r="TOW9"/>
      <c r="TOX9"/>
      <c r="TOY9"/>
      <c r="TOZ9"/>
      <c r="TPA9"/>
      <c r="TPB9"/>
      <c r="TPC9"/>
      <c r="TPD9"/>
      <c r="TPE9"/>
      <c r="TPF9"/>
      <c r="TPG9"/>
      <c r="TPH9"/>
      <c r="TPI9"/>
      <c r="TPJ9"/>
      <c r="TPK9"/>
      <c r="TPL9"/>
      <c r="TPM9"/>
      <c r="TPN9"/>
      <c r="TPO9"/>
      <c r="TPP9"/>
      <c r="TPQ9"/>
      <c r="TPR9"/>
      <c r="TPS9"/>
      <c r="TPT9"/>
      <c r="TPU9"/>
      <c r="TPV9"/>
      <c r="TPW9"/>
      <c r="TPX9"/>
      <c r="TPY9"/>
      <c r="TPZ9"/>
      <c r="TQA9"/>
      <c r="TQB9"/>
      <c r="TQC9"/>
      <c r="TQD9"/>
      <c r="TQE9"/>
      <c r="TQF9"/>
      <c r="TQG9"/>
      <c r="TQH9"/>
      <c r="TQI9"/>
      <c r="TQJ9"/>
      <c r="TQK9"/>
      <c r="TQL9"/>
      <c r="TQM9"/>
      <c r="TQN9"/>
      <c r="TQO9"/>
      <c r="TQP9"/>
      <c r="TQQ9"/>
      <c r="TQR9"/>
      <c r="TQS9"/>
      <c r="TQT9"/>
      <c r="TQU9"/>
      <c r="TQV9"/>
      <c r="TQW9"/>
      <c r="TQX9"/>
      <c r="TQY9"/>
      <c r="TQZ9"/>
      <c r="TRA9"/>
      <c r="TRB9"/>
      <c r="TRC9"/>
      <c r="TRD9"/>
      <c r="TRE9"/>
      <c r="TRF9"/>
      <c r="TRG9"/>
      <c r="TRH9"/>
      <c r="TRI9"/>
      <c r="TRJ9"/>
      <c r="TRK9"/>
      <c r="TRL9"/>
      <c r="TRM9"/>
      <c r="TRN9"/>
      <c r="TRO9"/>
      <c r="TRP9"/>
      <c r="TRQ9"/>
      <c r="TRR9"/>
      <c r="TRS9"/>
      <c r="TRT9"/>
      <c r="TRU9"/>
      <c r="TRV9"/>
      <c r="TRW9"/>
      <c r="TRX9"/>
      <c r="TRY9"/>
      <c r="TRZ9"/>
      <c r="TSA9"/>
      <c r="TSB9"/>
      <c r="TSC9"/>
      <c r="TSD9"/>
      <c r="TSE9"/>
      <c r="TSF9"/>
      <c r="TSG9"/>
      <c r="TSH9"/>
      <c r="TSI9"/>
      <c r="TSJ9"/>
      <c r="TSK9"/>
      <c r="TSL9"/>
      <c r="TSM9"/>
      <c r="TSN9"/>
      <c r="TSO9"/>
      <c r="TSP9"/>
      <c r="TSQ9"/>
      <c r="TSR9"/>
      <c r="TSS9"/>
      <c r="TST9"/>
      <c r="TSU9"/>
      <c r="TSV9"/>
      <c r="TSW9"/>
      <c r="TSX9"/>
      <c r="TSY9"/>
      <c r="TSZ9"/>
      <c r="TTA9"/>
      <c r="TTB9"/>
      <c r="TTC9"/>
      <c r="TTD9"/>
      <c r="TTE9"/>
      <c r="TTF9"/>
      <c r="TTG9"/>
      <c r="TTH9"/>
      <c r="TTI9"/>
      <c r="TTJ9"/>
      <c r="TTK9"/>
      <c r="TTL9"/>
      <c r="TTM9"/>
      <c r="TTN9"/>
      <c r="TTO9"/>
      <c r="TTP9"/>
      <c r="TTQ9"/>
      <c r="TTR9"/>
      <c r="TTS9"/>
      <c r="TTT9"/>
      <c r="TTU9"/>
      <c r="TTV9"/>
      <c r="TTW9"/>
      <c r="TTX9"/>
      <c r="TTY9"/>
      <c r="TTZ9"/>
      <c r="TUA9"/>
      <c r="TUB9"/>
      <c r="TUC9"/>
      <c r="TUD9"/>
      <c r="TUE9"/>
      <c r="TUF9"/>
      <c r="TUG9"/>
      <c r="TUH9"/>
      <c r="TUI9"/>
      <c r="TUJ9"/>
      <c r="TUK9"/>
      <c r="TUL9"/>
      <c r="TUM9"/>
      <c r="TUN9"/>
      <c r="TUO9"/>
      <c r="TUP9"/>
      <c r="TUQ9"/>
      <c r="TUR9"/>
      <c r="TUS9"/>
      <c r="TUT9"/>
      <c r="TUU9"/>
      <c r="TUV9"/>
      <c r="TUW9"/>
      <c r="TUX9"/>
      <c r="TUY9"/>
      <c r="TUZ9"/>
      <c r="TVA9"/>
      <c r="TVB9"/>
      <c r="TVC9"/>
      <c r="TVD9"/>
      <c r="TVE9"/>
      <c r="TVF9"/>
      <c r="TVG9"/>
      <c r="TVH9"/>
      <c r="TVI9"/>
      <c r="TVJ9"/>
      <c r="TVK9"/>
      <c r="TVL9"/>
      <c r="TVM9"/>
      <c r="TVN9"/>
      <c r="TVO9"/>
      <c r="TVP9"/>
      <c r="TVQ9"/>
      <c r="TVR9"/>
      <c r="TVS9"/>
      <c r="TVT9"/>
      <c r="TVU9"/>
      <c r="TVV9"/>
      <c r="TVW9"/>
      <c r="TVX9"/>
      <c r="TVY9"/>
      <c r="TVZ9"/>
      <c r="TWA9"/>
      <c r="TWB9"/>
      <c r="TWC9"/>
      <c r="TWD9"/>
      <c r="TWE9"/>
      <c r="TWF9"/>
      <c r="TWG9"/>
      <c r="TWH9"/>
      <c r="TWI9"/>
      <c r="TWJ9"/>
      <c r="TWK9"/>
      <c r="TWL9"/>
      <c r="TWM9"/>
      <c r="TWN9"/>
      <c r="TWO9"/>
      <c r="TWP9"/>
      <c r="TWQ9"/>
      <c r="TWR9"/>
      <c r="TWS9"/>
      <c r="TWT9"/>
      <c r="TWU9"/>
      <c r="TWV9"/>
      <c r="TWW9"/>
      <c r="TWX9"/>
      <c r="TWY9"/>
      <c r="TWZ9"/>
      <c r="TXA9"/>
      <c r="TXB9"/>
      <c r="TXC9"/>
      <c r="TXD9"/>
      <c r="TXE9"/>
      <c r="TXF9"/>
      <c r="TXG9"/>
      <c r="TXH9"/>
      <c r="TXI9"/>
      <c r="TXJ9"/>
      <c r="TXK9"/>
      <c r="TXL9"/>
      <c r="TXM9"/>
      <c r="TXN9"/>
      <c r="TXO9"/>
      <c r="TXP9"/>
      <c r="TXQ9"/>
      <c r="TXR9"/>
      <c r="TXS9"/>
      <c r="TXT9"/>
      <c r="TXU9"/>
      <c r="TXV9"/>
      <c r="TXW9"/>
      <c r="TXX9"/>
      <c r="TXY9"/>
      <c r="TXZ9"/>
      <c r="TYA9"/>
      <c r="TYB9"/>
      <c r="TYC9"/>
      <c r="TYD9"/>
      <c r="TYE9"/>
      <c r="TYF9"/>
      <c r="TYG9"/>
      <c r="TYH9"/>
      <c r="TYI9"/>
      <c r="TYJ9"/>
      <c r="TYK9"/>
      <c r="TYL9"/>
      <c r="TYM9"/>
      <c r="TYN9"/>
      <c r="TYO9"/>
      <c r="TYP9"/>
      <c r="TYQ9"/>
      <c r="TYR9"/>
      <c r="TYS9"/>
      <c r="TYT9"/>
      <c r="TYU9"/>
      <c r="TYV9"/>
      <c r="TYW9"/>
      <c r="TYX9"/>
      <c r="TYY9"/>
      <c r="TYZ9"/>
      <c r="TZA9"/>
      <c r="TZB9"/>
      <c r="TZC9"/>
      <c r="TZD9"/>
      <c r="TZE9"/>
      <c r="TZF9"/>
      <c r="TZG9"/>
      <c r="TZH9"/>
      <c r="TZI9"/>
      <c r="TZJ9"/>
      <c r="TZK9"/>
      <c r="TZL9"/>
      <c r="TZM9"/>
      <c r="TZN9"/>
      <c r="TZO9"/>
      <c r="TZP9"/>
      <c r="TZQ9"/>
      <c r="TZR9"/>
      <c r="TZS9"/>
      <c r="TZT9"/>
      <c r="TZU9"/>
      <c r="TZV9"/>
      <c r="TZW9"/>
      <c r="TZX9"/>
      <c r="TZY9"/>
      <c r="TZZ9"/>
      <c r="UAA9"/>
      <c r="UAB9"/>
      <c r="UAC9"/>
      <c r="UAD9"/>
      <c r="UAE9"/>
      <c r="UAF9"/>
      <c r="UAG9"/>
      <c r="UAH9"/>
      <c r="UAI9"/>
      <c r="UAJ9"/>
      <c r="UAK9"/>
      <c r="UAL9"/>
      <c r="UAM9"/>
      <c r="UAN9"/>
      <c r="UAO9"/>
      <c r="UAP9"/>
      <c r="UAQ9"/>
      <c r="UAR9"/>
      <c r="UAS9"/>
      <c r="UAT9"/>
      <c r="UAU9"/>
      <c r="UAV9"/>
      <c r="UAW9"/>
      <c r="UAX9"/>
      <c r="UAY9"/>
      <c r="UAZ9"/>
      <c r="UBA9"/>
      <c r="UBB9"/>
      <c r="UBC9"/>
      <c r="UBD9"/>
      <c r="UBE9"/>
      <c r="UBF9"/>
      <c r="UBG9"/>
      <c r="UBH9"/>
      <c r="UBI9"/>
      <c r="UBJ9"/>
      <c r="UBK9"/>
      <c r="UBL9"/>
      <c r="UBM9"/>
      <c r="UBN9"/>
      <c r="UBO9"/>
      <c r="UBP9"/>
      <c r="UBQ9"/>
      <c r="UBR9"/>
      <c r="UBS9"/>
      <c r="UBT9"/>
      <c r="UBU9"/>
      <c r="UBV9"/>
      <c r="UBW9"/>
      <c r="UBX9"/>
      <c r="UBY9"/>
      <c r="UBZ9"/>
      <c r="UCA9"/>
      <c r="UCB9"/>
      <c r="UCC9"/>
      <c r="UCD9"/>
      <c r="UCE9"/>
      <c r="UCF9"/>
      <c r="UCG9"/>
      <c r="UCH9"/>
      <c r="UCI9"/>
      <c r="UCJ9"/>
      <c r="UCK9"/>
      <c r="UCL9"/>
      <c r="UCM9"/>
      <c r="UCN9"/>
      <c r="UCO9"/>
      <c r="UCP9"/>
      <c r="UCQ9"/>
      <c r="UCR9"/>
      <c r="UCS9"/>
      <c r="UCT9"/>
      <c r="UCU9"/>
      <c r="UCV9"/>
      <c r="UCW9"/>
      <c r="UCX9"/>
      <c r="UCY9"/>
      <c r="UCZ9"/>
      <c r="UDA9"/>
      <c r="UDB9"/>
      <c r="UDC9"/>
      <c r="UDD9"/>
      <c r="UDE9"/>
      <c r="UDF9"/>
      <c r="UDG9"/>
      <c r="UDH9"/>
      <c r="UDI9"/>
      <c r="UDJ9"/>
      <c r="UDK9"/>
      <c r="UDL9"/>
      <c r="UDM9"/>
      <c r="UDN9"/>
      <c r="UDO9"/>
      <c r="UDP9"/>
      <c r="UDQ9"/>
      <c r="UDR9"/>
      <c r="UDS9"/>
      <c r="UDT9"/>
      <c r="UDU9"/>
      <c r="UDV9"/>
      <c r="UDW9"/>
      <c r="UDX9"/>
      <c r="UDY9"/>
      <c r="UDZ9"/>
      <c r="UEA9"/>
      <c r="UEB9"/>
      <c r="UEC9"/>
      <c r="UED9"/>
      <c r="UEE9"/>
      <c r="UEF9"/>
      <c r="UEG9"/>
      <c r="UEH9"/>
      <c r="UEI9"/>
      <c r="UEJ9"/>
      <c r="UEK9"/>
      <c r="UEL9"/>
      <c r="UEM9"/>
      <c r="UEN9"/>
      <c r="UEO9"/>
      <c r="UEP9"/>
      <c r="UEQ9"/>
      <c r="UER9"/>
      <c r="UES9"/>
      <c r="UET9"/>
      <c r="UEU9"/>
      <c r="UEV9"/>
      <c r="UEW9"/>
      <c r="UEX9"/>
      <c r="UEY9"/>
      <c r="UEZ9"/>
      <c r="UFA9"/>
      <c r="UFB9"/>
      <c r="UFC9"/>
      <c r="UFD9"/>
      <c r="UFE9"/>
      <c r="UFF9"/>
      <c r="UFG9"/>
      <c r="UFH9"/>
      <c r="UFI9"/>
      <c r="UFJ9"/>
      <c r="UFK9"/>
      <c r="UFL9"/>
      <c r="UFM9"/>
      <c r="UFN9"/>
      <c r="UFO9"/>
      <c r="UFP9"/>
      <c r="UFQ9"/>
      <c r="UFR9"/>
      <c r="UFS9"/>
      <c r="UFT9"/>
      <c r="UFU9"/>
      <c r="UFV9"/>
      <c r="UFW9"/>
      <c r="UFX9"/>
      <c r="UFY9"/>
      <c r="UFZ9"/>
      <c r="UGA9"/>
      <c r="UGB9"/>
      <c r="UGC9"/>
      <c r="UGD9"/>
      <c r="UGE9"/>
      <c r="UGF9"/>
      <c r="UGG9"/>
      <c r="UGH9"/>
      <c r="UGI9"/>
      <c r="UGJ9"/>
      <c r="UGK9"/>
      <c r="UGL9"/>
      <c r="UGM9"/>
      <c r="UGN9"/>
      <c r="UGO9"/>
      <c r="UGP9"/>
      <c r="UGQ9"/>
      <c r="UGR9"/>
      <c r="UGS9"/>
      <c r="UGT9"/>
      <c r="UGU9"/>
      <c r="UGV9"/>
      <c r="UGW9"/>
      <c r="UGX9"/>
      <c r="UGY9"/>
      <c r="UGZ9"/>
      <c r="UHA9"/>
      <c r="UHB9"/>
      <c r="UHC9"/>
      <c r="UHD9"/>
      <c r="UHE9"/>
      <c r="UHF9"/>
      <c r="UHG9"/>
      <c r="UHH9"/>
      <c r="UHI9"/>
      <c r="UHJ9"/>
      <c r="UHK9"/>
      <c r="UHL9"/>
      <c r="UHM9"/>
      <c r="UHN9"/>
      <c r="UHO9"/>
      <c r="UHP9"/>
      <c r="UHQ9"/>
      <c r="UHR9"/>
      <c r="UHS9"/>
      <c r="UHT9"/>
      <c r="UHU9"/>
      <c r="UHV9"/>
      <c r="UHW9"/>
      <c r="UHX9"/>
      <c r="UHY9"/>
      <c r="UHZ9"/>
      <c r="UIA9"/>
      <c r="UIB9"/>
      <c r="UIC9"/>
      <c r="UID9"/>
      <c r="UIE9"/>
      <c r="UIF9"/>
      <c r="UIG9"/>
      <c r="UIH9"/>
      <c r="UII9"/>
      <c r="UIJ9"/>
      <c r="UIK9"/>
      <c r="UIL9"/>
      <c r="UIM9"/>
      <c r="UIN9"/>
      <c r="UIO9"/>
      <c r="UIP9"/>
      <c r="UIQ9"/>
      <c r="UIR9"/>
      <c r="UIS9"/>
      <c r="UIT9"/>
      <c r="UIU9"/>
      <c r="UIV9"/>
      <c r="UIW9"/>
      <c r="UIX9"/>
      <c r="UIY9"/>
      <c r="UIZ9"/>
      <c r="UJA9"/>
      <c r="UJB9"/>
      <c r="UJC9"/>
      <c r="UJD9"/>
      <c r="UJE9"/>
      <c r="UJF9"/>
      <c r="UJG9"/>
      <c r="UJH9"/>
      <c r="UJI9"/>
      <c r="UJJ9"/>
      <c r="UJK9"/>
      <c r="UJL9"/>
      <c r="UJM9"/>
      <c r="UJN9"/>
      <c r="UJO9"/>
      <c r="UJP9"/>
      <c r="UJQ9"/>
      <c r="UJR9"/>
      <c r="UJS9"/>
      <c r="UJT9"/>
      <c r="UJU9"/>
      <c r="UJV9"/>
      <c r="UJW9"/>
      <c r="UJX9"/>
      <c r="UJY9"/>
      <c r="UJZ9"/>
      <c r="UKA9"/>
      <c r="UKB9"/>
      <c r="UKC9"/>
      <c r="UKD9"/>
      <c r="UKE9"/>
      <c r="UKF9"/>
      <c r="UKG9"/>
      <c r="UKH9"/>
      <c r="UKI9"/>
      <c r="UKJ9"/>
      <c r="UKK9"/>
      <c r="UKL9"/>
      <c r="UKM9"/>
      <c r="UKN9"/>
      <c r="UKO9"/>
      <c r="UKP9"/>
      <c r="UKQ9"/>
      <c r="UKR9"/>
      <c r="UKS9"/>
      <c r="UKT9"/>
      <c r="UKU9"/>
      <c r="UKV9"/>
      <c r="UKW9"/>
      <c r="UKX9"/>
      <c r="UKY9"/>
      <c r="UKZ9"/>
      <c r="ULA9"/>
      <c r="ULB9"/>
      <c r="ULC9"/>
      <c r="ULD9"/>
      <c r="ULE9"/>
      <c r="ULF9"/>
      <c r="ULG9"/>
      <c r="ULH9"/>
      <c r="ULI9"/>
      <c r="ULJ9"/>
      <c r="ULK9"/>
      <c r="ULL9"/>
      <c r="ULM9"/>
      <c r="ULN9"/>
      <c r="ULO9"/>
      <c r="ULP9"/>
      <c r="ULQ9"/>
      <c r="ULR9"/>
      <c r="ULS9"/>
      <c r="ULT9"/>
      <c r="ULU9"/>
      <c r="ULV9"/>
      <c r="ULW9"/>
      <c r="ULX9"/>
      <c r="ULY9"/>
      <c r="ULZ9"/>
      <c r="UMA9"/>
      <c r="UMB9"/>
      <c r="UMC9"/>
      <c r="UMD9"/>
      <c r="UME9"/>
      <c r="UMF9"/>
      <c r="UMG9"/>
      <c r="UMH9"/>
      <c r="UMI9"/>
      <c r="UMJ9"/>
      <c r="UMK9"/>
      <c r="UML9"/>
      <c r="UMM9"/>
      <c r="UMN9"/>
      <c r="UMO9"/>
      <c r="UMP9"/>
      <c r="UMQ9"/>
      <c r="UMR9"/>
      <c r="UMS9"/>
      <c r="UMT9"/>
      <c r="UMU9"/>
      <c r="UMV9"/>
      <c r="UMW9"/>
      <c r="UMX9"/>
      <c r="UMY9"/>
      <c r="UMZ9"/>
      <c r="UNA9"/>
      <c r="UNB9"/>
      <c r="UNC9"/>
      <c r="UND9"/>
      <c r="UNE9"/>
      <c r="UNF9"/>
      <c r="UNG9"/>
      <c r="UNH9"/>
      <c r="UNI9"/>
      <c r="UNJ9"/>
      <c r="UNK9"/>
      <c r="UNL9"/>
      <c r="UNM9"/>
      <c r="UNN9"/>
      <c r="UNO9"/>
      <c r="UNP9"/>
      <c r="UNQ9"/>
      <c r="UNR9"/>
      <c r="UNS9"/>
      <c r="UNT9"/>
      <c r="UNU9"/>
      <c r="UNV9"/>
      <c r="UNW9"/>
      <c r="UNX9"/>
      <c r="UNY9"/>
      <c r="UNZ9"/>
      <c r="UOA9"/>
      <c r="UOB9"/>
      <c r="UOC9"/>
      <c r="UOD9"/>
      <c r="UOE9"/>
      <c r="UOF9"/>
      <c r="UOG9"/>
      <c r="UOH9"/>
      <c r="UOI9"/>
      <c r="UOJ9"/>
      <c r="UOK9"/>
      <c r="UOL9"/>
      <c r="UOM9"/>
      <c r="UON9"/>
      <c r="UOO9"/>
      <c r="UOP9"/>
      <c r="UOQ9"/>
      <c r="UOR9"/>
      <c r="UOS9"/>
      <c r="UOT9"/>
      <c r="UOU9"/>
      <c r="UOV9"/>
      <c r="UOW9"/>
      <c r="UOX9"/>
      <c r="UOY9"/>
      <c r="UOZ9"/>
      <c r="UPA9"/>
      <c r="UPB9"/>
      <c r="UPC9"/>
      <c r="UPD9"/>
      <c r="UPE9"/>
      <c r="UPF9"/>
      <c r="UPG9"/>
      <c r="UPH9"/>
      <c r="UPI9"/>
      <c r="UPJ9"/>
      <c r="UPK9"/>
      <c r="UPL9"/>
      <c r="UPM9"/>
      <c r="UPN9"/>
      <c r="UPO9"/>
      <c r="UPP9"/>
      <c r="UPQ9"/>
      <c r="UPR9"/>
      <c r="UPS9"/>
      <c r="UPT9"/>
      <c r="UPU9"/>
      <c r="UPV9"/>
      <c r="UPW9"/>
      <c r="UPX9"/>
      <c r="UPY9"/>
      <c r="UPZ9"/>
      <c r="UQA9"/>
      <c r="UQB9"/>
      <c r="UQC9"/>
      <c r="UQD9"/>
      <c r="UQE9"/>
      <c r="UQF9"/>
      <c r="UQG9"/>
      <c r="UQH9"/>
      <c r="UQI9"/>
      <c r="UQJ9"/>
      <c r="UQK9"/>
      <c r="UQL9"/>
      <c r="UQM9"/>
      <c r="UQN9"/>
      <c r="UQO9"/>
      <c r="UQP9"/>
      <c r="UQQ9"/>
      <c r="UQR9"/>
      <c r="UQS9"/>
      <c r="UQT9"/>
      <c r="UQU9"/>
      <c r="UQV9"/>
      <c r="UQW9"/>
      <c r="UQX9"/>
      <c r="UQY9"/>
      <c r="UQZ9"/>
      <c r="URA9"/>
      <c r="URB9"/>
      <c r="URC9"/>
      <c r="URD9"/>
      <c r="URE9"/>
      <c r="URF9"/>
      <c r="URG9"/>
      <c r="URH9"/>
      <c r="URI9"/>
      <c r="URJ9"/>
      <c r="URK9"/>
      <c r="URL9"/>
      <c r="URM9"/>
      <c r="URN9"/>
      <c r="URO9"/>
      <c r="URP9"/>
      <c r="URQ9"/>
      <c r="URR9"/>
      <c r="URS9"/>
      <c r="URT9"/>
      <c r="URU9"/>
      <c r="URV9"/>
      <c r="URW9"/>
      <c r="URX9"/>
      <c r="URY9"/>
      <c r="URZ9"/>
      <c r="USA9"/>
      <c r="USB9"/>
      <c r="USC9"/>
      <c r="USD9"/>
      <c r="USE9"/>
      <c r="USF9"/>
      <c r="USG9"/>
      <c r="USH9"/>
      <c r="USI9"/>
      <c r="USJ9"/>
      <c r="USK9"/>
      <c r="USL9"/>
      <c r="USM9"/>
      <c r="USN9"/>
      <c r="USO9"/>
      <c r="USP9"/>
      <c r="USQ9"/>
      <c r="USR9"/>
      <c r="USS9"/>
      <c r="UST9"/>
      <c r="USU9"/>
      <c r="USV9"/>
      <c r="USW9"/>
      <c r="USX9"/>
      <c r="USY9"/>
      <c r="USZ9"/>
      <c r="UTA9"/>
      <c r="UTB9"/>
      <c r="UTC9"/>
      <c r="UTD9"/>
      <c r="UTE9"/>
      <c r="UTF9"/>
      <c r="UTG9"/>
      <c r="UTH9"/>
      <c r="UTI9"/>
      <c r="UTJ9"/>
      <c r="UTK9"/>
      <c r="UTL9"/>
      <c r="UTM9"/>
      <c r="UTN9"/>
      <c r="UTO9"/>
      <c r="UTP9"/>
      <c r="UTQ9"/>
      <c r="UTR9"/>
      <c r="UTS9"/>
      <c r="UTT9"/>
      <c r="UTU9"/>
      <c r="UTV9"/>
      <c r="UTW9"/>
      <c r="UTX9"/>
      <c r="UTY9"/>
      <c r="UTZ9"/>
      <c r="UUA9"/>
      <c r="UUB9"/>
      <c r="UUC9"/>
      <c r="UUD9"/>
      <c r="UUE9"/>
      <c r="UUF9"/>
      <c r="UUG9"/>
      <c r="UUH9"/>
      <c r="UUI9"/>
      <c r="UUJ9"/>
      <c r="UUK9"/>
      <c r="UUL9"/>
      <c r="UUM9"/>
      <c r="UUN9"/>
      <c r="UUO9"/>
      <c r="UUP9"/>
      <c r="UUQ9"/>
      <c r="UUR9"/>
      <c r="UUS9"/>
      <c r="UUT9"/>
      <c r="UUU9"/>
      <c r="UUV9"/>
      <c r="UUW9"/>
      <c r="UUX9"/>
      <c r="UUY9"/>
      <c r="UUZ9"/>
      <c r="UVA9"/>
      <c r="UVB9"/>
      <c r="UVC9"/>
      <c r="UVD9"/>
      <c r="UVE9"/>
      <c r="UVF9"/>
      <c r="UVG9"/>
      <c r="UVH9"/>
      <c r="UVI9"/>
      <c r="UVJ9"/>
      <c r="UVK9"/>
      <c r="UVL9"/>
      <c r="UVM9"/>
      <c r="UVN9"/>
      <c r="UVO9"/>
      <c r="UVP9"/>
      <c r="UVQ9"/>
      <c r="UVR9"/>
      <c r="UVS9"/>
      <c r="UVT9"/>
      <c r="UVU9"/>
      <c r="UVV9"/>
      <c r="UVW9"/>
      <c r="UVX9"/>
      <c r="UVY9"/>
      <c r="UVZ9"/>
      <c r="UWA9"/>
      <c r="UWB9"/>
      <c r="UWC9"/>
      <c r="UWD9"/>
      <c r="UWE9"/>
      <c r="UWF9"/>
      <c r="UWG9"/>
      <c r="UWH9"/>
      <c r="UWI9"/>
      <c r="UWJ9"/>
      <c r="UWK9"/>
      <c r="UWL9"/>
      <c r="UWM9"/>
      <c r="UWN9"/>
      <c r="UWO9"/>
      <c r="UWP9"/>
      <c r="UWQ9"/>
      <c r="UWR9"/>
      <c r="UWS9"/>
      <c r="UWT9"/>
      <c r="UWU9"/>
      <c r="UWV9"/>
      <c r="UWW9"/>
      <c r="UWX9"/>
      <c r="UWY9"/>
      <c r="UWZ9"/>
      <c r="UXA9"/>
      <c r="UXB9"/>
      <c r="UXC9"/>
      <c r="UXD9"/>
      <c r="UXE9"/>
      <c r="UXF9"/>
      <c r="UXG9"/>
      <c r="UXH9"/>
      <c r="UXI9"/>
      <c r="UXJ9"/>
      <c r="UXK9"/>
      <c r="UXL9"/>
      <c r="UXM9"/>
      <c r="UXN9"/>
      <c r="UXO9"/>
      <c r="UXP9"/>
      <c r="UXQ9"/>
      <c r="UXR9"/>
      <c r="UXS9"/>
      <c r="UXT9"/>
      <c r="UXU9"/>
      <c r="UXV9"/>
      <c r="UXW9"/>
      <c r="UXX9"/>
      <c r="UXY9"/>
      <c r="UXZ9"/>
      <c r="UYA9"/>
      <c r="UYB9"/>
      <c r="UYC9"/>
      <c r="UYD9"/>
      <c r="UYE9"/>
      <c r="UYF9"/>
      <c r="UYG9"/>
      <c r="UYH9"/>
      <c r="UYI9"/>
      <c r="UYJ9"/>
      <c r="UYK9"/>
      <c r="UYL9"/>
      <c r="UYM9"/>
      <c r="UYN9"/>
      <c r="UYO9"/>
      <c r="UYP9"/>
      <c r="UYQ9"/>
      <c r="UYR9"/>
      <c r="UYS9"/>
      <c r="UYT9"/>
      <c r="UYU9"/>
      <c r="UYV9"/>
      <c r="UYW9"/>
      <c r="UYX9"/>
      <c r="UYY9"/>
      <c r="UYZ9"/>
      <c r="UZA9"/>
      <c r="UZB9"/>
      <c r="UZC9"/>
      <c r="UZD9"/>
      <c r="UZE9"/>
      <c r="UZF9"/>
      <c r="UZG9"/>
      <c r="UZH9"/>
      <c r="UZI9"/>
      <c r="UZJ9"/>
      <c r="UZK9"/>
      <c r="UZL9"/>
      <c r="UZM9"/>
      <c r="UZN9"/>
      <c r="UZO9"/>
      <c r="UZP9"/>
      <c r="UZQ9"/>
      <c r="UZR9"/>
      <c r="UZS9"/>
      <c r="UZT9"/>
      <c r="UZU9"/>
      <c r="UZV9"/>
      <c r="UZW9"/>
      <c r="UZX9"/>
      <c r="UZY9"/>
      <c r="UZZ9"/>
      <c r="VAA9"/>
      <c r="VAB9"/>
      <c r="VAC9"/>
      <c r="VAD9"/>
      <c r="VAE9"/>
      <c r="VAF9"/>
      <c r="VAG9"/>
      <c r="VAH9"/>
      <c r="VAI9"/>
      <c r="VAJ9"/>
      <c r="VAK9"/>
      <c r="VAL9"/>
      <c r="VAM9"/>
      <c r="VAN9"/>
      <c r="VAO9"/>
      <c r="VAP9"/>
      <c r="VAQ9"/>
      <c r="VAR9"/>
      <c r="VAS9"/>
      <c r="VAT9"/>
      <c r="VAU9"/>
      <c r="VAV9"/>
      <c r="VAW9"/>
      <c r="VAX9"/>
      <c r="VAY9"/>
      <c r="VAZ9"/>
      <c r="VBA9"/>
      <c r="VBB9"/>
      <c r="VBC9"/>
      <c r="VBD9"/>
      <c r="VBE9"/>
      <c r="VBF9"/>
      <c r="VBG9"/>
      <c r="VBH9"/>
      <c r="VBI9"/>
      <c r="VBJ9"/>
      <c r="VBK9"/>
      <c r="VBL9"/>
      <c r="VBM9"/>
      <c r="VBN9"/>
      <c r="VBO9"/>
      <c r="VBP9"/>
      <c r="VBQ9"/>
      <c r="VBR9"/>
      <c r="VBS9"/>
      <c r="VBT9"/>
      <c r="VBU9"/>
      <c r="VBV9"/>
      <c r="VBW9"/>
      <c r="VBX9"/>
      <c r="VBY9"/>
      <c r="VBZ9"/>
      <c r="VCA9"/>
      <c r="VCB9"/>
      <c r="VCC9"/>
      <c r="VCD9"/>
      <c r="VCE9"/>
      <c r="VCF9"/>
      <c r="VCG9"/>
      <c r="VCH9"/>
      <c r="VCI9"/>
      <c r="VCJ9"/>
      <c r="VCK9"/>
      <c r="VCL9"/>
      <c r="VCM9"/>
      <c r="VCN9"/>
      <c r="VCO9"/>
      <c r="VCP9"/>
      <c r="VCQ9"/>
      <c r="VCR9"/>
      <c r="VCS9"/>
      <c r="VCT9"/>
      <c r="VCU9"/>
      <c r="VCV9"/>
      <c r="VCW9"/>
      <c r="VCX9"/>
      <c r="VCY9"/>
      <c r="VCZ9"/>
      <c r="VDA9"/>
      <c r="VDB9"/>
      <c r="VDC9"/>
      <c r="VDD9"/>
      <c r="VDE9"/>
      <c r="VDF9"/>
      <c r="VDG9"/>
      <c r="VDH9"/>
      <c r="VDI9"/>
      <c r="VDJ9"/>
      <c r="VDK9"/>
      <c r="VDL9"/>
      <c r="VDM9"/>
      <c r="VDN9"/>
      <c r="VDO9"/>
      <c r="VDP9"/>
      <c r="VDQ9"/>
      <c r="VDR9"/>
      <c r="VDS9"/>
      <c r="VDT9"/>
      <c r="VDU9"/>
      <c r="VDV9"/>
      <c r="VDW9"/>
      <c r="VDX9"/>
      <c r="VDY9"/>
      <c r="VDZ9"/>
      <c r="VEA9"/>
      <c r="VEB9"/>
      <c r="VEC9"/>
      <c r="VED9"/>
      <c r="VEE9"/>
      <c r="VEF9"/>
      <c r="VEG9"/>
      <c r="VEH9"/>
      <c r="VEI9"/>
      <c r="VEJ9"/>
      <c r="VEK9"/>
      <c r="VEL9"/>
      <c r="VEM9"/>
      <c r="VEN9"/>
      <c r="VEO9"/>
      <c r="VEP9"/>
      <c r="VEQ9"/>
      <c r="VER9"/>
      <c r="VES9"/>
      <c r="VET9"/>
      <c r="VEU9"/>
      <c r="VEV9"/>
      <c r="VEW9"/>
      <c r="VEX9"/>
      <c r="VEY9"/>
      <c r="VEZ9"/>
      <c r="VFA9"/>
      <c r="VFB9"/>
      <c r="VFC9"/>
      <c r="VFD9"/>
      <c r="VFE9"/>
      <c r="VFF9"/>
      <c r="VFG9"/>
      <c r="VFH9"/>
      <c r="VFI9"/>
      <c r="VFJ9"/>
      <c r="VFK9"/>
      <c r="VFL9"/>
      <c r="VFM9"/>
      <c r="VFN9"/>
      <c r="VFO9"/>
      <c r="VFP9"/>
      <c r="VFQ9"/>
      <c r="VFR9"/>
      <c r="VFS9"/>
      <c r="VFT9"/>
      <c r="VFU9"/>
      <c r="VFV9"/>
      <c r="VFW9"/>
      <c r="VFX9"/>
      <c r="VFY9"/>
      <c r="VFZ9"/>
      <c r="VGA9"/>
      <c r="VGB9"/>
      <c r="VGC9"/>
      <c r="VGD9"/>
      <c r="VGE9"/>
      <c r="VGF9"/>
      <c r="VGG9"/>
      <c r="VGH9"/>
      <c r="VGI9"/>
      <c r="VGJ9"/>
      <c r="VGK9"/>
      <c r="VGL9"/>
      <c r="VGM9"/>
      <c r="VGN9"/>
      <c r="VGO9"/>
      <c r="VGP9"/>
      <c r="VGQ9"/>
      <c r="VGR9"/>
      <c r="VGS9"/>
      <c r="VGT9"/>
      <c r="VGU9"/>
      <c r="VGV9"/>
      <c r="VGW9"/>
      <c r="VGX9"/>
      <c r="VGY9"/>
      <c r="VGZ9"/>
      <c r="VHA9"/>
      <c r="VHB9"/>
      <c r="VHC9"/>
      <c r="VHD9"/>
      <c r="VHE9"/>
      <c r="VHF9"/>
      <c r="VHG9"/>
      <c r="VHH9"/>
      <c r="VHI9"/>
      <c r="VHJ9"/>
      <c r="VHK9"/>
      <c r="VHL9"/>
      <c r="VHM9"/>
      <c r="VHN9"/>
      <c r="VHO9"/>
      <c r="VHP9"/>
      <c r="VHQ9"/>
      <c r="VHR9"/>
      <c r="VHS9"/>
      <c r="VHT9"/>
      <c r="VHU9"/>
      <c r="VHV9"/>
      <c r="VHW9"/>
      <c r="VHX9"/>
      <c r="VHY9"/>
      <c r="VHZ9"/>
      <c r="VIA9"/>
      <c r="VIB9"/>
      <c r="VIC9"/>
      <c r="VID9"/>
      <c r="VIE9"/>
      <c r="VIF9"/>
      <c r="VIG9"/>
      <c r="VIH9"/>
      <c r="VII9"/>
      <c r="VIJ9"/>
      <c r="VIK9"/>
      <c r="VIL9"/>
      <c r="VIM9"/>
      <c r="VIN9"/>
      <c r="VIO9"/>
      <c r="VIP9"/>
      <c r="VIQ9"/>
      <c r="VIR9"/>
      <c r="VIS9"/>
      <c r="VIT9"/>
      <c r="VIU9"/>
      <c r="VIV9"/>
      <c r="VIW9"/>
      <c r="VIX9"/>
      <c r="VIY9"/>
      <c r="VIZ9"/>
      <c r="VJA9"/>
      <c r="VJB9"/>
      <c r="VJC9"/>
      <c r="VJD9"/>
      <c r="VJE9"/>
      <c r="VJF9"/>
      <c r="VJG9"/>
      <c r="VJH9"/>
      <c r="VJI9"/>
      <c r="VJJ9"/>
      <c r="VJK9"/>
      <c r="VJL9"/>
      <c r="VJM9"/>
      <c r="VJN9"/>
      <c r="VJO9"/>
      <c r="VJP9"/>
      <c r="VJQ9"/>
      <c r="VJR9"/>
      <c r="VJS9"/>
      <c r="VJT9"/>
      <c r="VJU9"/>
      <c r="VJV9"/>
      <c r="VJW9"/>
      <c r="VJX9"/>
      <c r="VJY9"/>
      <c r="VJZ9"/>
      <c r="VKA9"/>
      <c r="VKB9"/>
      <c r="VKC9"/>
      <c r="VKD9"/>
      <c r="VKE9"/>
      <c r="VKF9"/>
      <c r="VKG9"/>
      <c r="VKH9"/>
      <c r="VKI9"/>
      <c r="VKJ9"/>
      <c r="VKK9"/>
      <c r="VKL9"/>
      <c r="VKM9"/>
      <c r="VKN9"/>
      <c r="VKO9"/>
      <c r="VKP9"/>
      <c r="VKQ9"/>
      <c r="VKR9"/>
      <c r="VKS9"/>
      <c r="VKT9"/>
      <c r="VKU9"/>
      <c r="VKV9"/>
      <c r="VKW9"/>
      <c r="VKX9"/>
      <c r="VKY9"/>
      <c r="VKZ9"/>
      <c r="VLA9"/>
      <c r="VLB9"/>
      <c r="VLC9"/>
      <c r="VLD9"/>
      <c r="VLE9"/>
      <c r="VLF9"/>
      <c r="VLG9"/>
      <c r="VLH9"/>
      <c r="VLI9"/>
      <c r="VLJ9"/>
      <c r="VLK9"/>
      <c r="VLL9"/>
      <c r="VLM9"/>
      <c r="VLN9"/>
      <c r="VLO9"/>
      <c r="VLP9"/>
      <c r="VLQ9"/>
      <c r="VLR9"/>
      <c r="VLS9"/>
      <c r="VLT9"/>
      <c r="VLU9"/>
      <c r="VLV9"/>
      <c r="VLW9"/>
      <c r="VLX9"/>
      <c r="VLY9"/>
      <c r="VLZ9"/>
      <c r="VMA9"/>
      <c r="VMB9"/>
      <c r="VMC9"/>
      <c r="VMD9"/>
      <c r="VME9"/>
      <c r="VMF9"/>
      <c r="VMG9"/>
      <c r="VMH9"/>
      <c r="VMI9"/>
      <c r="VMJ9"/>
      <c r="VMK9"/>
      <c r="VML9"/>
      <c r="VMM9"/>
      <c r="VMN9"/>
      <c r="VMO9"/>
      <c r="VMP9"/>
      <c r="VMQ9"/>
      <c r="VMR9"/>
      <c r="VMS9"/>
      <c r="VMT9"/>
      <c r="VMU9"/>
      <c r="VMV9"/>
      <c r="VMW9"/>
      <c r="VMX9"/>
      <c r="VMY9"/>
      <c r="VMZ9"/>
      <c r="VNA9"/>
      <c r="VNB9"/>
      <c r="VNC9"/>
      <c r="VND9"/>
      <c r="VNE9"/>
      <c r="VNF9"/>
      <c r="VNG9"/>
      <c r="VNH9"/>
      <c r="VNI9"/>
      <c r="VNJ9"/>
      <c r="VNK9"/>
      <c r="VNL9"/>
      <c r="VNM9"/>
      <c r="VNN9"/>
      <c r="VNO9"/>
      <c r="VNP9"/>
      <c r="VNQ9"/>
      <c r="VNR9"/>
      <c r="VNS9"/>
      <c r="VNT9"/>
      <c r="VNU9"/>
      <c r="VNV9"/>
      <c r="VNW9"/>
      <c r="VNX9"/>
      <c r="VNY9"/>
      <c r="VNZ9"/>
      <c r="VOA9"/>
      <c r="VOB9"/>
      <c r="VOC9"/>
      <c r="VOD9"/>
      <c r="VOE9"/>
      <c r="VOF9"/>
      <c r="VOG9"/>
      <c r="VOH9"/>
      <c r="VOI9"/>
      <c r="VOJ9"/>
      <c r="VOK9"/>
      <c r="VOL9"/>
      <c r="VOM9"/>
      <c r="VON9"/>
      <c r="VOO9"/>
      <c r="VOP9"/>
      <c r="VOQ9"/>
      <c r="VOR9"/>
      <c r="VOS9"/>
      <c r="VOT9"/>
      <c r="VOU9"/>
      <c r="VOV9"/>
      <c r="VOW9"/>
      <c r="VOX9"/>
      <c r="VOY9"/>
      <c r="VOZ9"/>
      <c r="VPA9"/>
      <c r="VPB9"/>
      <c r="VPC9"/>
      <c r="VPD9"/>
      <c r="VPE9"/>
      <c r="VPF9"/>
      <c r="VPG9"/>
      <c r="VPH9"/>
      <c r="VPI9"/>
      <c r="VPJ9"/>
      <c r="VPK9"/>
      <c r="VPL9"/>
      <c r="VPM9"/>
      <c r="VPN9"/>
      <c r="VPO9"/>
      <c r="VPP9"/>
      <c r="VPQ9"/>
      <c r="VPR9"/>
      <c r="VPS9"/>
      <c r="VPT9"/>
      <c r="VPU9"/>
      <c r="VPV9"/>
      <c r="VPW9"/>
      <c r="VPX9"/>
      <c r="VPY9"/>
      <c r="VPZ9"/>
      <c r="VQA9"/>
      <c r="VQB9"/>
      <c r="VQC9"/>
      <c r="VQD9"/>
      <c r="VQE9"/>
      <c r="VQF9"/>
      <c r="VQG9"/>
      <c r="VQH9"/>
      <c r="VQI9"/>
      <c r="VQJ9"/>
      <c r="VQK9"/>
      <c r="VQL9"/>
      <c r="VQM9"/>
      <c r="VQN9"/>
      <c r="VQO9"/>
      <c r="VQP9"/>
      <c r="VQQ9"/>
      <c r="VQR9"/>
      <c r="VQS9"/>
      <c r="VQT9"/>
      <c r="VQU9"/>
      <c r="VQV9"/>
      <c r="VQW9"/>
      <c r="VQX9"/>
      <c r="VQY9"/>
      <c r="VQZ9"/>
      <c r="VRA9"/>
      <c r="VRB9"/>
      <c r="VRC9"/>
      <c r="VRD9"/>
      <c r="VRE9"/>
      <c r="VRF9"/>
      <c r="VRG9"/>
      <c r="VRH9"/>
      <c r="VRI9"/>
      <c r="VRJ9"/>
      <c r="VRK9"/>
      <c r="VRL9"/>
      <c r="VRM9"/>
      <c r="VRN9"/>
      <c r="VRO9"/>
      <c r="VRP9"/>
      <c r="VRQ9"/>
      <c r="VRR9"/>
      <c r="VRS9"/>
      <c r="VRT9"/>
      <c r="VRU9"/>
      <c r="VRV9"/>
      <c r="VRW9"/>
      <c r="VRX9"/>
      <c r="VRY9"/>
      <c r="VRZ9"/>
      <c r="VSA9"/>
      <c r="VSB9"/>
      <c r="VSC9"/>
      <c r="VSD9"/>
      <c r="VSE9"/>
      <c r="VSF9"/>
      <c r="VSG9"/>
      <c r="VSH9"/>
      <c r="VSI9"/>
      <c r="VSJ9"/>
      <c r="VSK9"/>
      <c r="VSL9"/>
      <c r="VSM9"/>
      <c r="VSN9"/>
      <c r="VSO9"/>
      <c r="VSP9"/>
      <c r="VSQ9"/>
      <c r="VSR9"/>
      <c r="VSS9"/>
      <c r="VST9"/>
      <c r="VSU9"/>
      <c r="VSV9"/>
      <c r="VSW9"/>
      <c r="VSX9"/>
      <c r="VSY9"/>
      <c r="VSZ9"/>
      <c r="VTA9"/>
      <c r="VTB9"/>
      <c r="VTC9"/>
      <c r="VTD9"/>
      <c r="VTE9"/>
      <c r="VTF9"/>
      <c r="VTG9"/>
      <c r="VTH9"/>
      <c r="VTI9"/>
      <c r="VTJ9"/>
      <c r="VTK9"/>
      <c r="VTL9"/>
      <c r="VTM9"/>
      <c r="VTN9"/>
      <c r="VTO9"/>
      <c r="VTP9"/>
      <c r="VTQ9"/>
      <c r="VTR9"/>
      <c r="VTS9"/>
      <c r="VTT9"/>
      <c r="VTU9"/>
      <c r="VTV9"/>
      <c r="VTW9"/>
      <c r="VTX9"/>
      <c r="VTY9"/>
      <c r="VTZ9"/>
      <c r="VUA9"/>
      <c r="VUB9"/>
      <c r="VUC9"/>
      <c r="VUD9"/>
      <c r="VUE9"/>
      <c r="VUF9"/>
      <c r="VUG9"/>
      <c r="VUH9"/>
      <c r="VUI9"/>
      <c r="VUJ9"/>
      <c r="VUK9"/>
      <c r="VUL9"/>
      <c r="VUM9"/>
      <c r="VUN9"/>
      <c r="VUO9"/>
      <c r="VUP9"/>
      <c r="VUQ9"/>
      <c r="VUR9"/>
      <c r="VUS9"/>
      <c r="VUT9"/>
      <c r="VUU9"/>
      <c r="VUV9"/>
      <c r="VUW9"/>
      <c r="VUX9"/>
      <c r="VUY9"/>
      <c r="VUZ9"/>
      <c r="VVA9"/>
      <c r="VVB9"/>
      <c r="VVC9"/>
      <c r="VVD9"/>
      <c r="VVE9"/>
      <c r="VVF9"/>
      <c r="VVG9"/>
      <c r="VVH9"/>
      <c r="VVI9"/>
      <c r="VVJ9"/>
      <c r="VVK9"/>
      <c r="VVL9"/>
      <c r="VVM9"/>
      <c r="VVN9"/>
      <c r="VVO9"/>
      <c r="VVP9"/>
      <c r="VVQ9"/>
      <c r="VVR9"/>
      <c r="VVS9"/>
      <c r="VVT9"/>
      <c r="VVU9"/>
      <c r="VVV9"/>
      <c r="VVW9"/>
      <c r="VVX9"/>
      <c r="VVY9"/>
      <c r="VVZ9"/>
      <c r="VWA9"/>
      <c r="VWB9"/>
      <c r="VWC9"/>
      <c r="VWD9"/>
      <c r="VWE9"/>
      <c r="VWF9"/>
      <c r="VWG9"/>
      <c r="VWH9"/>
      <c r="VWI9"/>
      <c r="VWJ9"/>
      <c r="VWK9"/>
      <c r="VWL9"/>
      <c r="VWM9"/>
      <c r="VWN9"/>
      <c r="VWO9"/>
      <c r="VWP9"/>
      <c r="VWQ9"/>
      <c r="VWR9"/>
      <c r="VWS9"/>
      <c r="VWT9"/>
      <c r="VWU9"/>
      <c r="VWV9"/>
      <c r="VWW9"/>
      <c r="VWX9"/>
      <c r="VWY9"/>
      <c r="VWZ9"/>
      <c r="VXA9"/>
      <c r="VXB9"/>
      <c r="VXC9"/>
      <c r="VXD9"/>
      <c r="VXE9"/>
      <c r="VXF9"/>
      <c r="VXG9"/>
      <c r="VXH9"/>
      <c r="VXI9"/>
      <c r="VXJ9"/>
      <c r="VXK9"/>
      <c r="VXL9"/>
      <c r="VXM9"/>
      <c r="VXN9"/>
      <c r="VXO9"/>
      <c r="VXP9"/>
      <c r="VXQ9"/>
      <c r="VXR9"/>
      <c r="VXS9"/>
      <c r="VXT9"/>
      <c r="VXU9"/>
      <c r="VXV9"/>
      <c r="VXW9"/>
      <c r="VXX9"/>
      <c r="VXY9"/>
      <c r="VXZ9"/>
      <c r="VYA9"/>
      <c r="VYB9"/>
      <c r="VYC9"/>
      <c r="VYD9"/>
      <c r="VYE9"/>
      <c r="VYF9"/>
      <c r="VYG9"/>
      <c r="VYH9"/>
      <c r="VYI9"/>
      <c r="VYJ9"/>
      <c r="VYK9"/>
      <c r="VYL9"/>
      <c r="VYM9"/>
      <c r="VYN9"/>
      <c r="VYO9"/>
      <c r="VYP9"/>
      <c r="VYQ9"/>
      <c r="VYR9"/>
      <c r="VYS9"/>
      <c r="VYT9"/>
      <c r="VYU9"/>
      <c r="VYV9"/>
      <c r="VYW9"/>
      <c r="VYX9"/>
      <c r="VYY9"/>
      <c r="VYZ9"/>
      <c r="VZA9"/>
      <c r="VZB9"/>
      <c r="VZC9"/>
      <c r="VZD9"/>
      <c r="VZE9"/>
      <c r="VZF9"/>
      <c r="VZG9"/>
      <c r="VZH9"/>
      <c r="VZI9"/>
      <c r="VZJ9"/>
      <c r="VZK9"/>
      <c r="VZL9"/>
      <c r="VZM9"/>
      <c r="VZN9"/>
      <c r="VZO9"/>
      <c r="VZP9"/>
      <c r="VZQ9"/>
      <c r="VZR9"/>
      <c r="VZS9"/>
      <c r="VZT9"/>
      <c r="VZU9"/>
      <c r="VZV9"/>
      <c r="VZW9"/>
      <c r="VZX9"/>
      <c r="VZY9"/>
      <c r="VZZ9"/>
      <c r="WAA9"/>
      <c r="WAB9"/>
      <c r="WAC9"/>
      <c r="WAD9"/>
      <c r="WAE9"/>
      <c r="WAF9"/>
      <c r="WAG9"/>
      <c r="WAH9"/>
      <c r="WAI9"/>
      <c r="WAJ9"/>
      <c r="WAK9"/>
      <c r="WAL9"/>
      <c r="WAM9"/>
      <c r="WAN9"/>
      <c r="WAO9"/>
      <c r="WAP9"/>
      <c r="WAQ9"/>
      <c r="WAR9"/>
      <c r="WAS9"/>
      <c r="WAT9"/>
      <c r="WAU9"/>
      <c r="WAV9"/>
      <c r="WAW9"/>
      <c r="WAX9"/>
      <c r="WAY9"/>
      <c r="WAZ9"/>
      <c r="WBA9"/>
      <c r="WBB9"/>
      <c r="WBC9"/>
      <c r="WBD9"/>
      <c r="WBE9"/>
      <c r="WBF9"/>
      <c r="WBG9"/>
      <c r="WBH9"/>
      <c r="WBI9"/>
      <c r="WBJ9"/>
      <c r="WBK9"/>
      <c r="WBL9"/>
      <c r="WBM9"/>
      <c r="WBN9"/>
      <c r="WBO9"/>
      <c r="WBP9"/>
      <c r="WBQ9"/>
      <c r="WBR9"/>
      <c r="WBS9"/>
      <c r="WBT9"/>
      <c r="WBU9"/>
      <c r="WBV9"/>
      <c r="WBW9"/>
      <c r="WBX9"/>
      <c r="WBY9"/>
      <c r="WBZ9"/>
      <c r="WCA9"/>
      <c r="WCB9"/>
      <c r="WCC9"/>
      <c r="WCD9"/>
      <c r="WCE9"/>
      <c r="WCF9"/>
      <c r="WCG9"/>
      <c r="WCH9"/>
      <c r="WCI9"/>
      <c r="WCJ9"/>
      <c r="WCK9"/>
      <c r="WCL9"/>
      <c r="WCM9"/>
      <c r="WCN9"/>
      <c r="WCO9"/>
      <c r="WCP9"/>
      <c r="WCQ9"/>
      <c r="WCR9"/>
      <c r="WCS9"/>
      <c r="WCT9"/>
      <c r="WCU9"/>
      <c r="WCV9"/>
      <c r="WCW9"/>
      <c r="WCX9"/>
      <c r="WCY9"/>
      <c r="WCZ9"/>
      <c r="WDA9"/>
      <c r="WDB9"/>
      <c r="WDC9"/>
      <c r="WDD9"/>
      <c r="WDE9"/>
      <c r="WDF9"/>
      <c r="WDG9"/>
      <c r="WDH9"/>
      <c r="WDI9"/>
      <c r="WDJ9"/>
      <c r="WDK9"/>
      <c r="WDL9"/>
      <c r="WDM9"/>
      <c r="WDN9"/>
      <c r="WDO9"/>
      <c r="WDP9"/>
      <c r="WDQ9"/>
      <c r="WDR9"/>
      <c r="WDS9"/>
      <c r="WDT9"/>
      <c r="WDU9"/>
      <c r="WDV9"/>
      <c r="WDW9"/>
      <c r="WDX9"/>
      <c r="WDY9"/>
      <c r="WDZ9"/>
      <c r="WEA9"/>
      <c r="WEB9"/>
      <c r="WEC9"/>
      <c r="WED9"/>
      <c r="WEE9"/>
      <c r="WEF9"/>
      <c r="WEG9"/>
      <c r="WEH9"/>
      <c r="WEI9"/>
      <c r="WEJ9"/>
      <c r="WEK9"/>
      <c r="WEL9"/>
      <c r="WEM9"/>
      <c r="WEN9"/>
      <c r="WEO9"/>
      <c r="WEP9"/>
      <c r="WEQ9"/>
      <c r="WER9"/>
      <c r="WES9"/>
      <c r="WET9"/>
      <c r="WEU9"/>
      <c r="WEV9"/>
      <c r="WEW9"/>
      <c r="WEX9"/>
      <c r="WEY9"/>
      <c r="WEZ9"/>
      <c r="WFA9"/>
      <c r="WFB9"/>
      <c r="WFC9"/>
      <c r="WFD9"/>
      <c r="WFE9"/>
      <c r="WFF9"/>
      <c r="WFG9"/>
      <c r="WFH9"/>
      <c r="WFI9"/>
      <c r="WFJ9"/>
      <c r="WFK9"/>
      <c r="WFL9"/>
      <c r="WFM9"/>
      <c r="WFN9"/>
      <c r="WFO9"/>
      <c r="WFP9"/>
      <c r="WFQ9"/>
      <c r="WFR9"/>
      <c r="WFS9"/>
      <c r="WFT9"/>
      <c r="WFU9"/>
      <c r="WFV9"/>
      <c r="WFW9"/>
      <c r="WFX9"/>
      <c r="WFY9"/>
      <c r="WFZ9"/>
      <c r="WGA9"/>
      <c r="WGB9"/>
      <c r="WGC9"/>
      <c r="WGD9"/>
      <c r="WGE9"/>
      <c r="WGF9"/>
      <c r="WGG9"/>
      <c r="WGH9"/>
      <c r="WGI9"/>
      <c r="WGJ9"/>
      <c r="WGK9"/>
      <c r="WGL9"/>
      <c r="WGM9"/>
      <c r="WGN9"/>
      <c r="WGO9"/>
      <c r="WGP9"/>
      <c r="WGQ9"/>
      <c r="WGR9"/>
      <c r="WGS9"/>
      <c r="WGT9"/>
      <c r="WGU9"/>
      <c r="WGV9"/>
      <c r="WGW9"/>
      <c r="WGX9"/>
      <c r="WGY9"/>
      <c r="WGZ9"/>
      <c r="WHA9"/>
      <c r="WHB9"/>
      <c r="WHC9"/>
      <c r="WHD9"/>
      <c r="WHE9"/>
      <c r="WHF9"/>
      <c r="WHG9"/>
      <c r="WHH9"/>
      <c r="WHI9"/>
      <c r="WHJ9"/>
      <c r="WHK9"/>
      <c r="WHL9"/>
      <c r="WHM9"/>
      <c r="WHN9"/>
      <c r="WHO9"/>
      <c r="WHP9"/>
      <c r="WHQ9"/>
      <c r="WHR9"/>
      <c r="WHS9"/>
      <c r="WHT9"/>
      <c r="WHU9"/>
      <c r="WHV9"/>
      <c r="WHW9"/>
      <c r="WHX9"/>
      <c r="WHY9"/>
      <c r="WHZ9"/>
      <c r="WIA9"/>
      <c r="WIB9"/>
      <c r="WIC9"/>
      <c r="WID9"/>
      <c r="WIE9"/>
      <c r="WIF9"/>
      <c r="WIG9"/>
      <c r="WIH9"/>
      <c r="WII9"/>
      <c r="WIJ9"/>
      <c r="WIK9"/>
      <c r="WIL9"/>
      <c r="WIM9"/>
      <c r="WIN9"/>
      <c r="WIO9"/>
      <c r="WIP9"/>
      <c r="WIQ9"/>
      <c r="WIR9"/>
      <c r="WIS9"/>
      <c r="WIT9"/>
      <c r="WIU9"/>
      <c r="WIV9"/>
      <c r="WIW9"/>
      <c r="WIX9"/>
      <c r="WIY9"/>
      <c r="WIZ9"/>
      <c r="WJA9"/>
      <c r="WJB9"/>
      <c r="WJC9"/>
      <c r="WJD9"/>
      <c r="WJE9"/>
      <c r="WJF9"/>
      <c r="WJG9"/>
      <c r="WJH9"/>
      <c r="WJI9"/>
      <c r="WJJ9"/>
      <c r="WJK9"/>
      <c r="WJL9"/>
      <c r="WJM9"/>
      <c r="WJN9"/>
      <c r="WJO9"/>
      <c r="WJP9"/>
      <c r="WJQ9"/>
      <c r="WJR9"/>
      <c r="WJS9"/>
      <c r="WJT9"/>
      <c r="WJU9"/>
      <c r="WJV9"/>
      <c r="WJW9"/>
      <c r="WJX9"/>
      <c r="WJY9"/>
      <c r="WJZ9"/>
      <c r="WKA9"/>
      <c r="WKB9"/>
      <c r="WKC9"/>
      <c r="WKD9"/>
      <c r="WKE9"/>
      <c r="WKF9"/>
      <c r="WKG9"/>
      <c r="WKH9"/>
      <c r="WKI9"/>
      <c r="WKJ9"/>
      <c r="WKK9"/>
      <c r="WKL9"/>
      <c r="WKM9"/>
      <c r="WKN9"/>
      <c r="WKO9"/>
      <c r="WKP9"/>
      <c r="WKQ9"/>
      <c r="WKR9"/>
      <c r="WKS9"/>
      <c r="WKT9"/>
      <c r="WKU9"/>
      <c r="WKV9"/>
      <c r="WKW9"/>
      <c r="WKX9"/>
      <c r="WKY9"/>
      <c r="WKZ9"/>
      <c r="WLA9"/>
      <c r="WLB9"/>
      <c r="WLC9"/>
      <c r="WLD9"/>
      <c r="WLE9"/>
      <c r="WLF9"/>
      <c r="WLG9"/>
      <c r="WLH9"/>
      <c r="WLI9"/>
      <c r="WLJ9"/>
      <c r="WLK9"/>
      <c r="WLL9"/>
      <c r="WLM9"/>
      <c r="WLN9"/>
      <c r="WLO9"/>
      <c r="WLP9"/>
      <c r="WLQ9"/>
      <c r="WLR9"/>
      <c r="WLS9"/>
      <c r="WLT9"/>
      <c r="WLU9"/>
      <c r="WLV9"/>
      <c r="WLW9"/>
      <c r="WLX9"/>
      <c r="WLY9"/>
      <c r="WLZ9"/>
      <c r="WMA9"/>
      <c r="WMB9"/>
      <c r="WMC9"/>
      <c r="WMD9"/>
      <c r="WME9"/>
      <c r="WMF9"/>
      <c r="WMG9"/>
      <c r="WMH9"/>
      <c r="WMI9"/>
      <c r="WMJ9"/>
      <c r="WMK9"/>
      <c r="WML9"/>
      <c r="WMM9"/>
      <c r="WMN9"/>
      <c r="WMO9"/>
      <c r="WMP9"/>
      <c r="WMQ9"/>
      <c r="WMR9"/>
      <c r="WMS9"/>
      <c r="WMT9"/>
      <c r="WMU9"/>
      <c r="WMV9"/>
      <c r="WMW9"/>
      <c r="WMX9"/>
      <c r="WMY9"/>
      <c r="WMZ9"/>
      <c r="WNA9"/>
      <c r="WNB9"/>
      <c r="WNC9"/>
      <c r="WND9"/>
      <c r="WNE9"/>
      <c r="WNF9"/>
      <c r="WNG9"/>
      <c r="WNH9"/>
      <c r="WNI9"/>
      <c r="WNJ9"/>
      <c r="WNK9"/>
      <c r="WNL9"/>
      <c r="WNM9"/>
      <c r="WNN9"/>
      <c r="WNO9"/>
      <c r="WNP9"/>
      <c r="WNQ9"/>
      <c r="WNR9"/>
      <c r="WNS9"/>
      <c r="WNT9"/>
      <c r="WNU9"/>
      <c r="WNV9"/>
      <c r="WNW9"/>
      <c r="WNX9"/>
      <c r="WNY9"/>
      <c r="WNZ9"/>
      <c r="WOA9"/>
      <c r="WOB9"/>
      <c r="WOC9"/>
      <c r="WOD9"/>
      <c r="WOE9"/>
      <c r="WOF9"/>
      <c r="WOG9"/>
      <c r="WOH9"/>
      <c r="WOI9"/>
      <c r="WOJ9"/>
      <c r="WOK9"/>
      <c r="WOL9"/>
      <c r="WOM9"/>
      <c r="WON9"/>
      <c r="WOO9"/>
      <c r="WOP9"/>
      <c r="WOQ9"/>
      <c r="WOR9"/>
      <c r="WOS9"/>
      <c r="WOT9"/>
      <c r="WOU9"/>
      <c r="WOV9"/>
      <c r="WOW9"/>
      <c r="WOX9"/>
      <c r="WOY9"/>
      <c r="WOZ9"/>
      <c r="WPA9"/>
      <c r="WPB9"/>
      <c r="WPC9"/>
      <c r="WPD9"/>
      <c r="WPE9"/>
      <c r="WPF9"/>
      <c r="WPG9"/>
      <c r="WPH9"/>
      <c r="WPI9"/>
      <c r="WPJ9"/>
      <c r="WPK9"/>
      <c r="WPL9"/>
      <c r="WPM9"/>
      <c r="WPN9"/>
      <c r="WPO9"/>
      <c r="WPP9"/>
      <c r="WPQ9"/>
      <c r="WPR9"/>
      <c r="WPS9"/>
      <c r="WPT9"/>
      <c r="WPU9"/>
      <c r="WPV9"/>
      <c r="WPW9"/>
      <c r="WPX9"/>
      <c r="WPY9"/>
      <c r="WPZ9"/>
      <c r="WQA9"/>
      <c r="WQB9"/>
      <c r="WQC9"/>
      <c r="WQD9"/>
      <c r="WQE9"/>
      <c r="WQF9"/>
      <c r="WQG9"/>
      <c r="WQH9"/>
      <c r="WQI9"/>
      <c r="WQJ9"/>
      <c r="WQK9"/>
      <c r="WQL9"/>
      <c r="WQM9"/>
      <c r="WQN9"/>
      <c r="WQO9"/>
      <c r="WQP9"/>
      <c r="WQQ9"/>
      <c r="WQR9"/>
      <c r="WQS9"/>
      <c r="WQT9"/>
      <c r="WQU9"/>
      <c r="WQV9"/>
      <c r="WQW9"/>
      <c r="WQX9"/>
      <c r="WQY9"/>
      <c r="WQZ9"/>
      <c r="WRA9"/>
      <c r="WRB9"/>
      <c r="WRC9"/>
      <c r="WRD9"/>
      <c r="WRE9"/>
      <c r="WRF9"/>
      <c r="WRG9"/>
      <c r="WRH9"/>
      <c r="WRI9"/>
      <c r="WRJ9"/>
      <c r="WRK9"/>
      <c r="WRL9"/>
      <c r="WRM9"/>
      <c r="WRN9"/>
      <c r="WRO9"/>
      <c r="WRP9"/>
      <c r="WRQ9"/>
      <c r="WRR9"/>
      <c r="WRS9"/>
      <c r="WRT9"/>
      <c r="WRU9"/>
      <c r="WRV9"/>
      <c r="WRW9"/>
      <c r="WRX9"/>
      <c r="WRY9"/>
      <c r="WRZ9"/>
      <c r="WSA9"/>
      <c r="WSB9"/>
      <c r="WSC9"/>
      <c r="WSD9"/>
      <c r="WSE9"/>
      <c r="WSF9"/>
      <c r="WSG9"/>
      <c r="WSH9"/>
      <c r="WSI9"/>
      <c r="WSJ9"/>
      <c r="WSK9"/>
      <c r="WSL9"/>
      <c r="WSM9"/>
      <c r="WSN9"/>
      <c r="WSO9"/>
      <c r="WSP9"/>
      <c r="WSQ9"/>
      <c r="WSR9"/>
      <c r="WSS9"/>
      <c r="WST9"/>
      <c r="WSU9"/>
      <c r="WSV9"/>
      <c r="WSW9"/>
      <c r="WSX9"/>
      <c r="WSY9"/>
      <c r="WSZ9"/>
      <c r="WTA9"/>
      <c r="WTB9"/>
      <c r="WTC9"/>
      <c r="WTD9"/>
      <c r="WTE9"/>
      <c r="WTF9"/>
      <c r="WTG9"/>
      <c r="WTH9"/>
      <c r="WTI9"/>
      <c r="WTJ9"/>
      <c r="WTK9"/>
      <c r="WTL9"/>
      <c r="WTM9"/>
      <c r="WTN9"/>
      <c r="WTO9"/>
      <c r="WTP9"/>
      <c r="WTQ9"/>
      <c r="WTR9"/>
      <c r="WTS9"/>
      <c r="WTT9"/>
      <c r="WTU9"/>
      <c r="WTV9"/>
      <c r="WTW9"/>
      <c r="WTX9"/>
      <c r="WTY9"/>
      <c r="WTZ9"/>
      <c r="WUA9"/>
      <c r="WUB9"/>
      <c r="WUC9"/>
      <c r="WUD9"/>
      <c r="WUE9"/>
      <c r="WUF9"/>
      <c r="WUG9"/>
      <c r="WUH9"/>
      <c r="WUI9"/>
      <c r="WUJ9"/>
      <c r="WUK9"/>
      <c r="WUL9"/>
      <c r="WUM9"/>
      <c r="WUN9"/>
      <c r="WUO9"/>
      <c r="WUP9"/>
      <c r="WUQ9"/>
      <c r="WUR9"/>
      <c r="WUS9"/>
      <c r="WUT9"/>
      <c r="WUU9"/>
      <c r="WUV9"/>
      <c r="WUW9"/>
      <c r="WUX9"/>
      <c r="WUY9"/>
      <c r="WUZ9"/>
      <c r="WVA9"/>
      <c r="WVB9"/>
      <c r="WVC9"/>
      <c r="WVD9"/>
      <c r="WVE9"/>
      <c r="WVF9"/>
      <c r="WVG9"/>
      <c r="WVH9"/>
      <c r="WVI9"/>
      <c r="WVJ9"/>
      <c r="WVK9"/>
      <c r="WVL9"/>
      <c r="WVM9"/>
      <c r="WVN9"/>
      <c r="WVO9"/>
      <c r="WVP9"/>
      <c r="WVQ9"/>
      <c r="WVR9"/>
      <c r="WVS9"/>
      <c r="WVT9"/>
      <c r="WVU9"/>
      <c r="WVV9"/>
      <c r="WVW9"/>
      <c r="WVX9"/>
      <c r="WVY9"/>
      <c r="WVZ9"/>
      <c r="WWA9"/>
      <c r="WWB9"/>
      <c r="WWC9"/>
      <c r="WWD9"/>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c r="XER9"/>
      <c r="XES9"/>
      <c r="XET9"/>
      <c r="XEU9"/>
      <c r="XEV9"/>
      <c r="XEW9"/>
      <c r="XEX9"/>
      <c r="XEY9"/>
      <c r="XEZ9"/>
      <c r="XFA9"/>
      <c r="XFB9"/>
      <c r="XFC9"/>
      <c r="XFD9"/>
    </row>
    <row r="10" spans="1:16384">
      <c r="A10" s="50" t="s">
        <v>103</v>
      </c>
    </row>
    <row r="11" spans="1:16384" s="50" customFormat="1">
      <c r="A11" s="50" t="s">
        <v>340</v>
      </c>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c r="XER11"/>
      <c r="XES11"/>
      <c r="XET11"/>
      <c r="XEU11"/>
      <c r="XEV11"/>
      <c r="XEW11"/>
      <c r="XEX11"/>
      <c r="XEY11"/>
      <c r="XEZ11"/>
      <c r="XFA11"/>
      <c r="XFB11"/>
      <c r="XFC11"/>
      <c r="XFD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sheetViews>
  <sheetFormatPr defaultRowHeight="15"/>
  <sheetData>
    <row r="1" spans="1:4">
      <c r="A1" s="79" t="s">
        <v>334</v>
      </c>
    </row>
    <row r="2" spans="1:4">
      <c r="A2" s="79"/>
    </row>
    <row r="3" spans="1:4">
      <c r="A3" s="94" t="s">
        <v>40</v>
      </c>
      <c r="B3" s="95" t="s">
        <v>8</v>
      </c>
      <c r="C3" s="96" t="s">
        <v>9</v>
      </c>
      <c r="D3" s="95" t="s">
        <v>79</v>
      </c>
    </row>
    <row r="4" spans="1:4">
      <c r="A4" s="3">
        <v>1982</v>
      </c>
      <c r="B4" s="21">
        <v>1.3600000000000001E-3</v>
      </c>
      <c r="C4" s="21">
        <v>2.2749999999999999E-2</v>
      </c>
      <c r="D4" s="21">
        <v>6.6299999999999996E-3</v>
      </c>
    </row>
    <row r="5" spans="1:4">
      <c r="A5" s="3">
        <v>1983</v>
      </c>
      <c r="B5" s="21">
        <v>0</v>
      </c>
      <c r="C5" s="21">
        <v>1.8120000000000001E-2</v>
      </c>
      <c r="D5" s="21">
        <v>4.5599999999999998E-3</v>
      </c>
    </row>
    <row r="6" spans="1:4">
      <c r="A6" s="3">
        <v>1984</v>
      </c>
      <c r="B6" s="21">
        <v>4.8999999999999998E-4</v>
      </c>
      <c r="C6" s="21">
        <v>1.7010000000000001E-2</v>
      </c>
      <c r="D6" s="21">
        <v>4.7299999999999998E-3</v>
      </c>
    </row>
    <row r="7" spans="1:4">
      <c r="A7" s="3">
        <v>1985</v>
      </c>
      <c r="B7" s="21">
        <v>0</v>
      </c>
      <c r="C7" s="21">
        <v>1.383E-2</v>
      </c>
      <c r="D7" s="21">
        <v>3.82E-3</v>
      </c>
    </row>
    <row r="8" spans="1:4">
      <c r="A8" s="3">
        <v>1986</v>
      </c>
      <c r="B8" s="21">
        <v>1.1999999999999999E-3</v>
      </c>
      <c r="C8" s="21">
        <v>2.7709999999999999E-2</v>
      </c>
      <c r="D8" s="21">
        <v>9.1699999999999993E-3</v>
      </c>
    </row>
    <row r="9" spans="1:4">
      <c r="A9" s="3">
        <v>1987</v>
      </c>
      <c r="B9" s="21">
        <v>0</v>
      </c>
      <c r="C9" s="21">
        <v>1.601E-2</v>
      </c>
      <c r="D9" s="21">
        <v>5.7600000000000004E-3</v>
      </c>
    </row>
    <row r="10" spans="1:4">
      <c r="A10" s="3">
        <v>1988</v>
      </c>
      <c r="B10" s="21">
        <v>0</v>
      </c>
      <c r="C10" s="21">
        <v>1.9439999999999999E-2</v>
      </c>
      <c r="D10" s="21">
        <v>7.5100000000000002E-3</v>
      </c>
    </row>
    <row r="11" spans="1:4">
      <c r="A11" s="3">
        <v>1989</v>
      </c>
      <c r="B11" s="21">
        <v>1.7099999999999999E-3</v>
      </c>
      <c r="C11" s="21">
        <v>3.2590000000000001E-2</v>
      </c>
      <c r="D11" s="21">
        <v>1.346E-2</v>
      </c>
    </row>
    <row r="12" spans="1:4">
      <c r="A12" s="3">
        <v>1990</v>
      </c>
      <c r="B12" s="21">
        <v>0</v>
      </c>
      <c r="C12" s="21">
        <v>6.3420000000000004E-2</v>
      </c>
      <c r="D12" s="21">
        <v>2.3189999999999999E-2</v>
      </c>
    </row>
    <row r="13" spans="1:4">
      <c r="A13" s="3">
        <v>1991</v>
      </c>
      <c r="B13" s="21">
        <v>4.4000000000000002E-4</v>
      </c>
      <c r="C13" s="21">
        <v>5.985E-2</v>
      </c>
      <c r="D13" s="21">
        <v>1.958E-2</v>
      </c>
    </row>
    <row r="14" spans="1:4">
      <c r="A14" s="3">
        <v>1992</v>
      </c>
      <c r="B14" s="21">
        <v>0</v>
      </c>
      <c r="C14" s="21">
        <v>2.6499999999999999E-2</v>
      </c>
      <c r="D14" s="21">
        <v>7.62E-3</v>
      </c>
    </row>
    <row r="15" spans="1:4">
      <c r="A15" s="3">
        <v>1993</v>
      </c>
      <c r="B15" s="21">
        <v>0</v>
      </c>
      <c r="C15" s="21">
        <v>1.9810000000000001E-2</v>
      </c>
      <c r="D15" s="21">
        <v>5.5900000000000004E-3</v>
      </c>
    </row>
    <row r="16" spans="1:4">
      <c r="A16" s="3">
        <v>1994</v>
      </c>
      <c r="B16" s="21">
        <v>0</v>
      </c>
      <c r="C16" s="21">
        <v>9.92E-3</v>
      </c>
      <c r="D16" s="21">
        <v>3.0699999999999998E-3</v>
      </c>
    </row>
    <row r="17" spans="1:4">
      <c r="A17" s="3">
        <v>1995</v>
      </c>
      <c r="B17" s="21">
        <v>0</v>
      </c>
      <c r="C17" s="21">
        <v>1.6039999999999999E-2</v>
      </c>
      <c r="D17" s="21">
        <v>5.4000000000000003E-3</v>
      </c>
    </row>
    <row r="18" spans="1:4">
      <c r="A18" s="3">
        <v>1996</v>
      </c>
      <c r="B18" s="21">
        <v>0</v>
      </c>
      <c r="C18" s="21">
        <v>6.4000000000000003E-3</v>
      </c>
      <c r="D18" s="21">
        <v>2.1900000000000001E-3</v>
      </c>
    </row>
    <row r="19" spans="1:4">
      <c r="A19" s="3">
        <v>1997</v>
      </c>
      <c r="B19" s="21">
        <v>0</v>
      </c>
      <c r="C19" s="21">
        <v>9.4199999999999996E-3</v>
      </c>
      <c r="D19" s="21">
        <v>3.3600000000000001E-3</v>
      </c>
    </row>
    <row r="20" spans="1:4">
      <c r="A20" s="3">
        <v>1998</v>
      </c>
      <c r="B20" s="21">
        <v>2.7E-4</v>
      </c>
      <c r="C20" s="21">
        <v>1.9939999999999999E-2</v>
      </c>
      <c r="D20" s="21">
        <v>7.9600000000000001E-3</v>
      </c>
    </row>
    <row r="21" spans="1:4">
      <c r="A21" s="3">
        <v>1999</v>
      </c>
      <c r="B21" s="21">
        <v>2.5000000000000001E-4</v>
      </c>
      <c r="C21" s="21">
        <v>3.5290000000000002E-2</v>
      </c>
      <c r="D21" s="21">
        <v>1.4930000000000001E-2</v>
      </c>
    </row>
    <row r="22" spans="1:4">
      <c r="A22" s="3">
        <v>2000</v>
      </c>
      <c r="B22" s="21">
        <v>1.1900000000000001E-3</v>
      </c>
      <c r="C22" s="21">
        <v>5.0700000000000002E-2</v>
      </c>
      <c r="D22" s="21">
        <v>2.163E-2</v>
      </c>
    </row>
    <row r="23" spans="1:4">
      <c r="A23" s="3">
        <v>2001</v>
      </c>
      <c r="B23" s="21">
        <v>1.1999999999999999E-3</v>
      </c>
      <c r="C23" s="21">
        <v>8.5300000000000001E-2</v>
      </c>
      <c r="D23" s="21">
        <v>3.422E-2</v>
      </c>
    </row>
    <row r="24" spans="1:4">
      <c r="A24" s="3">
        <v>2002</v>
      </c>
      <c r="B24" s="21">
        <v>3.47E-3</v>
      </c>
      <c r="C24" s="21">
        <v>5.8999999999999997E-2</v>
      </c>
      <c r="D24" s="21">
        <v>2.3390000000000001E-2</v>
      </c>
    </row>
    <row r="25" spans="1:4">
      <c r="A25" s="3">
        <v>2003</v>
      </c>
      <c r="B25" s="21">
        <v>0</v>
      </c>
      <c r="C25" s="21">
        <v>3.2129999999999999E-2</v>
      </c>
      <c r="D25" s="21">
        <v>1.1730000000000001E-2</v>
      </c>
    </row>
    <row r="26" spans="1:4">
      <c r="A26" s="3">
        <v>2004</v>
      </c>
      <c r="B26" s="21">
        <v>0</v>
      </c>
      <c r="C26" s="21">
        <v>1.225E-2</v>
      </c>
      <c r="D26" s="21">
        <v>4.4999999999999997E-3</v>
      </c>
    </row>
    <row r="27" spans="1:4">
      <c r="A27" s="3">
        <v>2005</v>
      </c>
      <c r="B27" s="21">
        <v>3.5E-4</v>
      </c>
      <c r="C27" s="21">
        <v>8.4600000000000005E-3</v>
      </c>
      <c r="D27" s="21">
        <v>3.4299999999999999E-3</v>
      </c>
    </row>
    <row r="28" spans="1:4">
      <c r="A28" s="3">
        <v>2006</v>
      </c>
      <c r="B28" s="21">
        <v>0</v>
      </c>
      <c r="C28" s="21">
        <v>8.3599999999999994E-3</v>
      </c>
      <c r="D28" s="21">
        <v>3.2399999999999998E-3</v>
      </c>
    </row>
    <row r="29" spans="1:4">
      <c r="A29" s="3">
        <v>2007</v>
      </c>
      <c r="B29" s="21">
        <v>0</v>
      </c>
      <c r="C29" s="21">
        <v>4.5500000000000002E-3</v>
      </c>
      <c r="D29" s="21">
        <v>1.8600000000000001E-3</v>
      </c>
    </row>
    <row r="30" spans="1:4">
      <c r="A30" s="3">
        <v>2008</v>
      </c>
      <c r="B30" s="21">
        <v>3.64E-3</v>
      </c>
      <c r="C30" s="21">
        <v>3.0040000000000001E-2</v>
      </c>
      <c r="D30" s="21">
        <v>1.5049999999999999E-2</v>
      </c>
    </row>
    <row r="31" spans="1:4">
      <c r="A31" s="4">
        <v>2009</v>
      </c>
      <c r="B31" s="21">
        <v>2.7899999999999999E-3</v>
      </c>
      <c r="C31" s="21">
        <v>8.4099999999999994E-2</v>
      </c>
      <c r="D31" s="21">
        <v>3.7900000000000003E-2</v>
      </c>
    </row>
    <row r="32" spans="1:4">
      <c r="A32" s="4">
        <v>2010</v>
      </c>
      <c r="B32" s="21">
        <v>4.0999999999999999E-4</v>
      </c>
      <c r="C32" s="21">
        <v>1.6039999999999999E-2</v>
      </c>
      <c r="D32" s="21">
        <v>6.8399999999999997E-3</v>
      </c>
    </row>
    <row r="33" spans="1:4">
      <c r="A33" s="4">
        <v>2011</v>
      </c>
      <c r="B33" s="21">
        <v>2.4000000000000001E-4</v>
      </c>
      <c r="C33" s="21">
        <v>1.18E-2</v>
      </c>
      <c r="D33" s="21">
        <v>5.2199999999999998E-3</v>
      </c>
    </row>
    <row r="34" spans="1:4">
      <c r="A34" s="4">
        <v>2012</v>
      </c>
      <c r="B34" s="21">
        <v>2.4000000000000001E-4</v>
      </c>
      <c r="C34" s="21">
        <v>1.661E-2</v>
      </c>
      <c r="D34" s="21">
        <v>7.8700000000000003E-3</v>
      </c>
    </row>
    <row r="35" spans="1:4">
      <c r="A35" s="142">
        <v>2013</v>
      </c>
      <c r="B35" s="21">
        <v>2.3000000000000001E-4</v>
      </c>
      <c r="C35" s="21">
        <v>1.6199999999999999E-2</v>
      </c>
      <c r="D35" s="21">
        <v>7.7600000000000004E-3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6"/>
  <sheetViews>
    <sheetView workbookViewId="0"/>
  </sheetViews>
  <sheetFormatPr defaultRowHeight="15"/>
  <cols>
    <col min="1" max="1" width="20.28515625" style="22" customWidth="1"/>
    <col min="2" max="2" width="7.140625" bestFit="1" customWidth="1"/>
    <col min="3" max="3" width="17.28515625" bestFit="1" customWidth="1"/>
    <col min="4" max="4" width="19.5703125" bestFit="1" customWidth="1"/>
  </cols>
  <sheetData>
    <row r="1" spans="1:5">
      <c r="A1" s="20" t="s">
        <v>335</v>
      </c>
    </row>
    <row r="2" spans="1:5">
      <c r="A2" s="20"/>
    </row>
    <row r="3" spans="1:5">
      <c r="A3" s="267" t="s">
        <v>315</v>
      </c>
      <c r="B3" s="6" t="s">
        <v>105</v>
      </c>
      <c r="C3" s="6" t="s">
        <v>316</v>
      </c>
      <c r="D3" s="6" t="s">
        <v>317</v>
      </c>
    </row>
    <row r="4" spans="1:5">
      <c r="A4" s="268">
        <v>42035</v>
      </c>
      <c r="C4" s="5">
        <v>2.46E-2</v>
      </c>
      <c r="D4" s="5">
        <v>7.0800000000000002E-2</v>
      </c>
    </row>
    <row r="5" spans="1:5">
      <c r="A5" s="268">
        <v>42004</v>
      </c>
      <c r="C5" s="5">
        <v>2.24E-2</v>
      </c>
      <c r="D5" s="5">
        <v>5.9900000000000002E-2</v>
      </c>
    </row>
    <row r="6" spans="1:5">
      <c r="A6" s="268">
        <v>41973</v>
      </c>
      <c r="C6" s="5">
        <v>2.3599999999999999E-2</v>
      </c>
      <c r="D6" s="5">
        <v>5.21E-2</v>
      </c>
    </row>
    <row r="7" spans="1:5">
      <c r="A7" s="268">
        <v>41943</v>
      </c>
      <c r="C7" s="5">
        <v>2.18E-2</v>
      </c>
      <c r="D7" s="5">
        <v>4.1700000000000001E-2</v>
      </c>
    </row>
    <row r="8" spans="1:5">
      <c r="A8" s="268">
        <v>41912</v>
      </c>
      <c r="C8" s="5">
        <v>2.0799999999999999E-2</v>
      </c>
      <c r="D8" s="5">
        <v>3.7100000000000001E-2</v>
      </c>
    </row>
    <row r="9" spans="1:5">
      <c r="A9" s="268">
        <v>41882</v>
      </c>
      <c r="C9" s="5">
        <v>2.0899999999999998E-2</v>
      </c>
      <c r="D9" s="5">
        <v>3.3700000000000001E-2</v>
      </c>
    </row>
    <row r="10" spans="1:5">
      <c r="A10" s="268">
        <v>41851</v>
      </c>
      <c r="C10" s="5">
        <v>2.0199999999999999E-2</v>
      </c>
      <c r="D10" s="5">
        <v>2.9499999999999998E-2</v>
      </c>
    </row>
    <row r="11" spans="1:5">
      <c r="A11" s="268">
        <v>41820</v>
      </c>
      <c r="C11" s="5">
        <v>2.1399999999999999E-2</v>
      </c>
      <c r="D11" s="5">
        <v>2.87E-2</v>
      </c>
    </row>
    <row r="12" spans="1:5">
      <c r="A12" s="268">
        <v>41790</v>
      </c>
      <c r="C12" s="5">
        <v>2.2100000000000002E-2</v>
      </c>
      <c r="D12" s="5">
        <v>2.7400000000000001E-2</v>
      </c>
    </row>
    <row r="13" spans="1:5">
      <c r="A13" s="268">
        <v>41759</v>
      </c>
      <c r="C13" s="5">
        <v>2.3400000000000001E-2</v>
      </c>
      <c r="D13" s="5">
        <v>2.6800000000000001E-2</v>
      </c>
    </row>
    <row r="14" spans="1:5">
      <c r="A14" s="268">
        <v>41729</v>
      </c>
      <c r="C14" s="5">
        <v>2.35E-2</v>
      </c>
      <c r="D14" s="5">
        <v>2.58E-2</v>
      </c>
    </row>
    <row r="15" spans="1:5">
      <c r="A15" s="268">
        <v>41698</v>
      </c>
      <c r="C15" s="5">
        <v>2.5600000000000001E-2</v>
      </c>
      <c r="D15" s="5">
        <v>2.6700000000000002E-2</v>
      </c>
    </row>
    <row r="16" spans="1:5">
      <c r="A16" s="268">
        <v>41670</v>
      </c>
      <c r="B16" s="73">
        <v>2.5700000000000001E-2</v>
      </c>
      <c r="E16" s="5"/>
    </row>
    <row r="17" spans="1:5">
      <c r="A17" s="268">
        <v>41639</v>
      </c>
      <c r="B17" s="5">
        <v>2.8799999999999999E-2</v>
      </c>
      <c r="E17" s="5"/>
    </row>
    <row r="18" spans="1:5">
      <c r="A18" s="268">
        <v>41608</v>
      </c>
      <c r="B18" s="5">
        <v>2.8899999999999999E-2</v>
      </c>
      <c r="E18" s="5"/>
    </row>
    <row r="19" spans="1:5">
      <c r="A19" s="268">
        <v>41578</v>
      </c>
      <c r="B19" s="5">
        <v>3.0300000000000001E-2</v>
      </c>
      <c r="E19" s="5"/>
    </row>
    <row r="20" spans="1:5">
      <c r="A20" s="268">
        <v>41547</v>
      </c>
      <c r="B20" s="5">
        <v>3.0700000000000002E-2</v>
      </c>
      <c r="E20" s="5"/>
    </row>
    <row r="21" spans="1:5">
      <c r="A21" s="268">
        <v>41517</v>
      </c>
      <c r="B21" s="5">
        <v>3.09E-2</v>
      </c>
      <c r="E21" s="5"/>
    </row>
    <row r="22" spans="1:5">
      <c r="A22" s="268">
        <v>41486</v>
      </c>
      <c r="B22" s="5">
        <v>3.1E-2</v>
      </c>
      <c r="E22" s="5"/>
    </row>
    <row r="23" spans="1:5">
      <c r="A23" s="268">
        <v>41455</v>
      </c>
      <c r="B23" s="5">
        <v>2.9100000000000001E-2</v>
      </c>
      <c r="E23" s="5"/>
    </row>
    <row r="24" spans="1:5">
      <c r="A24" s="268">
        <v>41425</v>
      </c>
      <c r="B24" s="5">
        <v>2.7900000000000001E-2</v>
      </c>
      <c r="E24" s="5"/>
    </row>
    <row r="25" spans="1:5">
      <c r="A25" s="268">
        <v>41394</v>
      </c>
      <c r="B25" s="5">
        <v>2.5999999999999999E-2</v>
      </c>
      <c r="E25" s="5"/>
    </row>
    <row r="26" spans="1:5">
      <c r="A26" s="268">
        <v>41364</v>
      </c>
      <c r="B26" s="5">
        <v>2.5700000000000001E-2</v>
      </c>
      <c r="E26" s="5"/>
    </row>
    <row r="27" spans="1:5">
      <c r="A27" s="268">
        <v>41333</v>
      </c>
      <c r="B27" s="5">
        <v>2.8299999999999999E-2</v>
      </c>
      <c r="E27" s="5"/>
    </row>
    <row r="28" spans="1:5">
      <c r="A28" s="268">
        <v>41305</v>
      </c>
      <c r="B28" s="5">
        <v>2.7799999999999998E-2</v>
      </c>
      <c r="E28" s="5"/>
    </row>
    <row r="29" spans="1:5">
      <c r="A29" s="268">
        <v>41274</v>
      </c>
      <c r="B29" s="5">
        <v>2.9100000000000001E-2</v>
      </c>
      <c r="E29" s="5"/>
    </row>
    <row r="30" spans="1:5">
      <c r="A30" s="268">
        <v>41243</v>
      </c>
      <c r="B30" s="5">
        <v>2.8899999999999999E-2</v>
      </c>
      <c r="E30" s="5"/>
    </row>
    <row r="31" spans="1:5">
      <c r="A31" s="268">
        <v>41213</v>
      </c>
      <c r="B31" s="5">
        <v>3.2800000000000003E-2</v>
      </c>
      <c r="E31" s="5"/>
    </row>
    <row r="32" spans="1:5">
      <c r="A32" s="268">
        <v>41182</v>
      </c>
      <c r="B32" s="5">
        <v>3.3599999999999998E-2</v>
      </c>
      <c r="E32" s="5"/>
    </row>
    <row r="33" spans="1:5">
      <c r="A33" s="268">
        <v>41152</v>
      </c>
      <c r="B33" s="5">
        <v>3.1899999999999998E-2</v>
      </c>
      <c r="E33" s="5"/>
    </row>
    <row r="34" spans="1:5">
      <c r="A34" s="268">
        <v>41121</v>
      </c>
      <c r="B34" s="5">
        <v>3.0700000000000002E-2</v>
      </c>
      <c r="E34" s="5"/>
    </row>
    <row r="35" spans="1:5">
      <c r="A35" s="268">
        <v>41090</v>
      </c>
      <c r="B35" s="5">
        <v>3.15E-2</v>
      </c>
      <c r="E35" s="5"/>
    </row>
    <row r="36" spans="1:5">
      <c r="A36" s="268">
        <v>41060</v>
      </c>
      <c r="B36" s="5">
        <v>3.0300000000000001E-2</v>
      </c>
      <c r="E36" s="5"/>
    </row>
    <row r="37" spans="1:5">
      <c r="A37" s="268">
        <v>41029</v>
      </c>
      <c r="B37" s="5">
        <v>2.81E-2</v>
      </c>
      <c r="E37" s="5"/>
    </row>
    <row r="38" spans="1:5">
      <c r="A38" s="268">
        <v>40999</v>
      </c>
      <c r="B38" s="5">
        <v>2.7300000000000001E-2</v>
      </c>
      <c r="E38" s="5"/>
    </row>
    <row r="39" spans="1:5">
      <c r="A39" s="268">
        <v>40968</v>
      </c>
      <c r="B39" s="5">
        <v>2.2700000000000001E-2</v>
      </c>
      <c r="E39" s="5"/>
    </row>
    <row r="40" spans="1:5">
      <c r="A40" s="268">
        <v>40939</v>
      </c>
      <c r="B40" s="5">
        <v>2.29E-2</v>
      </c>
      <c r="E40" s="5"/>
    </row>
    <row r="41" spans="1:5">
      <c r="A41" s="268">
        <v>40908</v>
      </c>
      <c r="B41" s="5">
        <v>2.01E-2</v>
      </c>
      <c r="E41" s="5"/>
    </row>
    <row r="42" spans="1:5">
      <c r="A42" s="268">
        <v>40877</v>
      </c>
      <c r="B42" s="5">
        <v>1.9699999999999999E-2</v>
      </c>
      <c r="E42" s="5"/>
    </row>
    <row r="43" spans="1:5">
      <c r="A43" s="268">
        <v>40847</v>
      </c>
      <c r="B43" s="5">
        <v>1.9599999999999999E-2</v>
      </c>
      <c r="E43" s="5"/>
    </row>
    <row r="44" spans="1:5">
      <c r="A44" s="268">
        <v>40816</v>
      </c>
      <c r="B44" s="5">
        <v>1.8499999999999999E-2</v>
      </c>
      <c r="E44" s="5"/>
    </row>
    <row r="45" spans="1:5">
      <c r="A45" s="268">
        <v>40786</v>
      </c>
      <c r="B45" s="5">
        <v>1.8800000000000001E-2</v>
      </c>
      <c r="E45" s="5"/>
    </row>
    <row r="46" spans="1:5">
      <c r="A46" s="268">
        <v>40755</v>
      </c>
      <c r="B46" s="5">
        <v>2.0199999999999999E-2</v>
      </c>
      <c r="E46" s="5"/>
    </row>
    <row r="47" spans="1:5">
      <c r="A47" s="268">
        <v>40724</v>
      </c>
      <c r="B47" s="5">
        <v>2.3400000000000001E-2</v>
      </c>
      <c r="E47" s="5"/>
    </row>
    <row r="48" spans="1:5">
      <c r="A48" s="268">
        <v>40694</v>
      </c>
      <c r="B48" s="5">
        <v>2.47E-2</v>
      </c>
      <c r="E48" s="5"/>
    </row>
    <row r="49" spans="1:5">
      <c r="A49" s="268">
        <v>40663</v>
      </c>
      <c r="B49" s="5">
        <v>2.4E-2</v>
      </c>
      <c r="E49" s="5"/>
    </row>
    <row r="50" spans="1:5">
      <c r="A50" s="268">
        <v>40633</v>
      </c>
      <c r="B50" s="5">
        <v>2.6800000000000001E-2</v>
      </c>
      <c r="E50" s="5"/>
    </row>
    <row r="51" spans="1:5">
      <c r="A51" s="268">
        <v>40602</v>
      </c>
      <c r="B51" s="5">
        <v>2.9100000000000001E-2</v>
      </c>
      <c r="E51" s="5"/>
    </row>
    <row r="52" spans="1:5">
      <c r="A52" s="268">
        <v>40574</v>
      </c>
      <c r="B52" s="5">
        <v>2.8799999999999999E-2</v>
      </c>
      <c r="E52" s="5"/>
    </row>
    <row r="53" spans="1:5">
      <c r="A53" s="268">
        <v>40543</v>
      </c>
      <c r="B53" s="5">
        <v>3.3099999999999997E-2</v>
      </c>
      <c r="E53" s="5"/>
    </row>
    <row r="54" spans="1:5">
      <c r="A54" s="268">
        <v>40512</v>
      </c>
      <c r="B54" s="5">
        <v>3.7100000000000001E-2</v>
      </c>
      <c r="E54" s="5"/>
    </row>
    <row r="55" spans="1:5">
      <c r="A55" s="268">
        <v>40482</v>
      </c>
      <c r="B55" s="5">
        <v>3.9100000000000003E-2</v>
      </c>
      <c r="E55" s="5"/>
    </row>
    <row r="56" spans="1:5">
      <c r="A56" s="268">
        <v>40451</v>
      </c>
      <c r="B56" s="5">
        <v>4.1399999999999999E-2</v>
      </c>
      <c r="E56" s="5"/>
    </row>
    <row r="57" spans="1:5">
      <c r="A57" s="268">
        <v>40421</v>
      </c>
      <c r="B57" s="5">
        <v>5.1299999999999998E-2</v>
      </c>
      <c r="E57" s="5"/>
    </row>
    <row r="58" spans="1:5">
      <c r="A58" s="268">
        <v>40390</v>
      </c>
      <c r="B58" s="5">
        <v>5.6800000000000003E-2</v>
      </c>
      <c r="E58" s="5"/>
    </row>
    <row r="59" spans="1:5">
      <c r="A59" s="268">
        <v>40359</v>
      </c>
      <c r="B59" s="5">
        <v>6.4100000000000004E-2</v>
      </c>
      <c r="E59" s="5"/>
    </row>
    <row r="60" spans="1:5">
      <c r="A60" s="268">
        <v>40329</v>
      </c>
      <c r="B60" s="5">
        <v>7.8200000000000006E-2</v>
      </c>
      <c r="E60" s="5"/>
    </row>
    <row r="61" spans="1:5">
      <c r="A61" s="268">
        <v>40298</v>
      </c>
      <c r="B61" s="5">
        <v>9.2499999999999999E-2</v>
      </c>
      <c r="E61" s="5"/>
    </row>
    <row r="62" spans="1:5">
      <c r="A62" s="268">
        <v>40268</v>
      </c>
      <c r="B62" s="5">
        <v>0.1033</v>
      </c>
      <c r="E62" s="5"/>
    </row>
    <row r="63" spans="1:5">
      <c r="A63" s="268">
        <v>40237</v>
      </c>
      <c r="B63" s="5">
        <v>0.1191</v>
      </c>
      <c r="E63" s="5"/>
    </row>
    <row r="64" spans="1:5">
      <c r="A64" s="268">
        <v>40209</v>
      </c>
      <c r="B64" s="5">
        <v>0.12859999999999999</v>
      </c>
      <c r="E64" s="5"/>
    </row>
    <row r="65" spans="1:5">
      <c r="A65" s="268">
        <v>40178</v>
      </c>
      <c r="B65" s="5">
        <v>0.13320000000000001</v>
      </c>
      <c r="E65" s="5"/>
    </row>
    <row r="66" spans="1:5">
      <c r="A66" s="268">
        <v>40147</v>
      </c>
      <c r="B66" s="5">
        <v>0.13880000000000001</v>
      </c>
      <c r="E66" s="5"/>
    </row>
    <row r="67" spans="1:5">
      <c r="A67" s="268">
        <v>40117</v>
      </c>
      <c r="B67" s="5">
        <v>0.13780000000000001</v>
      </c>
      <c r="E67" s="5"/>
    </row>
    <row r="68" spans="1:5">
      <c r="A68" s="268">
        <v>40086</v>
      </c>
      <c r="B68" s="5">
        <v>0.13639999999999999</v>
      </c>
      <c r="E68" s="5"/>
    </row>
    <row r="69" spans="1:5">
      <c r="A69" s="268">
        <v>40056</v>
      </c>
      <c r="B69" s="5">
        <v>0.1278</v>
      </c>
      <c r="E69" s="5"/>
    </row>
    <row r="70" spans="1:5">
      <c r="A70" s="268">
        <v>40025</v>
      </c>
      <c r="B70" s="5">
        <v>0.12189999999999999</v>
      </c>
      <c r="E70" s="5"/>
    </row>
    <row r="71" spans="1:5">
      <c r="A71" s="268">
        <v>39994</v>
      </c>
      <c r="B71" s="5">
        <v>0.11600000000000001</v>
      </c>
      <c r="E71" s="5"/>
    </row>
    <row r="72" spans="1:5">
      <c r="A72" s="268">
        <v>39964</v>
      </c>
      <c r="B72" s="5">
        <v>0.1023</v>
      </c>
      <c r="E72" s="5"/>
    </row>
    <row r="73" spans="1:5">
      <c r="A73" s="268">
        <v>39933</v>
      </c>
      <c r="B73" s="5">
        <v>9.1700000000000004E-2</v>
      </c>
      <c r="E73" s="5"/>
    </row>
    <row r="74" spans="1:5">
      <c r="A74" s="268">
        <v>39903</v>
      </c>
      <c r="B74" s="5">
        <v>8.1699999999999995E-2</v>
      </c>
      <c r="E74" s="5"/>
    </row>
    <row r="75" spans="1:5">
      <c r="A75" s="268">
        <v>39872</v>
      </c>
      <c r="B75" s="5">
        <v>5.9900000000000002E-2</v>
      </c>
      <c r="E75" s="5"/>
    </row>
    <row r="76" spans="1:5">
      <c r="A76" s="268">
        <v>39844</v>
      </c>
      <c r="B76" s="5">
        <v>5.4199999999999998E-2</v>
      </c>
      <c r="E76" s="5"/>
    </row>
    <row r="77" spans="1:5">
      <c r="A77" s="268">
        <v>39813</v>
      </c>
      <c r="B77" s="5">
        <v>4.4900000000000002E-2</v>
      </c>
      <c r="E77" s="5"/>
    </row>
    <row r="78" spans="1:5">
      <c r="A78" s="268">
        <v>39782</v>
      </c>
      <c r="B78" s="5">
        <v>3.4099999999999998E-2</v>
      </c>
      <c r="E78" s="5"/>
    </row>
    <row r="79" spans="1:5">
      <c r="A79" s="268">
        <v>39752</v>
      </c>
      <c r="B79" s="5">
        <v>3.1800000000000002E-2</v>
      </c>
      <c r="E79" s="5"/>
    </row>
    <row r="80" spans="1:5">
      <c r="A80" s="268">
        <v>39721</v>
      </c>
      <c r="B80" s="5">
        <v>2.92E-2</v>
      </c>
      <c r="E80" s="5"/>
    </row>
    <row r="81" spans="1:5">
      <c r="A81" s="268">
        <v>39691</v>
      </c>
      <c r="B81" s="5">
        <v>2.7300000000000001E-2</v>
      </c>
      <c r="E81" s="5"/>
    </row>
    <row r="82" spans="1:5">
      <c r="A82" s="268">
        <v>39660</v>
      </c>
      <c r="B82" s="5">
        <v>2.58E-2</v>
      </c>
      <c r="E82" s="5"/>
    </row>
    <row r="83" spans="1:5">
      <c r="A83" s="268">
        <v>39629</v>
      </c>
      <c r="B83" s="5">
        <v>2.2100000000000002E-2</v>
      </c>
      <c r="E83" s="5"/>
    </row>
    <row r="84" spans="1:5">
      <c r="A84" s="268">
        <v>39599</v>
      </c>
      <c r="B84" s="5">
        <v>2.0899999999999998E-2</v>
      </c>
      <c r="E84" s="5"/>
    </row>
    <row r="85" spans="1:5">
      <c r="A85" s="268">
        <v>39568</v>
      </c>
      <c r="B85" s="5">
        <v>1.89E-2</v>
      </c>
      <c r="E85" s="5"/>
    </row>
    <row r="86" spans="1:5">
      <c r="A86" s="268">
        <v>39538</v>
      </c>
      <c r="B86" s="5">
        <v>1.6299999999999999E-2</v>
      </c>
      <c r="E86" s="5"/>
    </row>
    <row r="87" spans="1:5">
      <c r="A87" s="268">
        <v>39507</v>
      </c>
      <c r="B87" s="5">
        <v>1.37E-2</v>
      </c>
      <c r="E87" s="5"/>
    </row>
    <row r="88" spans="1:5">
      <c r="A88" s="268">
        <v>39478</v>
      </c>
      <c r="B88" s="5">
        <v>1.2200000000000001E-2</v>
      </c>
      <c r="E88" s="5"/>
    </row>
    <row r="89" spans="1:5">
      <c r="A89" s="268">
        <v>39447</v>
      </c>
      <c r="B89" s="5">
        <v>9.7999999999999997E-3</v>
      </c>
      <c r="E89" s="5"/>
    </row>
    <row r="90" spans="1:5">
      <c r="A90" s="268">
        <v>39416</v>
      </c>
      <c r="B90" s="5">
        <v>9.9000000000000008E-3</v>
      </c>
      <c r="E90" s="5"/>
    </row>
    <row r="91" spans="1:5">
      <c r="A91" s="268">
        <v>39386</v>
      </c>
      <c r="B91" s="5">
        <v>1.15E-2</v>
      </c>
      <c r="E91" s="5"/>
    </row>
    <row r="92" spans="1:5">
      <c r="A92" s="268">
        <v>39355</v>
      </c>
      <c r="B92" s="5">
        <v>1.38E-2</v>
      </c>
      <c r="E92" s="5"/>
    </row>
    <row r="93" spans="1:5">
      <c r="A93" s="268">
        <v>39325</v>
      </c>
      <c r="B93" s="5">
        <v>1.54E-2</v>
      </c>
      <c r="E93" s="5"/>
    </row>
    <row r="94" spans="1:5">
      <c r="A94" s="268">
        <v>39294</v>
      </c>
      <c r="B94" s="5">
        <v>1.6E-2</v>
      </c>
      <c r="E94" s="5"/>
    </row>
    <row r="95" spans="1:5">
      <c r="A95" s="268">
        <v>39263</v>
      </c>
      <c r="B95" s="5">
        <v>1.4999999999999999E-2</v>
      </c>
      <c r="E95" s="5"/>
    </row>
    <row r="96" spans="1:5">
      <c r="A96" s="268">
        <v>39233</v>
      </c>
      <c r="B96" s="5">
        <v>1.6E-2</v>
      </c>
      <c r="E96" s="5"/>
    </row>
    <row r="97" spans="1:5">
      <c r="A97" s="268">
        <v>39202</v>
      </c>
      <c r="B97" s="5">
        <v>1.6899999999999998E-2</v>
      </c>
      <c r="E97" s="5"/>
    </row>
    <row r="98" spans="1:5">
      <c r="A98" s="268">
        <v>39172</v>
      </c>
      <c r="B98" s="5">
        <v>1.67E-2</v>
      </c>
      <c r="E98" s="5"/>
    </row>
    <row r="99" spans="1:5">
      <c r="A99" s="268">
        <v>39141</v>
      </c>
      <c r="B99" s="5">
        <v>1.8700000000000001E-2</v>
      </c>
      <c r="E99" s="5"/>
    </row>
    <row r="100" spans="1:5">
      <c r="A100" s="268">
        <v>39113</v>
      </c>
      <c r="B100" s="5">
        <v>1.9E-2</v>
      </c>
      <c r="E100" s="5"/>
    </row>
    <row r="101" spans="1:5">
      <c r="A101" s="268">
        <v>39082</v>
      </c>
      <c r="B101" s="5">
        <v>1.8599999999999998E-2</v>
      </c>
      <c r="E101" s="5"/>
    </row>
    <row r="102" spans="1:5">
      <c r="A102" s="268">
        <v>39051</v>
      </c>
      <c r="B102" s="5">
        <v>2.0299999999999999E-2</v>
      </c>
      <c r="E102" s="5"/>
    </row>
    <row r="103" spans="1:5">
      <c r="A103" s="268">
        <v>39021</v>
      </c>
      <c r="B103" s="5">
        <v>1.9199999999999998E-2</v>
      </c>
      <c r="E103" s="5"/>
    </row>
    <row r="104" spans="1:5">
      <c r="A104" s="268">
        <v>38990</v>
      </c>
      <c r="B104" s="5">
        <v>1.7899999999999999E-2</v>
      </c>
      <c r="E104" s="5"/>
    </row>
    <row r="105" spans="1:5">
      <c r="A105" s="268">
        <v>38960</v>
      </c>
      <c r="B105" s="5">
        <v>1.7299999999999999E-2</v>
      </c>
      <c r="E105" s="5"/>
    </row>
    <row r="106" spans="1:5">
      <c r="A106" s="268">
        <v>38929</v>
      </c>
      <c r="B106" s="5">
        <v>1.89E-2</v>
      </c>
      <c r="E106" s="5"/>
    </row>
    <row r="107" spans="1:5">
      <c r="A107" s="268">
        <v>38898</v>
      </c>
      <c r="B107" s="5">
        <v>1.9800000000000002E-2</v>
      </c>
      <c r="E107" s="5"/>
    </row>
    <row r="108" spans="1:5">
      <c r="A108" s="268">
        <v>38868</v>
      </c>
      <c r="B108" s="5">
        <v>1.95E-2</v>
      </c>
      <c r="E108" s="5"/>
    </row>
    <row r="109" spans="1:5">
      <c r="A109" s="268">
        <v>38837</v>
      </c>
      <c r="B109" s="5">
        <v>1.6899999999999998E-2</v>
      </c>
      <c r="E109" s="5"/>
    </row>
    <row r="110" spans="1:5">
      <c r="A110" s="268">
        <v>38807</v>
      </c>
      <c r="B110" s="5">
        <v>1.78E-2</v>
      </c>
      <c r="E110" s="5"/>
    </row>
    <row r="111" spans="1:5">
      <c r="A111" s="268">
        <v>38776</v>
      </c>
      <c r="B111" s="5">
        <v>1.7899999999999999E-2</v>
      </c>
      <c r="E111" s="5"/>
    </row>
    <row r="112" spans="1:5">
      <c r="A112" s="268">
        <v>38748</v>
      </c>
      <c r="B112" s="5">
        <v>1.9099999999999999E-2</v>
      </c>
      <c r="E112" s="5"/>
    </row>
    <row r="113" spans="1:5">
      <c r="A113" s="268">
        <v>38717</v>
      </c>
      <c r="B113" s="5">
        <v>1.8800000000000001E-2</v>
      </c>
      <c r="E113" s="5"/>
    </row>
    <row r="114" spans="1:5">
      <c r="A114" s="268">
        <v>38686</v>
      </c>
      <c r="B114" s="5">
        <v>1.9699999999999999E-2</v>
      </c>
      <c r="E114" s="5"/>
    </row>
    <row r="115" spans="1:5">
      <c r="A115" s="268">
        <v>38656</v>
      </c>
      <c r="B115" s="5">
        <v>2.1499999999999998E-2</v>
      </c>
      <c r="E115" s="5"/>
    </row>
    <row r="116" spans="1:5">
      <c r="A116" s="268">
        <v>38625</v>
      </c>
      <c r="B116" s="5">
        <v>2.18E-2</v>
      </c>
      <c r="E116" s="5"/>
    </row>
    <row r="117" spans="1:5">
      <c r="A117" s="268">
        <v>38595</v>
      </c>
      <c r="B117" s="5">
        <v>2.2200000000000001E-2</v>
      </c>
      <c r="E117" s="5"/>
    </row>
    <row r="118" spans="1:5">
      <c r="A118" s="268">
        <v>38564</v>
      </c>
      <c r="B118" s="5">
        <v>2.0400000000000001E-2</v>
      </c>
      <c r="E118" s="5"/>
    </row>
    <row r="119" spans="1:5">
      <c r="A119" s="268">
        <v>38533</v>
      </c>
      <c r="B119" s="5">
        <v>0.02</v>
      </c>
      <c r="E119" s="5"/>
    </row>
    <row r="120" spans="1:5">
      <c r="A120" s="268">
        <v>38503</v>
      </c>
      <c r="B120" s="5">
        <v>2.2200000000000001E-2</v>
      </c>
      <c r="E120" s="5"/>
    </row>
    <row r="121" spans="1:5">
      <c r="A121" s="268">
        <v>38472</v>
      </c>
      <c r="B121" s="5">
        <v>2.3E-2</v>
      </c>
      <c r="E121" s="5"/>
    </row>
    <row r="122" spans="1:5">
      <c r="A122" s="268">
        <v>38442</v>
      </c>
      <c r="B122" s="5">
        <v>2.47E-2</v>
      </c>
      <c r="E122" s="5"/>
    </row>
    <row r="123" spans="1:5">
      <c r="A123" s="268">
        <v>38411</v>
      </c>
      <c r="B123" s="5">
        <v>2.69E-2</v>
      </c>
      <c r="E123" s="5"/>
    </row>
    <row r="124" spans="1:5">
      <c r="A124" s="268">
        <v>38383</v>
      </c>
      <c r="B124" s="5">
        <v>2.3800000000000002E-2</v>
      </c>
      <c r="E124" s="5"/>
    </row>
    <row r="125" spans="1:5">
      <c r="A125" s="268">
        <v>38352</v>
      </c>
      <c r="B125" s="5">
        <v>2.5600000000000001E-2</v>
      </c>
      <c r="E125" s="5"/>
    </row>
    <row r="126" spans="1:5">
      <c r="A126" s="268">
        <v>38321</v>
      </c>
      <c r="B126" s="5">
        <v>2.5999999999999999E-2</v>
      </c>
      <c r="E126" s="5"/>
    </row>
    <row r="127" spans="1:5">
      <c r="A127" s="268">
        <v>38291</v>
      </c>
      <c r="B127" s="5">
        <v>2.4199999999999999E-2</v>
      </c>
      <c r="E127" s="5"/>
    </row>
    <row r="128" spans="1:5">
      <c r="A128" s="268">
        <v>38260</v>
      </c>
      <c r="B128" s="5">
        <v>2.52E-2</v>
      </c>
      <c r="E128" s="5"/>
    </row>
    <row r="129" spans="1:5">
      <c r="A129" s="268">
        <v>38230</v>
      </c>
      <c r="B129" s="5">
        <v>2.3099999999999999E-2</v>
      </c>
      <c r="E129" s="5"/>
    </row>
    <row r="130" spans="1:5">
      <c r="A130" s="268">
        <v>38199</v>
      </c>
      <c r="B130" s="5">
        <v>2.8799999999999999E-2</v>
      </c>
      <c r="E130" s="5"/>
    </row>
    <row r="131" spans="1:5">
      <c r="A131" s="268">
        <v>38168</v>
      </c>
      <c r="B131" s="5">
        <v>3.49E-2</v>
      </c>
      <c r="E131" s="5"/>
    </row>
    <row r="132" spans="1:5">
      <c r="A132" s="268">
        <v>38138</v>
      </c>
      <c r="B132" s="5">
        <v>3.7699999999999997E-2</v>
      </c>
      <c r="E132" s="5"/>
    </row>
    <row r="133" spans="1:5">
      <c r="A133" s="268">
        <v>38107</v>
      </c>
      <c r="B133" s="5">
        <v>4.2500000000000003E-2</v>
      </c>
      <c r="E133" s="5"/>
    </row>
    <row r="134" spans="1:5">
      <c r="A134" s="268">
        <v>38077</v>
      </c>
      <c r="B134" s="5">
        <v>4.5600000000000002E-2</v>
      </c>
      <c r="E134" s="5"/>
    </row>
    <row r="135" spans="1:5">
      <c r="A135" s="268">
        <v>38046</v>
      </c>
      <c r="B135" s="5">
        <v>4.87E-2</v>
      </c>
      <c r="E135" s="5"/>
    </row>
    <row r="136" spans="1:5">
      <c r="A136" s="268">
        <v>38017</v>
      </c>
      <c r="B136" s="5">
        <v>5.3900000000000003E-2</v>
      </c>
      <c r="E136" s="5"/>
    </row>
    <row r="137" spans="1:5">
      <c r="A137" s="268">
        <v>37986</v>
      </c>
      <c r="B137" s="5">
        <v>5.5300000000000002E-2</v>
      </c>
      <c r="E137" s="5"/>
    </row>
    <row r="138" spans="1:5">
      <c r="A138" s="268">
        <v>37955</v>
      </c>
      <c r="B138" s="5">
        <v>5.5199999999999999E-2</v>
      </c>
      <c r="E138" s="5"/>
    </row>
    <row r="139" spans="1:5">
      <c r="A139" s="268">
        <v>37925</v>
      </c>
      <c r="B139" s="5">
        <v>6.0900000000000003E-2</v>
      </c>
      <c r="E139" s="5"/>
    </row>
    <row r="140" spans="1:5">
      <c r="A140" s="268">
        <v>37894</v>
      </c>
      <c r="B140" s="5">
        <v>6.08E-2</v>
      </c>
      <c r="E140" s="5"/>
    </row>
    <row r="141" spans="1:5">
      <c r="A141" s="268">
        <v>37864</v>
      </c>
      <c r="B141" s="5">
        <v>6.4100000000000004E-2</v>
      </c>
      <c r="E141" s="5"/>
    </row>
    <row r="142" spans="1:5">
      <c r="A142" s="268">
        <v>37833</v>
      </c>
      <c r="B142" s="5">
        <v>6.2799999999999995E-2</v>
      </c>
      <c r="E142" s="5"/>
    </row>
    <row r="143" spans="1:5">
      <c r="A143" s="268">
        <v>37802</v>
      </c>
      <c r="B143" s="5">
        <v>6.4600000000000005E-2</v>
      </c>
      <c r="E143" s="5"/>
    </row>
    <row r="144" spans="1:5">
      <c r="A144" s="268">
        <v>37772</v>
      </c>
      <c r="B144" s="5">
        <v>6.8599999999999994E-2</v>
      </c>
      <c r="E144" s="5"/>
    </row>
    <row r="145" spans="1:5">
      <c r="A145" s="268">
        <v>37741</v>
      </c>
      <c r="B145" s="5">
        <v>7.0699999999999999E-2</v>
      </c>
      <c r="E145" s="5"/>
    </row>
    <row r="146" spans="1:5">
      <c r="A146" s="268">
        <v>37711</v>
      </c>
      <c r="B146" s="5">
        <v>7.1999999999999995E-2</v>
      </c>
      <c r="E146" s="5"/>
    </row>
    <row r="147" spans="1:5">
      <c r="A147" s="268">
        <v>37680</v>
      </c>
      <c r="B147" s="5">
        <v>7.8E-2</v>
      </c>
      <c r="E147" s="5"/>
    </row>
    <row r="148" spans="1:5">
      <c r="A148" s="268">
        <v>37652</v>
      </c>
      <c r="B148" s="5">
        <v>7.6799999999999993E-2</v>
      </c>
      <c r="E148" s="5"/>
    </row>
    <row r="149" spans="1:5">
      <c r="A149" s="268">
        <v>37621</v>
      </c>
      <c r="B149" s="5">
        <v>8.3699999999999997E-2</v>
      </c>
      <c r="E149" s="5"/>
    </row>
    <row r="150" spans="1:5">
      <c r="A150" s="268">
        <v>37590</v>
      </c>
      <c r="B150" s="5">
        <v>9.0899999999999995E-2</v>
      </c>
      <c r="E150" s="5"/>
    </row>
    <row r="151" spans="1:5">
      <c r="A151" s="268">
        <v>37560</v>
      </c>
      <c r="B151" s="5">
        <v>9.5500000000000002E-2</v>
      </c>
      <c r="E151" s="5"/>
    </row>
    <row r="152" spans="1:5">
      <c r="A152" s="268">
        <v>37529</v>
      </c>
      <c r="B152" s="5">
        <v>0.10050000000000001</v>
      </c>
      <c r="E152" s="5"/>
    </row>
    <row r="153" spans="1:5">
      <c r="A153" s="268">
        <v>37499</v>
      </c>
      <c r="B153" s="5">
        <v>0.10340000000000001</v>
      </c>
      <c r="E153" s="5"/>
    </row>
    <row r="154" spans="1:5">
      <c r="A154" s="268">
        <v>37468</v>
      </c>
      <c r="B154" s="5">
        <v>0.10589999999999999</v>
      </c>
      <c r="E154" s="5"/>
    </row>
    <row r="155" spans="1:5">
      <c r="A155" s="268">
        <v>37437</v>
      </c>
      <c r="B155" s="5">
        <v>0.10829999999999999</v>
      </c>
      <c r="E155" s="5"/>
    </row>
    <row r="156" spans="1:5">
      <c r="A156" s="268">
        <v>37407</v>
      </c>
      <c r="B156" s="5">
        <v>0.1109</v>
      </c>
      <c r="E156" s="5"/>
    </row>
    <row r="157" spans="1:5">
      <c r="A157" s="268">
        <v>37376</v>
      </c>
      <c r="B157" s="5">
        <v>0.1077</v>
      </c>
      <c r="E157" s="5"/>
    </row>
    <row r="158" spans="1:5">
      <c r="A158" s="268">
        <v>37346</v>
      </c>
      <c r="B158" s="5">
        <v>0.10730000000000001</v>
      </c>
      <c r="E158" s="5"/>
    </row>
    <row r="159" spans="1:5">
      <c r="A159" s="268">
        <v>37315</v>
      </c>
      <c r="B159" s="5">
        <v>0.109</v>
      </c>
      <c r="E159" s="5"/>
    </row>
    <row r="160" spans="1:5">
      <c r="A160" s="268">
        <v>37287</v>
      </c>
      <c r="B160" s="5">
        <v>0.11070000000000001</v>
      </c>
      <c r="E160" s="5"/>
    </row>
    <row r="161" spans="1:5">
      <c r="A161" s="268">
        <v>37256</v>
      </c>
      <c r="B161" s="5">
        <v>0.10829999999999999</v>
      </c>
      <c r="E161" s="5"/>
    </row>
    <row r="162" spans="1:5">
      <c r="A162" s="268">
        <v>37225</v>
      </c>
      <c r="B162" s="5">
        <v>0.1043</v>
      </c>
      <c r="E162" s="5"/>
    </row>
    <row r="163" spans="1:5">
      <c r="A163" s="268">
        <v>37195</v>
      </c>
      <c r="B163" s="5">
        <v>0.1042</v>
      </c>
      <c r="E163" s="5"/>
    </row>
    <row r="164" spans="1:5">
      <c r="A164" s="268">
        <v>37164</v>
      </c>
      <c r="B164" s="5">
        <v>9.98E-2</v>
      </c>
      <c r="E164" s="5"/>
    </row>
    <row r="165" spans="1:5">
      <c r="A165" s="268">
        <v>37134</v>
      </c>
      <c r="B165" s="5">
        <v>9.5299999999999996E-2</v>
      </c>
      <c r="E165" s="5"/>
    </row>
    <row r="166" spans="1:5">
      <c r="A166" s="268">
        <v>37103</v>
      </c>
      <c r="B166" s="5">
        <v>8.9899999999999994E-2</v>
      </c>
      <c r="E166" s="5"/>
    </row>
    <row r="167" spans="1:5">
      <c r="A167" s="268">
        <v>37072</v>
      </c>
      <c r="B167" s="5">
        <v>8.5900000000000004E-2</v>
      </c>
      <c r="E167" s="5"/>
    </row>
    <row r="168" spans="1:5">
      <c r="A168" s="268">
        <v>37042</v>
      </c>
      <c r="B168" s="5">
        <v>8.3000000000000004E-2</v>
      </c>
      <c r="E168" s="5"/>
    </row>
    <row r="169" spans="1:5">
      <c r="A169" s="268">
        <v>37011</v>
      </c>
      <c r="B169" s="5">
        <v>8.2000000000000003E-2</v>
      </c>
      <c r="E169" s="5"/>
    </row>
    <row r="170" spans="1:5">
      <c r="A170" s="268">
        <v>36981</v>
      </c>
      <c r="B170" s="5">
        <v>8.1100000000000005E-2</v>
      </c>
      <c r="E170" s="5"/>
    </row>
    <row r="171" spans="1:5">
      <c r="A171" s="268">
        <v>36950</v>
      </c>
      <c r="B171" s="5">
        <v>7.3400000000000007E-2</v>
      </c>
      <c r="E171" s="5"/>
    </row>
    <row r="172" spans="1:5">
      <c r="A172" s="268">
        <v>36922</v>
      </c>
      <c r="B172" s="5">
        <v>7.0400000000000004E-2</v>
      </c>
      <c r="E172" s="5"/>
    </row>
    <row r="173" spans="1:5">
      <c r="A173" s="268">
        <v>36891</v>
      </c>
      <c r="B173" s="5">
        <v>6.6900000000000001E-2</v>
      </c>
      <c r="E173" s="5"/>
    </row>
    <row r="174" spans="1:5">
      <c r="A174" s="268">
        <v>36860</v>
      </c>
      <c r="B174" s="5">
        <v>6.0199999999999997E-2</v>
      </c>
      <c r="E174" s="5"/>
    </row>
    <row r="175" spans="1:5">
      <c r="A175" s="268">
        <v>36830</v>
      </c>
      <c r="B175" s="5">
        <v>5.3400000000000003E-2</v>
      </c>
      <c r="E175" s="5"/>
    </row>
    <row r="176" spans="1:5">
      <c r="A176" s="268">
        <v>36799</v>
      </c>
      <c r="B176" s="5">
        <v>5.5500000000000001E-2</v>
      </c>
      <c r="E176" s="5"/>
    </row>
    <row r="177" spans="1:5">
      <c r="A177" s="268">
        <v>36769</v>
      </c>
      <c r="B177" s="5">
        <v>5.5899999999999998E-2</v>
      </c>
      <c r="E177" s="5"/>
    </row>
    <row r="178" spans="1:5">
      <c r="A178" s="268">
        <v>36738</v>
      </c>
      <c r="B178" s="5">
        <v>5.28E-2</v>
      </c>
      <c r="E178" s="5"/>
    </row>
    <row r="179" spans="1:5">
      <c r="A179" s="268">
        <v>36707</v>
      </c>
      <c r="B179" s="5">
        <v>5.8200000000000002E-2</v>
      </c>
      <c r="E179" s="5"/>
    </row>
    <row r="180" spans="1:5">
      <c r="A180" s="268">
        <v>36677</v>
      </c>
      <c r="B180" s="5">
        <v>5.6399999999999999E-2</v>
      </c>
      <c r="E180" s="5"/>
    </row>
    <row r="181" spans="1:5">
      <c r="A181" s="268">
        <v>36646</v>
      </c>
      <c r="B181" s="5">
        <v>5.8700000000000002E-2</v>
      </c>
      <c r="E181" s="5"/>
    </row>
    <row r="182" spans="1:5">
      <c r="A182" s="268">
        <v>36616</v>
      </c>
      <c r="B182" s="5">
        <v>5.7299999999999997E-2</v>
      </c>
      <c r="E182" s="5"/>
    </row>
    <row r="183" spans="1:5">
      <c r="A183" s="268">
        <v>36585</v>
      </c>
      <c r="B183" s="5">
        <v>5.6899999999999999E-2</v>
      </c>
      <c r="E183" s="5"/>
    </row>
    <row r="184" spans="1:5">
      <c r="A184" s="268">
        <v>36556</v>
      </c>
      <c r="B184" s="5">
        <v>5.6599999999999998E-2</v>
      </c>
      <c r="E184" s="5"/>
    </row>
    <row r="185" spans="1:5">
      <c r="A185" s="268">
        <v>36525</v>
      </c>
      <c r="B185" s="5">
        <v>5.6899999999999999E-2</v>
      </c>
      <c r="E185" s="5"/>
    </row>
    <row r="186" spans="1:5">
      <c r="A186" s="268">
        <v>36494</v>
      </c>
      <c r="B186" s="5">
        <v>5.8400000000000001E-2</v>
      </c>
      <c r="E186" s="5"/>
    </row>
    <row r="187" spans="1:5">
      <c r="A187" s="268">
        <v>36464</v>
      </c>
      <c r="B187" s="5">
        <v>5.9799999999999999E-2</v>
      </c>
      <c r="E187" s="5"/>
    </row>
    <row r="188" spans="1:5">
      <c r="A188" s="268">
        <v>36433</v>
      </c>
      <c r="B188" s="5">
        <v>5.8200000000000002E-2</v>
      </c>
      <c r="E188" s="5"/>
    </row>
    <row r="189" spans="1:5">
      <c r="A189" s="268">
        <v>36403</v>
      </c>
      <c r="B189" s="5">
        <v>5.4399999999999997E-2</v>
      </c>
      <c r="E189" s="5"/>
    </row>
    <row r="190" spans="1:5">
      <c r="A190" s="268">
        <v>36372</v>
      </c>
      <c r="B190" s="5">
        <v>5.33E-2</v>
      </c>
      <c r="E190" s="5"/>
    </row>
    <row r="191" spans="1:5">
      <c r="A191" s="268">
        <v>36341</v>
      </c>
      <c r="B191" s="5">
        <v>4.7899999999999998E-2</v>
      </c>
      <c r="E191" s="5"/>
    </row>
    <row r="192" spans="1:5">
      <c r="A192" s="268">
        <v>36311</v>
      </c>
      <c r="B192" s="5">
        <v>4.7199999999999999E-2</v>
      </c>
      <c r="E192" s="5"/>
    </row>
    <row r="193" spans="1:5">
      <c r="A193" s="268">
        <v>36280</v>
      </c>
      <c r="B193" s="5">
        <v>4.0800000000000003E-2</v>
      </c>
      <c r="E193" s="5"/>
    </row>
    <row r="194" spans="1:5">
      <c r="A194" s="268">
        <v>36250</v>
      </c>
      <c r="B194" s="5">
        <v>3.73E-2</v>
      </c>
      <c r="E194" s="5"/>
    </row>
    <row r="195" spans="1:5">
      <c r="A195" s="268">
        <v>36219</v>
      </c>
      <c r="B195" s="5">
        <v>3.4200000000000001E-2</v>
      </c>
      <c r="E195" s="5"/>
    </row>
    <row r="196" spans="1:5">
      <c r="A196" s="268">
        <v>36191</v>
      </c>
      <c r="B196" s="5">
        <v>3.3700000000000001E-2</v>
      </c>
      <c r="E196" s="5"/>
    </row>
    <row r="197" spans="1:5">
      <c r="A197" s="268">
        <v>36160</v>
      </c>
      <c r="B197" s="5">
        <v>3.3000000000000002E-2</v>
      </c>
      <c r="E197" s="5"/>
    </row>
    <row r="198" spans="1:5">
      <c r="A198" s="268">
        <v>36129</v>
      </c>
      <c r="B198" s="5">
        <v>2.7900000000000001E-2</v>
      </c>
      <c r="E198" s="5"/>
    </row>
    <row r="199" spans="1:5">
      <c r="A199" s="268">
        <v>36099</v>
      </c>
      <c r="B199" s="5">
        <v>2.6100000000000002E-2</v>
      </c>
      <c r="E199" s="5"/>
    </row>
    <row r="200" spans="1:5">
      <c r="A200" s="268">
        <v>36068</v>
      </c>
      <c r="B200" s="5">
        <v>2.6700000000000002E-2</v>
      </c>
      <c r="E200" s="5"/>
    </row>
    <row r="201" spans="1:5">
      <c r="A201" s="268">
        <v>36038</v>
      </c>
      <c r="B201" s="5">
        <v>2.6800000000000001E-2</v>
      </c>
      <c r="E201" s="5"/>
    </row>
    <row r="202" spans="1:5">
      <c r="A202" s="268">
        <v>36007</v>
      </c>
      <c r="B202" s="5">
        <v>2.81E-2</v>
      </c>
      <c r="E202" s="5"/>
    </row>
    <row r="203" spans="1:5">
      <c r="A203" s="268">
        <v>35976</v>
      </c>
      <c r="B203" s="5">
        <v>2.9899999999999999E-2</v>
      </c>
      <c r="E203" s="5"/>
    </row>
    <row r="204" spans="1:5">
      <c r="A204" s="268">
        <v>35946</v>
      </c>
      <c r="B204" s="5">
        <v>2.7799999999999998E-2</v>
      </c>
      <c r="E204" s="5"/>
    </row>
    <row r="205" spans="1:5">
      <c r="A205" s="268">
        <v>35915</v>
      </c>
      <c r="B205" s="5">
        <v>2.8000000000000001E-2</v>
      </c>
      <c r="E205" s="5"/>
    </row>
    <row r="206" spans="1:5">
      <c r="A206" s="268">
        <v>35885</v>
      </c>
      <c r="B206" s="5">
        <v>2.5100000000000001E-2</v>
      </c>
      <c r="E206" s="5"/>
    </row>
    <row r="207" spans="1:5">
      <c r="A207" s="268">
        <v>35854</v>
      </c>
      <c r="B207" s="5">
        <v>2.46E-2</v>
      </c>
      <c r="E207" s="5"/>
    </row>
    <row r="208" spans="1:5">
      <c r="A208" s="268">
        <v>35826</v>
      </c>
      <c r="B208" s="5">
        <v>2.1299999999999999E-2</v>
      </c>
      <c r="E208" s="5"/>
    </row>
    <row r="209" spans="1:5">
      <c r="A209" s="268">
        <v>35795</v>
      </c>
      <c r="B209" s="5">
        <v>2.1399999999999999E-2</v>
      </c>
      <c r="E209" s="5"/>
    </row>
    <row r="210" spans="1:5">
      <c r="A210" s="268">
        <v>35764</v>
      </c>
      <c r="B210" s="5">
        <v>2.4199999999999999E-2</v>
      </c>
      <c r="E210" s="5"/>
    </row>
    <row r="211" spans="1:5">
      <c r="A211" s="268">
        <v>35734</v>
      </c>
      <c r="B211" s="5">
        <v>2.1700000000000001E-2</v>
      </c>
      <c r="E211" s="5"/>
    </row>
    <row r="212" spans="1:5">
      <c r="A212" s="268">
        <v>35703</v>
      </c>
      <c r="B212" s="5">
        <v>2.1299999999999999E-2</v>
      </c>
      <c r="E212" s="5"/>
    </row>
    <row r="213" spans="1:5">
      <c r="A213" s="268">
        <v>35673</v>
      </c>
      <c r="B213" s="5">
        <v>2.1700000000000001E-2</v>
      </c>
      <c r="E213" s="5"/>
    </row>
    <row r="214" spans="1:5">
      <c r="A214" s="268">
        <v>35642</v>
      </c>
      <c r="B214" s="5">
        <v>1.9199999999999998E-2</v>
      </c>
      <c r="E214" s="5"/>
    </row>
    <row r="215" spans="1:5">
      <c r="A215" s="268">
        <v>35611</v>
      </c>
      <c r="B215" s="5">
        <v>1.66E-2</v>
      </c>
      <c r="E215" s="5"/>
    </row>
    <row r="216" spans="1:5">
      <c r="A216" s="268">
        <v>35581</v>
      </c>
      <c r="B216" s="5">
        <v>1.77E-2</v>
      </c>
      <c r="E216" s="5"/>
    </row>
    <row r="217" spans="1:5">
      <c r="A217" s="268">
        <v>35550</v>
      </c>
      <c r="B217" s="5">
        <v>1.43E-2</v>
      </c>
      <c r="E217" s="5"/>
    </row>
    <row r="218" spans="1:5">
      <c r="A218" s="268">
        <v>35520</v>
      </c>
      <c r="B218" s="5">
        <v>1.6500000000000001E-2</v>
      </c>
      <c r="E218" s="5"/>
    </row>
    <row r="219" spans="1:5">
      <c r="A219" s="268">
        <v>35489</v>
      </c>
      <c r="B219" s="5">
        <v>1.6799999999999999E-2</v>
      </c>
      <c r="E219" s="5"/>
    </row>
    <row r="220" spans="1:5">
      <c r="A220" s="268">
        <v>35461</v>
      </c>
      <c r="B220" s="5">
        <v>1.9099999999999999E-2</v>
      </c>
      <c r="E220" s="5"/>
    </row>
    <row r="221" spans="1:5">
      <c r="A221" s="268">
        <v>35430</v>
      </c>
      <c r="B221" s="5">
        <v>1.72E-2</v>
      </c>
      <c r="E221" s="5"/>
    </row>
    <row r="222" spans="1:5">
      <c r="A222" s="268">
        <v>35399</v>
      </c>
      <c r="B222" s="5">
        <v>1.72E-2</v>
      </c>
      <c r="E222" s="5"/>
    </row>
    <row r="223" spans="1:5">
      <c r="A223" s="268">
        <v>35369</v>
      </c>
      <c r="B223" s="5">
        <v>1.9400000000000001E-2</v>
      </c>
      <c r="E223" s="5"/>
    </row>
    <row r="224" spans="1:5">
      <c r="A224" s="268">
        <v>35338</v>
      </c>
      <c r="B224" s="5">
        <v>2.1499999999999998E-2</v>
      </c>
      <c r="E224" s="5"/>
    </row>
    <row r="225" spans="1:5">
      <c r="A225" s="268">
        <v>35308</v>
      </c>
      <c r="B225" s="5">
        <v>2.1899999999999999E-2</v>
      </c>
      <c r="E225" s="5"/>
    </row>
    <row r="226" spans="1:5">
      <c r="A226" s="268">
        <v>35277</v>
      </c>
      <c r="B226" s="5">
        <v>2.64E-2</v>
      </c>
      <c r="E226" s="5"/>
    </row>
    <row r="227" spans="1:5">
      <c r="A227" s="268">
        <v>35246</v>
      </c>
      <c r="B227" s="5">
        <v>2.8899999999999999E-2</v>
      </c>
      <c r="E227" s="5"/>
    </row>
    <row r="228" spans="1:5">
      <c r="A228" s="268">
        <v>35216</v>
      </c>
      <c r="B228" s="5">
        <v>2.7099999999999999E-2</v>
      </c>
      <c r="E228" s="5"/>
    </row>
    <row r="229" spans="1:5">
      <c r="A229" s="268">
        <v>35185</v>
      </c>
      <c r="B229" s="5">
        <v>3.0700000000000002E-2</v>
      </c>
      <c r="E229" s="5"/>
    </row>
    <row r="230" spans="1:5">
      <c r="A230" s="268">
        <v>35155</v>
      </c>
      <c r="B230" s="5">
        <v>3.3099999999999997E-2</v>
      </c>
      <c r="E230" s="5"/>
    </row>
    <row r="231" spans="1:5">
      <c r="A231" s="268">
        <v>35124</v>
      </c>
      <c r="B231" s="5">
        <v>3.2599999999999997E-2</v>
      </c>
      <c r="E231" s="5"/>
    </row>
    <row r="232" spans="1:5">
      <c r="A232" s="268">
        <v>35095</v>
      </c>
      <c r="B232" s="5">
        <v>3.15E-2</v>
      </c>
      <c r="E232" s="5"/>
    </row>
    <row r="233" spans="1:5">
      <c r="A233" s="268">
        <v>35064</v>
      </c>
      <c r="B233" s="5">
        <v>3.0599999999999999E-2</v>
      </c>
      <c r="E233" s="5"/>
    </row>
    <row r="234" spans="1:5">
      <c r="A234" s="268">
        <v>35033</v>
      </c>
      <c r="B234" s="5">
        <v>2.9700000000000001E-2</v>
      </c>
      <c r="E234" s="5"/>
    </row>
    <row r="235" spans="1:5">
      <c r="A235" s="268">
        <v>35003</v>
      </c>
      <c r="B235" s="5">
        <v>2.5399999999999999E-2</v>
      </c>
      <c r="E235" s="5"/>
    </row>
    <row r="236" spans="1:5">
      <c r="A236" s="268">
        <v>34972</v>
      </c>
      <c r="B236" s="5">
        <v>2.1100000000000001E-2</v>
      </c>
      <c r="E236" s="5"/>
    </row>
    <row r="237" spans="1:5">
      <c r="A237" s="268">
        <v>34942</v>
      </c>
      <c r="B237" s="5">
        <v>0.02</v>
      </c>
      <c r="E237" s="5"/>
    </row>
    <row r="238" spans="1:5">
      <c r="A238" s="268">
        <v>34911</v>
      </c>
      <c r="B238" s="5">
        <v>2.0199999999999999E-2</v>
      </c>
      <c r="E238" s="5"/>
    </row>
    <row r="239" spans="1:5">
      <c r="A239" s="268">
        <v>34880</v>
      </c>
      <c r="B239" s="5">
        <v>1.9300000000000001E-2</v>
      </c>
      <c r="E239" s="5"/>
    </row>
    <row r="240" spans="1:5">
      <c r="A240" s="268">
        <v>34850</v>
      </c>
      <c r="B240" s="5">
        <v>1.8800000000000001E-2</v>
      </c>
      <c r="E240" s="5"/>
    </row>
    <row r="241" spans="1:5">
      <c r="A241" s="268">
        <v>34819</v>
      </c>
      <c r="B241" s="5">
        <v>1.6500000000000001E-2</v>
      </c>
      <c r="E241" s="5"/>
    </row>
    <row r="242" spans="1:5">
      <c r="A242" s="268">
        <v>34789</v>
      </c>
      <c r="B242" s="5">
        <v>1.15E-2</v>
      </c>
      <c r="E242" s="5"/>
    </row>
    <row r="243" spans="1:5">
      <c r="A243" s="268">
        <v>34758</v>
      </c>
      <c r="B243" s="5">
        <v>1.2999999999999999E-2</v>
      </c>
      <c r="E243" s="5"/>
    </row>
    <row r="244" spans="1:5">
      <c r="A244" s="268">
        <v>34730</v>
      </c>
      <c r="B244" s="5">
        <v>1.8200000000000001E-2</v>
      </c>
      <c r="E244" s="5"/>
    </row>
    <row r="245" spans="1:5">
      <c r="A245" s="268">
        <v>34699</v>
      </c>
      <c r="B245" s="5">
        <v>2.1399999999999999E-2</v>
      </c>
      <c r="E245" s="5"/>
    </row>
    <row r="246" spans="1:5">
      <c r="A246" s="268">
        <v>34668</v>
      </c>
      <c r="B246" s="5">
        <v>2.3E-2</v>
      </c>
      <c r="E246" s="5"/>
    </row>
    <row r="247" spans="1:5">
      <c r="A247" s="268">
        <v>34638</v>
      </c>
      <c r="B247" s="5">
        <v>2.3599999999999999E-2</v>
      </c>
      <c r="E247" s="5"/>
    </row>
    <row r="248" spans="1:5">
      <c r="A248" s="268">
        <v>34607</v>
      </c>
      <c r="B248" s="5">
        <v>2.3400000000000001E-2</v>
      </c>
      <c r="E248" s="5"/>
    </row>
    <row r="249" spans="1:5">
      <c r="A249" s="268">
        <v>34577</v>
      </c>
      <c r="B249" s="5">
        <v>1.9199999999999998E-2</v>
      </c>
      <c r="E249" s="5"/>
    </row>
    <row r="250" spans="1:5">
      <c r="A250" s="268">
        <v>34546</v>
      </c>
      <c r="B250" s="5">
        <v>1.8200000000000001E-2</v>
      </c>
      <c r="E250" s="5"/>
    </row>
    <row r="251" spans="1:5">
      <c r="A251" s="268">
        <v>34515</v>
      </c>
      <c r="B251" s="5">
        <v>1.8800000000000001E-2</v>
      </c>
      <c r="E251" s="5"/>
    </row>
    <row r="252" spans="1:5">
      <c r="A252" s="268">
        <v>34485</v>
      </c>
      <c r="B252" s="5">
        <v>2.07E-2</v>
      </c>
      <c r="E252" s="5"/>
    </row>
    <row r="253" spans="1:5">
      <c r="A253" s="268">
        <v>34454</v>
      </c>
      <c r="B253" s="5">
        <v>2.4299999999999999E-2</v>
      </c>
      <c r="E253" s="5"/>
    </row>
    <row r="254" spans="1:5">
      <c r="A254" s="268">
        <v>34424</v>
      </c>
      <c r="B254" s="5">
        <v>2.98E-2</v>
      </c>
      <c r="E254" s="5"/>
    </row>
    <row r="255" spans="1:5">
      <c r="A255" s="268">
        <v>34393</v>
      </c>
      <c r="B255" s="5">
        <v>3.5799999999999998E-2</v>
      </c>
      <c r="E255" s="5"/>
    </row>
    <row r="256" spans="1:5">
      <c r="A256" s="268">
        <v>34365</v>
      </c>
      <c r="B256" s="5">
        <v>3.4200000000000001E-2</v>
      </c>
      <c r="E256" s="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heetViews>
  <sheetFormatPr defaultRowHeight="15"/>
  <cols>
    <col min="1" max="1" width="45.85546875" customWidth="1"/>
  </cols>
  <sheetData>
    <row r="1" spans="1:3">
      <c r="A1" s="79" t="s">
        <v>395</v>
      </c>
    </row>
    <row r="2" spans="1:3">
      <c r="A2" s="114"/>
      <c r="C2" s="114"/>
    </row>
    <row r="3" spans="1:3">
      <c r="A3" s="97" t="s">
        <v>208</v>
      </c>
      <c r="B3" s="51">
        <v>41275</v>
      </c>
      <c r="C3" s="51">
        <v>41640</v>
      </c>
    </row>
    <row r="4" spans="1:3">
      <c r="A4" s="98" t="s">
        <v>209</v>
      </c>
      <c r="B4" s="12">
        <v>4.317E-2</v>
      </c>
      <c r="C4" s="12">
        <v>7.0650000000000004E-2</v>
      </c>
    </row>
    <row r="5" spans="1:3">
      <c r="A5" s="98" t="s">
        <v>107</v>
      </c>
      <c r="B5" s="12">
        <v>0.37409999999999999</v>
      </c>
      <c r="C5" s="12">
        <v>0.22825999999999999</v>
      </c>
    </row>
    <row r="6" spans="1:3">
      <c r="A6" s="98" t="s">
        <v>108</v>
      </c>
      <c r="B6" s="12">
        <v>0.53237000000000001</v>
      </c>
      <c r="C6" s="12">
        <v>0.60870000000000002</v>
      </c>
    </row>
    <row r="7" spans="1:3">
      <c r="A7" s="98" t="s">
        <v>109</v>
      </c>
      <c r="B7" s="12">
        <v>5.0360000000000002E-2</v>
      </c>
      <c r="C7" s="12">
        <v>8.1519999999999995E-2</v>
      </c>
    </row>
    <row r="8" spans="1:3">
      <c r="A8" s="99" t="s">
        <v>210</v>
      </c>
      <c r="B8" s="13">
        <v>0</v>
      </c>
      <c r="C8" s="13">
        <v>1.0869999999999999E-2</v>
      </c>
    </row>
    <row r="9" spans="1:3">
      <c r="A9" s="100" t="s">
        <v>211</v>
      </c>
      <c r="B9" s="52">
        <v>0.41726999999999997</v>
      </c>
      <c r="C9" s="52">
        <v>0.29891000000000001</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sheetViews>
  <sheetFormatPr defaultRowHeight="15"/>
  <cols>
    <col min="1" max="1" width="40.5703125" customWidth="1"/>
    <col min="4" max="4" width="3.42578125" customWidth="1"/>
  </cols>
  <sheetData>
    <row r="1" spans="1:3">
      <c r="A1" s="1" t="s">
        <v>83</v>
      </c>
    </row>
    <row r="2" spans="1:3">
      <c r="A2" s="79"/>
    </row>
    <row r="3" spans="1:3">
      <c r="A3" s="53" t="s">
        <v>110</v>
      </c>
      <c r="B3" s="61" t="s">
        <v>106</v>
      </c>
      <c r="C3" s="54" t="s">
        <v>61</v>
      </c>
    </row>
    <row r="4" spans="1:3">
      <c r="A4" s="59" t="s">
        <v>122</v>
      </c>
      <c r="B4" s="62">
        <v>3.39E-2</v>
      </c>
      <c r="C4" s="60">
        <v>1.78E-2</v>
      </c>
    </row>
    <row r="5" spans="1:3">
      <c r="A5" s="55" t="s">
        <v>118</v>
      </c>
      <c r="B5" s="63">
        <v>3.3399999999999999E-2</v>
      </c>
      <c r="C5" s="28"/>
    </row>
    <row r="6" spans="1:3">
      <c r="A6" s="55" t="s">
        <v>318</v>
      </c>
      <c r="B6" s="63">
        <v>3.0700000000000002E-2</v>
      </c>
      <c r="C6" s="28"/>
    </row>
    <row r="7" spans="1:3">
      <c r="A7" s="55" t="s">
        <v>120</v>
      </c>
      <c r="B7" s="63">
        <v>2.7400000000000001E-2</v>
      </c>
      <c r="C7" s="28">
        <v>2.6499999999999999E-2</v>
      </c>
    </row>
    <row r="8" spans="1:3">
      <c r="A8" s="55" t="s">
        <v>114</v>
      </c>
      <c r="B8" s="63">
        <v>2.6499999999999999E-2</v>
      </c>
      <c r="C8" s="28">
        <v>1.84E-2</v>
      </c>
    </row>
    <row r="9" spans="1:3">
      <c r="A9" s="55" t="s">
        <v>131</v>
      </c>
      <c r="B9" s="63">
        <v>2.2200000000000001E-2</v>
      </c>
      <c r="C9" s="28"/>
    </row>
    <row r="10" spans="1:3">
      <c r="A10" s="55" t="s">
        <v>116</v>
      </c>
      <c r="B10" s="63">
        <v>2.0400000000000001E-2</v>
      </c>
      <c r="C10" s="28">
        <v>2.1999999999999999E-2</v>
      </c>
    </row>
    <row r="11" spans="1:3">
      <c r="A11" s="55" t="s">
        <v>138</v>
      </c>
      <c r="B11" s="63">
        <v>2.0400000000000001E-2</v>
      </c>
      <c r="C11" s="28">
        <v>7.1000000000000004E-3</v>
      </c>
    </row>
    <row r="12" spans="1:3">
      <c r="A12" s="55" t="s">
        <v>117</v>
      </c>
      <c r="B12" s="63">
        <v>1.8800000000000001E-2</v>
      </c>
      <c r="C12" s="28">
        <v>6.4999999999999997E-3</v>
      </c>
    </row>
    <row r="13" spans="1:3">
      <c r="A13" s="55" t="s">
        <v>124</v>
      </c>
      <c r="B13" s="63">
        <v>1.6299999999999999E-2</v>
      </c>
      <c r="C13" s="28">
        <v>1.8599999999999998E-2</v>
      </c>
    </row>
    <row r="14" spans="1:3">
      <c r="A14" s="55" t="s">
        <v>319</v>
      </c>
      <c r="B14" s="63">
        <v>1.6E-2</v>
      </c>
      <c r="C14" s="28">
        <v>1.12E-2</v>
      </c>
    </row>
    <row r="15" spans="1:3">
      <c r="A15" s="55" t="s">
        <v>119</v>
      </c>
      <c r="B15" s="63">
        <v>1.4999999999999999E-2</v>
      </c>
      <c r="C15" s="28"/>
    </row>
    <row r="16" spans="1:3">
      <c r="A16" s="55" t="s">
        <v>134</v>
      </c>
      <c r="B16" s="63">
        <v>1.43E-2</v>
      </c>
      <c r="C16" s="28">
        <v>9.5999999999999992E-3</v>
      </c>
    </row>
    <row r="17" spans="1:3">
      <c r="A17" s="55" t="s">
        <v>130</v>
      </c>
      <c r="B17" s="63">
        <v>1.43E-2</v>
      </c>
      <c r="C17" s="28">
        <v>9.2999999999999992E-3</v>
      </c>
    </row>
    <row r="18" spans="1:3">
      <c r="A18" s="55" t="s">
        <v>136</v>
      </c>
      <c r="B18" s="63">
        <v>1.38E-2</v>
      </c>
      <c r="C18" s="28">
        <v>8.8999999999999999E-3</v>
      </c>
    </row>
    <row r="19" spans="1:3">
      <c r="A19" s="55" t="s">
        <v>128</v>
      </c>
      <c r="B19" s="63">
        <v>1.15E-2</v>
      </c>
      <c r="C19" s="28"/>
    </row>
    <row r="20" spans="1:3">
      <c r="A20" s="55" t="s">
        <v>126</v>
      </c>
      <c r="B20" s="63">
        <v>1.14E-2</v>
      </c>
      <c r="C20" s="28">
        <v>0.01</v>
      </c>
    </row>
    <row r="21" spans="1:3">
      <c r="A21" s="55" t="s">
        <v>115</v>
      </c>
      <c r="B21" s="63">
        <v>1.01E-2</v>
      </c>
      <c r="C21" s="28">
        <v>3.2000000000000002E-3</v>
      </c>
    </row>
    <row r="22" spans="1:3">
      <c r="A22" s="55" t="s">
        <v>127</v>
      </c>
      <c r="B22" s="64">
        <v>9.7000000000000003E-3</v>
      </c>
      <c r="C22" s="56">
        <v>9.5999999999999992E-3</v>
      </c>
    </row>
    <row r="23" spans="1:3">
      <c r="A23" s="55" t="s">
        <v>111</v>
      </c>
      <c r="B23" s="64">
        <v>9.1999999999999998E-3</v>
      </c>
      <c r="C23" s="56">
        <v>4.1000000000000003E-3</v>
      </c>
    </row>
    <row r="24" spans="1:3">
      <c r="A24" s="55" t="s">
        <v>113</v>
      </c>
      <c r="B24" s="64">
        <v>9.1000000000000004E-3</v>
      </c>
      <c r="C24" s="56">
        <v>9.1999999999999998E-3</v>
      </c>
    </row>
    <row r="25" spans="1:3">
      <c r="A25" s="55" t="s">
        <v>125</v>
      </c>
      <c r="B25" s="64">
        <v>8.0000000000000002E-3</v>
      </c>
      <c r="C25" s="56">
        <v>6.6E-3</v>
      </c>
    </row>
    <row r="26" spans="1:3">
      <c r="A26" s="55" t="s">
        <v>140</v>
      </c>
      <c r="B26" s="64">
        <v>7.4000000000000003E-3</v>
      </c>
      <c r="C26" s="56">
        <v>8.2000000000000007E-3</v>
      </c>
    </row>
    <row r="27" spans="1:3">
      <c r="A27" s="55" t="s">
        <v>121</v>
      </c>
      <c r="B27" s="64">
        <v>6.3E-3</v>
      </c>
      <c r="C27" s="56"/>
    </row>
    <row r="28" spans="1:3">
      <c r="A28" s="55" t="s">
        <v>123</v>
      </c>
      <c r="B28" s="64">
        <v>4.7000000000000002E-3</v>
      </c>
      <c r="C28" s="56">
        <v>6.3E-3</v>
      </c>
    </row>
    <row r="29" spans="1:3">
      <c r="A29" s="55" t="s">
        <v>63</v>
      </c>
      <c r="B29" s="64">
        <v>4.5999999999999999E-3</v>
      </c>
      <c r="C29" s="56">
        <v>0.01</v>
      </c>
    </row>
    <row r="30" spans="1:3">
      <c r="A30" s="55" t="s">
        <v>112</v>
      </c>
      <c r="B30" s="64">
        <v>4.4999999999999997E-3</v>
      </c>
      <c r="C30" s="56"/>
    </row>
    <row r="31" spans="1:3">
      <c r="A31" s="55" t="s">
        <v>129</v>
      </c>
      <c r="B31" s="64">
        <v>2.3999999999999998E-3</v>
      </c>
      <c r="C31" s="56"/>
    </row>
    <row r="32" spans="1:3">
      <c r="A32" s="55" t="s">
        <v>320</v>
      </c>
      <c r="B32" s="64">
        <v>1.6000000000000001E-3</v>
      </c>
      <c r="C32" s="56">
        <v>2.8999999999999998E-3</v>
      </c>
    </row>
    <row r="33" spans="1:3">
      <c r="A33" s="55" t="s">
        <v>133</v>
      </c>
      <c r="B33" s="64">
        <v>1.6000000000000001E-3</v>
      </c>
      <c r="C33" s="56">
        <v>7.1000000000000004E-3</v>
      </c>
    </row>
    <row r="34" spans="1:3">
      <c r="A34" s="55" t="s">
        <v>135</v>
      </c>
      <c r="B34" s="64">
        <v>0</v>
      </c>
      <c r="C34" s="56">
        <v>5.0000000000000001E-4</v>
      </c>
    </row>
    <row r="35" spans="1:3">
      <c r="A35" s="55" t="s">
        <v>137</v>
      </c>
      <c r="B35" s="64">
        <v>0</v>
      </c>
      <c r="C35" s="56">
        <v>6.9999999999999999E-4</v>
      </c>
    </row>
    <row r="36" spans="1:3">
      <c r="A36" s="55" t="s">
        <v>132</v>
      </c>
      <c r="B36" s="64"/>
      <c r="C36" s="56"/>
    </row>
    <row r="37" spans="1:3">
      <c r="A37" s="55" t="s">
        <v>139</v>
      </c>
      <c r="B37" s="64"/>
      <c r="C37" s="56">
        <v>3.2000000000000002E-3</v>
      </c>
    </row>
    <row r="38" spans="1:3">
      <c r="A38" s="57" t="s">
        <v>141</v>
      </c>
      <c r="B38" s="65"/>
      <c r="C38" s="58">
        <v>8.0000000000000004E-4</v>
      </c>
    </row>
    <row r="39" spans="1:3">
      <c r="A39" t="s">
        <v>142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
  <sheetViews>
    <sheetView workbookViewId="0"/>
  </sheetViews>
  <sheetFormatPr defaultRowHeight="15"/>
  <cols>
    <col min="1" max="1" width="22.140625" style="147" customWidth="1"/>
    <col min="2" max="3" width="10.85546875" style="143" customWidth="1"/>
    <col min="4" max="16384" width="9.140625" style="66"/>
  </cols>
  <sheetData>
    <row r="1" spans="1:4">
      <c r="A1" s="79" t="s">
        <v>347</v>
      </c>
    </row>
    <row r="3" spans="1:4">
      <c r="A3" s="144" t="s">
        <v>143</v>
      </c>
      <c r="B3" s="145">
        <v>2013</v>
      </c>
      <c r="C3" s="146" t="s">
        <v>321</v>
      </c>
    </row>
    <row r="4" spans="1:4">
      <c r="A4" s="147">
        <v>0</v>
      </c>
      <c r="B4" s="10">
        <v>20</v>
      </c>
      <c r="C4" s="10">
        <v>18</v>
      </c>
      <c r="D4" s="10"/>
    </row>
    <row r="5" spans="1:4">
      <c r="A5" s="147">
        <v>1</v>
      </c>
      <c r="B5" s="10">
        <v>19</v>
      </c>
      <c r="C5" s="10">
        <v>18</v>
      </c>
      <c r="D5" s="10"/>
    </row>
    <row r="6" spans="1:4">
      <c r="A6" s="147">
        <v>2</v>
      </c>
      <c r="B6" s="10">
        <v>19</v>
      </c>
      <c r="C6" s="10">
        <v>18</v>
      </c>
      <c r="D6" s="10"/>
    </row>
    <row r="7" spans="1:4">
      <c r="A7" s="147">
        <v>3</v>
      </c>
      <c r="B7" s="10">
        <v>19</v>
      </c>
      <c r="C7" s="10">
        <v>17</v>
      </c>
      <c r="D7" s="10"/>
    </row>
    <row r="8" spans="1:4">
      <c r="A8" s="147">
        <v>4</v>
      </c>
      <c r="B8" s="10">
        <v>19</v>
      </c>
      <c r="C8" s="10">
        <v>17</v>
      </c>
      <c r="D8" s="10"/>
    </row>
    <row r="9" spans="1:4">
      <c r="A9" s="147">
        <v>5</v>
      </c>
      <c r="B9" s="10">
        <v>19</v>
      </c>
      <c r="C9" s="10">
        <v>16</v>
      </c>
      <c r="D9" s="10"/>
    </row>
    <row r="10" spans="1:4">
      <c r="A10" s="147">
        <v>6</v>
      </c>
      <c r="B10" s="10">
        <v>18</v>
      </c>
      <c r="C10" s="10">
        <v>16</v>
      </c>
      <c r="D10" s="10"/>
    </row>
    <row r="11" spans="1:4">
      <c r="A11" s="147">
        <v>7</v>
      </c>
      <c r="B11" s="10">
        <v>18</v>
      </c>
      <c r="C11" s="10">
        <v>16</v>
      </c>
      <c r="D11" s="10"/>
    </row>
    <row r="12" spans="1:4">
      <c r="A12" s="147">
        <v>8</v>
      </c>
      <c r="B12" s="10">
        <v>18</v>
      </c>
      <c r="C12" s="10">
        <v>16</v>
      </c>
      <c r="D12" s="10"/>
    </row>
    <row r="13" spans="1:4">
      <c r="A13" s="147">
        <v>9</v>
      </c>
      <c r="B13" s="10">
        <v>18</v>
      </c>
      <c r="C13" s="10">
        <v>16</v>
      </c>
      <c r="D13" s="10"/>
    </row>
    <row r="14" spans="1:4">
      <c r="A14" s="147">
        <v>10</v>
      </c>
      <c r="B14" s="10">
        <v>18</v>
      </c>
      <c r="C14" s="10">
        <v>16</v>
      </c>
      <c r="D14" s="10"/>
    </row>
    <row r="15" spans="1:4">
      <c r="A15" s="147">
        <v>11</v>
      </c>
      <c r="B15" s="10">
        <v>18</v>
      </c>
      <c r="C15" s="10">
        <v>16</v>
      </c>
      <c r="D15" s="10"/>
    </row>
    <row r="16" spans="1:4">
      <c r="A16" s="147">
        <v>12</v>
      </c>
      <c r="B16" s="10">
        <v>18</v>
      </c>
      <c r="C16" s="10">
        <v>16</v>
      </c>
      <c r="D16" s="10"/>
    </row>
    <row r="17" spans="1:4">
      <c r="A17" s="147">
        <v>13</v>
      </c>
      <c r="B17" s="10">
        <v>17</v>
      </c>
      <c r="C17" s="10">
        <v>16</v>
      </c>
      <c r="D17" s="10"/>
    </row>
    <row r="18" spans="1:4">
      <c r="A18" s="147">
        <v>14</v>
      </c>
      <c r="B18" s="10">
        <v>17</v>
      </c>
      <c r="C18" s="10">
        <v>16</v>
      </c>
      <c r="D18" s="10"/>
    </row>
    <row r="19" spans="1:4">
      <c r="A19" s="147">
        <v>15</v>
      </c>
      <c r="B19" s="10">
        <v>17</v>
      </c>
      <c r="C19" s="10">
        <v>16</v>
      </c>
      <c r="D19" s="10"/>
    </row>
    <row r="20" spans="1:4">
      <c r="A20" s="147">
        <v>16</v>
      </c>
      <c r="B20" s="10">
        <v>17</v>
      </c>
      <c r="C20" s="10">
        <v>15</v>
      </c>
      <c r="D20" s="10"/>
    </row>
    <row r="21" spans="1:4">
      <c r="A21" s="147">
        <v>17</v>
      </c>
      <c r="B21" s="10">
        <v>17</v>
      </c>
      <c r="C21" s="10">
        <v>15</v>
      </c>
      <c r="D21" s="10"/>
    </row>
    <row r="22" spans="1:4">
      <c r="A22" s="147">
        <v>18</v>
      </c>
      <c r="B22" s="10">
        <v>17</v>
      </c>
      <c r="C22" s="10">
        <v>15</v>
      </c>
      <c r="D22" s="10"/>
    </row>
    <row r="23" spans="1:4">
      <c r="A23" s="147">
        <v>19</v>
      </c>
      <c r="B23" s="10">
        <v>17</v>
      </c>
      <c r="C23" s="10">
        <v>15</v>
      </c>
      <c r="D23" s="10"/>
    </row>
    <row r="24" spans="1:4">
      <c r="A24" s="147">
        <v>20</v>
      </c>
      <c r="B24" s="10">
        <v>17</v>
      </c>
      <c r="C24" s="10">
        <v>15</v>
      </c>
      <c r="D24" s="10"/>
    </row>
    <row r="25" spans="1:4">
      <c r="A25" s="147">
        <v>21</v>
      </c>
      <c r="B25" s="10">
        <v>17</v>
      </c>
      <c r="C25" s="10">
        <v>15</v>
      </c>
      <c r="D25" s="10"/>
    </row>
    <row r="26" spans="1:4">
      <c r="A26" s="147">
        <v>22</v>
      </c>
      <c r="B26" s="10">
        <v>17</v>
      </c>
      <c r="C26" s="10">
        <v>15</v>
      </c>
      <c r="D26" s="10"/>
    </row>
    <row r="27" spans="1:4">
      <c r="A27" s="147">
        <v>23</v>
      </c>
      <c r="B27" s="10">
        <v>17</v>
      </c>
      <c r="C27" s="10">
        <v>15</v>
      </c>
      <c r="D27" s="10"/>
    </row>
    <row r="28" spans="1:4">
      <c r="A28" s="147">
        <v>24</v>
      </c>
      <c r="B28" s="10">
        <v>16.5</v>
      </c>
      <c r="C28" s="10">
        <v>15</v>
      </c>
      <c r="D28" s="10"/>
    </row>
    <row r="29" spans="1:4">
      <c r="A29" s="147">
        <v>25</v>
      </c>
      <c r="B29" s="10">
        <v>16</v>
      </c>
      <c r="C29" s="10">
        <v>15</v>
      </c>
      <c r="D29" s="10"/>
    </row>
    <row r="30" spans="1:4">
      <c r="A30" s="147">
        <v>26</v>
      </c>
      <c r="B30" s="10">
        <v>17</v>
      </c>
      <c r="C30" s="10">
        <v>15</v>
      </c>
      <c r="D30" s="10"/>
    </row>
    <row r="31" spans="1:4">
      <c r="A31" s="147">
        <v>27</v>
      </c>
      <c r="B31" s="10">
        <v>16</v>
      </c>
      <c r="C31" s="10">
        <v>15</v>
      </c>
      <c r="D31" s="10"/>
    </row>
    <row r="32" spans="1:4">
      <c r="A32" s="147">
        <v>28</v>
      </c>
      <c r="B32" s="10">
        <v>16</v>
      </c>
      <c r="C32" s="10">
        <v>15</v>
      </c>
      <c r="D32" s="10"/>
    </row>
    <row r="33" spans="1:4">
      <c r="A33" s="147">
        <v>29</v>
      </c>
      <c r="B33" s="10">
        <v>16</v>
      </c>
      <c r="C33" s="10">
        <v>15</v>
      </c>
      <c r="D33" s="10"/>
    </row>
    <row r="34" spans="1:4">
      <c r="A34" s="147">
        <v>30</v>
      </c>
      <c r="B34" s="10">
        <v>16</v>
      </c>
      <c r="C34" s="10">
        <v>15</v>
      </c>
      <c r="D34" s="10"/>
    </row>
    <row r="35" spans="1:4">
      <c r="A35" s="147">
        <v>31</v>
      </c>
      <c r="B35" s="10">
        <v>16</v>
      </c>
      <c r="C35" s="10">
        <v>15</v>
      </c>
      <c r="D35" s="10"/>
    </row>
    <row r="36" spans="1:4">
      <c r="A36" s="147">
        <v>32</v>
      </c>
      <c r="B36" s="10">
        <v>16</v>
      </c>
      <c r="C36" s="10">
        <v>15</v>
      </c>
      <c r="D36" s="10"/>
    </row>
    <row r="37" spans="1:4">
      <c r="A37" s="147">
        <v>33</v>
      </c>
      <c r="B37" s="10">
        <v>16</v>
      </c>
      <c r="C37" s="10">
        <v>15</v>
      </c>
      <c r="D37" s="10"/>
    </row>
    <row r="38" spans="1:4">
      <c r="A38" s="147">
        <v>34</v>
      </c>
      <c r="B38" s="10">
        <v>16</v>
      </c>
      <c r="C38" s="10">
        <v>15</v>
      </c>
      <c r="D38" s="10"/>
    </row>
    <row r="39" spans="1:4">
      <c r="A39" s="147">
        <v>35</v>
      </c>
      <c r="B39" s="10">
        <v>16</v>
      </c>
      <c r="C39" s="10">
        <v>15</v>
      </c>
      <c r="D39" s="10"/>
    </row>
    <row r="40" spans="1:4">
      <c r="A40" s="147">
        <v>36</v>
      </c>
      <c r="B40" s="10">
        <v>16</v>
      </c>
      <c r="C40" s="10">
        <v>15</v>
      </c>
      <c r="D40" s="10"/>
    </row>
    <row r="41" spans="1:4">
      <c r="A41" s="147">
        <v>37</v>
      </c>
      <c r="B41" s="10">
        <v>16</v>
      </c>
      <c r="C41" s="10">
        <v>15</v>
      </c>
      <c r="D41" s="10"/>
    </row>
    <row r="42" spans="1:4">
      <c r="A42" s="147">
        <v>38</v>
      </c>
      <c r="B42" s="10">
        <v>16</v>
      </c>
      <c r="C42" s="10">
        <v>15</v>
      </c>
      <c r="D42" s="10"/>
    </row>
    <row r="43" spans="1:4">
      <c r="A43" s="147">
        <v>39</v>
      </c>
      <c r="B43" s="10">
        <v>16</v>
      </c>
      <c r="C43" s="10">
        <v>15</v>
      </c>
      <c r="D43" s="10"/>
    </row>
    <row r="44" spans="1:4">
      <c r="A44" s="147">
        <v>40</v>
      </c>
      <c r="B44" s="10">
        <v>16</v>
      </c>
      <c r="C44" s="10">
        <v>14</v>
      </c>
      <c r="D44" s="10"/>
    </row>
    <row r="45" spans="1:4">
      <c r="A45" s="147">
        <v>41</v>
      </c>
      <c r="B45" s="10">
        <v>16</v>
      </c>
      <c r="C45" s="10">
        <v>14</v>
      </c>
      <c r="D45" s="10"/>
    </row>
    <row r="46" spans="1:4">
      <c r="A46" s="147">
        <v>42</v>
      </c>
      <c r="B46" s="10">
        <v>15.5</v>
      </c>
      <c r="C46" s="10">
        <v>14</v>
      </c>
      <c r="D46" s="10"/>
    </row>
    <row r="47" spans="1:4">
      <c r="A47" s="147">
        <v>43</v>
      </c>
      <c r="B47" s="10">
        <v>15.5</v>
      </c>
      <c r="C47" s="10">
        <v>14</v>
      </c>
      <c r="D47" s="10"/>
    </row>
    <row r="48" spans="1:4">
      <c r="A48" s="147">
        <v>44</v>
      </c>
      <c r="B48" s="10">
        <v>15.5</v>
      </c>
      <c r="C48" s="10">
        <v>14</v>
      </c>
      <c r="D48" s="10"/>
    </row>
    <row r="49" spans="1:4">
      <c r="A49" s="147">
        <v>45</v>
      </c>
      <c r="B49" s="10">
        <v>15.5</v>
      </c>
      <c r="C49" s="10">
        <v>14</v>
      </c>
      <c r="D49" s="10"/>
    </row>
    <row r="50" spans="1:4">
      <c r="A50" s="147">
        <v>46</v>
      </c>
      <c r="B50" s="10">
        <v>15</v>
      </c>
      <c r="C50" s="10">
        <v>14</v>
      </c>
      <c r="D50" s="10"/>
    </row>
    <row r="51" spans="1:4">
      <c r="A51" s="147">
        <v>47</v>
      </c>
      <c r="B51" s="10">
        <v>15</v>
      </c>
      <c r="C51" s="10">
        <v>14</v>
      </c>
      <c r="D51" s="10"/>
    </row>
    <row r="52" spans="1:4">
      <c r="A52" s="147">
        <v>48</v>
      </c>
      <c r="B52" s="10">
        <v>15</v>
      </c>
      <c r="C52" s="10">
        <v>14</v>
      </c>
      <c r="D52" s="10"/>
    </row>
    <row r="53" spans="1:4">
      <c r="A53" s="147">
        <v>49</v>
      </c>
      <c r="B53" s="10">
        <v>15</v>
      </c>
      <c r="C53" s="10">
        <v>14</v>
      </c>
      <c r="D53" s="10"/>
    </row>
    <row r="54" spans="1:4">
      <c r="A54" s="147">
        <v>50</v>
      </c>
      <c r="B54" s="10">
        <v>15</v>
      </c>
      <c r="C54" s="10">
        <v>14</v>
      </c>
      <c r="D54" s="10"/>
    </row>
    <row r="55" spans="1:4">
      <c r="A55" s="147">
        <v>51</v>
      </c>
      <c r="B55" s="10">
        <v>15</v>
      </c>
      <c r="C55" s="10">
        <v>14</v>
      </c>
      <c r="D55" s="10"/>
    </row>
    <row r="56" spans="1:4">
      <c r="A56" s="147">
        <v>52</v>
      </c>
      <c r="B56" s="10">
        <v>15</v>
      </c>
      <c r="C56" s="10">
        <v>14</v>
      </c>
      <c r="D56" s="10"/>
    </row>
    <row r="57" spans="1:4">
      <c r="A57" s="147">
        <v>53</v>
      </c>
      <c r="B57" s="10">
        <v>15</v>
      </c>
      <c r="C57" s="10">
        <v>14</v>
      </c>
      <c r="D57" s="10"/>
    </row>
    <row r="58" spans="1:4">
      <c r="A58" s="147">
        <v>54</v>
      </c>
      <c r="B58" s="10">
        <v>15</v>
      </c>
      <c r="C58" s="10">
        <v>14</v>
      </c>
      <c r="D58" s="10"/>
    </row>
    <row r="59" spans="1:4">
      <c r="A59" s="147">
        <v>55</v>
      </c>
      <c r="B59" s="10">
        <v>15</v>
      </c>
      <c r="C59" s="10">
        <v>14</v>
      </c>
      <c r="D59" s="10"/>
    </row>
    <row r="60" spans="1:4">
      <c r="A60" s="147">
        <v>56</v>
      </c>
      <c r="B60" s="10">
        <v>15</v>
      </c>
      <c r="C60" s="10">
        <v>14</v>
      </c>
      <c r="D60" s="10"/>
    </row>
    <row r="61" spans="1:4">
      <c r="A61" s="147">
        <v>57</v>
      </c>
      <c r="B61" s="10">
        <v>14</v>
      </c>
      <c r="C61" s="10">
        <v>14</v>
      </c>
      <c r="D61" s="10"/>
    </row>
    <row r="62" spans="1:4">
      <c r="A62" s="147">
        <v>58</v>
      </c>
      <c r="B62" s="10">
        <v>14</v>
      </c>
      <c r="C62" s="10">
        <v>14</v>
      </c>
      <c r="D62" s="10"/>
    </row>
    <row r="63" spans="1:4">
      <c r="A63" s="147">
        <v>59</v>
      </c>
      <c r="B63" s="10">
        <v>14</v>
      </c>
      <c r="C63" s="10">
        <v>14</v>
      </c>
      <c r="D63" s="10"/>
    </row>
    <row r="64" spans="1:4">
      <c r="A64" s="147">
        <v>60</v>
      </c>
      <c r="B64" s="10">
        <v>14</v>
      </c>
      <c r="C64" s="10">
        <v>14</v>
      </c>
      <c r="D64" s="10"/>
    </row>
  </sheetData>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zoomScaleNormal="100" workbookViewId="0"/>
  </sheetViews>
  <sheetFormatPr defaultRowHeight="15"/>
  <cols>
    <col min="1" max="1" width="12.28515625" style="147" customWidth="1"/>
    <col min="2" max="3" width="6.7109375" style="66" bestFit="1" customWidth="1"/>
    <col min="4" max="16384" width="9.140625" style="66"/>
  </cols>
  <sheetData>
    <row r="1" spans="1:8">
      <c r="A1" s="79" t="s">
        <v>213</v>
      </c>
    </row>
    <row r="2" spans="1:8">
      <c r="A2" s="79"/>
    </row>
    <row r="3" spans="1:8">
      <c r="A3" s="148" t="s">
        <v>10</v>
      </c>
      <c r="B3" s="149" t="s">
        <v>32</v>
      </c>
      <c r="C3" s="149" t="s">
        <v>33</v>
      </c>
    </row>
    <row r="4" spans="1:8">
      <c r="A4" s="147">
        <v>1983</v>
      </c>
      <c r="B4" s="67">
        <v>0.97335000000000005</v>
      </c>
      <c r="C4" s="67">
        <v>0.86470999999999998</v>
      </c>
      <c r="G4" s="150"/>
      <c r="H4" s="150"/>
    </row>
    <row r="5" spans="1:8">
      <c r="A5" s="147">
        <v>1984</v>
      </c>
      <c r="B5" s="67">
        <v>0.92367999999999995</v>
      </c>
      <c r="C5" s="67">
        <v>0.8175</v>
      </c>
      <c r="G5" s="150"/>
      <c r="H5" s="150"/>
    </row>
    <row r="6" spans="1:8">
      <c r="A6" s="147">
        <v>1985</v>
      </c>
      <c r="B6" s="67">
        <v>0.93727000000000005</v>
      </c>
      <c r="C6" s="67">
        <v>0.83067999999999997</v>
      </c>
      <c r="G6" s="150"/>
      <c r="H6" s="150"/>
    </row>
    <row r="7" spans="1:8">
      <c r="A7" s="147">
        <v>1986</v>
      </c>
      <c r="B7" s="67">
        <v>0.90874999999999995</v>
      </c>
      <c r="C7" s="67">
        <v>0.83250999999999997</v>
      </c>
      <c r="G7" s="150"/>
      <c r="H7" s="150"/>
    </row>
    <row r="8" spans="1:8">
      <c r="A8" s="147">
        <v>1987</v>
      </c>
      <c r="B8" s="67">
        <v>0.87785000000000002</v>
      </c>
      <c r="C8" s="67">
        <v>0.83735999999999999</v>
      </c>
      <c r="G8" s="150"/>
      <c r="H8" s="150"/>
    </row>
    <row r="9" spans="1:8">
      <c r="A9" s="147">
        <v>1988</v>
      </c>
      <c r="B9" s="67">
        <v>0.91561999999999999</v>
      </c>
      <c r="C9" s="67">
        <v>0.83703000000000005</v>
      </c>
      <c r="G9" s="150"/>
      <c r="H9" s="150"/>
    </row>
    <row r="10" spans="1:8">
      <c r="A10" s="147">
        <v>1989</v>
      </c>
      <c r="B10" s="67">
        <v>0.85048999999999997</v>
      </c>
      <c r="C10" s="67">
        <v>0.85318000000000005</v>
      </c>
      <c r="G10" s="150"/>
      <c r="H10" s="150"/>
    </row>
    <row r="11" spans="1:8">
      <c r="A11" s="147">
        <v>1990</v>
      </c>
      <c r="B11" s="67">
        <v>0.91847999999999996</v>
      </c>
      <c r="C11" s="67">
        <v>0.89502999999999999</v>
      </c>
      <c r="G11" s="150"/>
      <c r="H11" s="150"/>
    </row>
    <row r="12" spans="1:8">
      <c r="A12" s="147">
        <v>1991</v>
      </c>
      <c r="B12" s="67">
        <v>0.91903000000000001</v>
      </c>
      <c r="C12" s="67">
        <v>0.91703999999999997</v>
      </c>
      <c r="G12" s="150"/>
      <c r="H12" s="150"/>
    </row>
    <row r="13" spans="1:8">
      <c r="A13" s="147">
        <v>1992</v>
      </c>
      <c r="B13" s="67">
        <v>0.97340000000000004</v>
      </c>
      <c r="C13" s="67">
        <v>0.94237000000000004</v>
      </c>
      <c r="G13" s="150"/>
      <c r="H13" s="150"/>
    </row>
    <row r="14" spans="1:8">
      <c r="A14" s="147">
        <v>1993</v>
      </c>
      <c r="B14" s="67">
        <v>0.95252000000000003</v>
      </c>
      <c r="C14" s="67">
        <v>0.92513999999999996</v>
      </c>
      <c r="G14" s="150"/>
      <c r="H14" s="150"/>
    </row>
    <row r="15" spans="1:8">
      <c r="A15" s="147">
        <v>1994</v>
      </c>
      <c r="B15" s="67">
        <v>0.94113000000000002</v>
      </c>
      <c r="C15" s="67">
        <v>0.89285000000000003</v>
      </c>
      <c r="G15" s="150"/>
      <c r="H15" s="150"/>
    </row>
    <row r="16" spans="1:8">
      <c r="A16" s="147">
        <v>1995</v>
      </c>
      <c r="B16" s="67">
        <v>0.89970000000000006</v>
      </c>
      <c r="C16" s="67">
        <v>0.87661999999999995</v>
      </c>
      <c r="G16" s="150"/>
      <c r="H16" s="150"/>
    </row>
    <row r="17" spans="1:8">
      <c r="A17" s="147">
        <v>1996</v>
      </c>
      <c r="B17" s="67">
        <v>0.95684999999999998</v>
      </c>
      <c r="C17" s="67">
        <v>0.88339000000000001</v>
      </c>
      <c r="G17" s="150"/>
      <c r="H17" s="150"/>
    </row>
    <row r="18" spans="1:8">
      <c r="A18" s="147">
        <v>1997</v>
      </c>
      <c r="B18" s="67">
        <v>0.96233999999999997</v>
      </c>
      <c r="C18" s="67">
        <v>0.86929999999999996</v>
      </c>
      <c r="G18" s="150"/>
      <c r="H18" s="150"/>
    </row>
    <row r="19" spans="1:8">
      <c r="A19" s="147">
        <v>1998</v>
      </c>
      <c r="B19" s="67">
        <v>0.88715999999999995</v>
      </c>
      <c r="C19" s="67">
        <v>0.86504000000000003</v>
      </c>
      <c r="G19" s="150"/>
      <c r="H19" s="150"/>
    </row>
    <row r="20" spans="1:8">
      <c r="A20" s="147">
        <v>1999</v>
      </c>
      <c r="B20" s="67">
        <v>0.89983999999999997</v>
      </c>
      <c r="C20" s="67">
        <v>0.87534999999999996</v>
      </c>
      <c r="G20" s="150"/>
      <c r="H20" s="150"/>
    </row>
    <row r="21" spans="1:8">
      <c r="A21" s="147">
        <v>2000</v>
      </c>
      <c r="B21" s="67">
        <v>0.89802000000000004</v>
      </c>
      <c r="C21" s="67">
        <v>0.87968000000000002</v>
      </c>
      <c r="G21" s="150"/>
      <c r="H21" s="150"/>
    </row>
    <row r="22" spans="1:8">
      <c r="A22" s="147">
        <v>2001</v>
      </c>
      <c r="B22" s="67">
        <v>0.90822000000000003</v>
      </c>
      <c r="C22" s="67">
        <v>0.88461999999999996</v>
      </c>
      <c r="G22" s="150"/>
      <c r="H22" s="150"/>
    </row>
    <row r="23" spans="1:8">
      <c r="A23" s="147">
        <v>2002</v>
      </c>
      <c r="B23" s="67">
        <v>0.89814000000000005</v>
      </c>
      <c r="C23" s="67">
        <v>0.89371</v>
      </c>
      <c r="G23" s="150"/>
      <c r="H23" s="150"/>
    </row>
    <row r="24" spans="1:8">
      <c r="A24" s="147">
        <v>2003</v>
      </c>
      <c r="B24" s="67">
        <v>0.94662999999999997</v>
      </c>
      <c r="C24" s="67">
        <v>0.92215999999999998</v>
      </c>
      <c r="G24" s="150"/>
      <c r="H24" s="150"/>
    </row>
    <row r="25" spans="1:8">
      <c r="A25" s="147">
        <v>2004</v>
      </c>
      <c r="B25" s="67">
        <v>0.95164000000000004</v>
      </c>
      <c r="C25" s="67">
        <v>0.84211000000000003</v>
      </c>
      <c r="G25" s="150"/>
      <c r="H25" s="150"/>
    </row>
    <row r="26" spans="1:8">
      <c r="A26" s="147">
        <v>2005</v>
      </c>
      <c r="B26" s="67">
        <v>0.92498000000000002</v>
      </c>
      <c r="C26" s="67">
        <v>0.81889000000000001</v>
      </c>
      <c r="G26" s="150"/>
      <c r="H26" s="150"/>
    </row>
    <row r="27" spans="1:8">
      <c r="A27" s="147">
        <v>2006</v>
      </c>
      <c r="B27" s="67">
        <v>0.92525000000000002</v>
      </c>
      <c r="C27" s="67">
        <v>0.82484999999999997</v>
      </c>
      <c r="G27" s="150"/>
      <c r="H27" s="150"/>
    </row>
    <row r="28" spans="1:8">
      <c r="A28" s="147">
        <v>2007</v>
      </c>
      <c r="B28" s="67">
        <v>0.98312999999999995</v>
      </c>
      <c r="C28" s="67">
        <v>0.82901000000000002</v>
      </c>
      <c r="G28" s="150"/>
      <c r="H28" s="150"/>
    </row>
    <row r="29" spans="1:8">
      <c r="A29" s="147">
        <v>2008</v>
      </c>
      <c r="B29" s="67">
        <v>0.83069000000000004</v>
      </c>
      <c r="C29" s="67">
        <v>0.83821000000000001</v>
      </c>
      <c r="G29" s="150"/>
      <c r="H29" s="150"/>
    </row>
    <row r="30" spans="1:8">
      <c r="A30" s="147">
        <v>2009</v>
      </c>
      <c r="B30" s="67">
        <v>0.90381999999999996</v>
      </c>
      <c r="C30" s="68">
        <v>0.87211000000000005</v>
      </c>
      <c r="G30" s="150"/>
      <c r="H30" s="150"/>
    </row>
    <row r="31" spans="1:8">
      <c r="A31" s="147">
        <v>2010</v>
      </c>
      <c r="B31" s="67">
        <v>0.94025999999999998</v>
      </c>
      <c r="C31" s="68"/>
      <c r="G31" s="150"/>
      <c r="H31" s="150"/>
    </row>
    <row r="32" spans="1:8">
      <c r="A32" s="147">
        <v>2011</v>
      </c>
      <c r="B32" s="67">
        <v>0.95145999999999997</v>
      </c>
      <c r="C32" s="68"/>
      <c r="G32" s="150"/>
      <c r="H32" s="150"/>
    </row>
    <row r="33" spans="1:8">
      <c r="A33" s="147">
        <v>2012</v>
      </c>
      <c r="B33" s="68">
        <v>0.94781000000000004</v>
      </c>
      <c r="C33" s="68"/>
      <c r="G33" s="150"/>
      <c r="H33" s="150"/>
    </row>
    <row r="34" spans="1:8">
      <c r="A34" s="147">
        <v>2013</v>
      </c>
      <c r="B34" s="68">
        <v>0.93156000000000005</v>
      </c>
    </row>
    <row r="35" spans="1:8">
      <c r="B35" s="151"/>
      <c r="C35" s="151"/>
    </row>
  </sheetData>
  <conditionalFormatting sqref="G4:H3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workbookViewId="0"/>
  </sheetViews>
  <sheetFormatPr defaultRowHeight="15"/>
  <cols>
    <col min="1" max="1" width="42.85546875" style="10" customWidth="1"/>
    <col min="2" max="2" width="15.42578125" style="10" bestFit="1" customWidth="1"/>
    <col min="3" max="3" width="36.5703125" style="10" bestFit="1" customWidth="1"/>
    <col min="4" max="5" width="9.28515625" style="10" customWidth="1"/>
    <col min="6" max="6" width="10.42578125" style="10" bestFit="1" customWidth="1"/>
    <col min="7" max="16384" width="9.140625" style="10"/>
  </cols>
  <sheetData>
    <row r="1" spans="1:6">
      <c r="A1" s="79" t="s">
        <v>349</v>
      </c>
    </row>
    <row r="2" spans="1:6">
      <c r="B2" s="79"/>
      <c r="C2" s="153"/>
    </row>
    <row r="3" spans="1:6" ht="30">
      <c r="A3" s="154" t="s">
        <v>144</v>
      </c>
      <c r="B3" s="154" t="s">
        <v>145</v>
      </c>
      <c r="C3" s="154" t="s">
        <v>146</v>
      </c>
      <c r="D3" s="155" t="s">
        <v>147</v>
      </c>
      <c r="E3" s="155" t="s">
        <v>148</v>
      </c>
      <c r="F3" s="155" t="s">
        <v>341</v>
      </c>
    </row>
    <row r="4" spans="1:6">
      <c r="A4" s="10" t="s">
        <v>231</v>
      </c>
      <c r="B4" s="10" t="s">
        <v>150</v>
      </c>
      <c r="C4" s="10" t="s">
        <v>151</v>
      </c>
      <c r="D4" s="152">
        <v>292.8</v>
      </c>
      <c r="E4" s="152" t="s">
        <v>172</v>
      </c>
      <c r="F4" s="156" t="s">
        <v>232</v>
      </c>
    </row>
    <row r="5" spans="1:6">
      <c r="A5" s="10" t="s">
        <v>233</v>
      </c>
      <c r="B5" s="10" t="s">
        <v>150</v>
      </c>
      <c r="C5" s="10" t="s">
        <v>153</v>
      </c>
      <c r="D5" s="152">
        <v>172</v>
      </c>
      <c r="E5" s="152" t="s">
        <v>172</v>
      </c>
      <c r="F5" s="156" t="s">
        <v>232</v>
      </c>
    </row>
    <row r="6" spans="1:6">
      <c r="A6" s="10" t="s">
        <v>234</v>
      </c>
      <c r="B6" s="10" t="s">
        <v>156</v>
      </c>
      <c r="C6" s="10" t="s">
        <v>153</v>
      </c>
      <c r="D6" s="152">
        <v>0.97799999999999998</v>
      </c>
      <c r="E6" s="152" t="s">
        <v>172</v>
      </c>
      <c r="F6" s="156" t="s">
        <v>232</v>
      </c>
    </row>
    <row r="7" spans="1:6">
      <c r="A7" s="10" t="s">
        <v>235</v>
      </c>
      <c r="B7" s="10" t="s">
        <v>150</v>
      </c>
      <c r="C7" s="10" t="s">
        <v>151</v>
      </c>
      <c r="D7" s="152">
        <v>400</v>
      </c>
      <c r="E7" s="152" t="s">
        <v>172</v>
      </c>
      <c r="F7" s="156" t="s">
        <v>232</v>
      </c>
    </row>
    <row r="8" spans="1:6">
      <c r="A8" s="10" t="s">
        <v>236</v>
      </c>
      <c r="B8" s="10" t="s">
        <v>237</v>
      </c>
      <c r="C8" s="10" t="s">
        <v>153</v>
      </c>
      <c r="D8" s="152">
        <v>620.07399999999996</v>
      </c>
      <c r="E8" s="152" t="s">
        <v>172</v>
      </c>
      <c r="F8" s="156" t="s">
        <v>232</v>
      </c>
    </row>
    <row r="9" spans="1:6">
      <c r="A9" s="10" t="s">
        <v>238</v>
      </c>
      <c r="B9" s="10" t="s">
        <v>239</v>
      </c>
      <c r="C9" s="10" t="s">
        <v>151</v>
      </c>
      <c r="D9" s="152">
        <v>497.43599999999998</v>
      </c>
      <c r="E9" s="152" t="s">
        <v>172</v>
      </c>
      <c r="F9" s="156" t="s">
        <v>232</v>
      </c>
    </row>
    <row r="10" spans="1:6">
      <c r="A10" s="10" t="s">
        <v>240</v>
      </c>
      <c r="B10" s="10" t="s">
        <v>155</v>
      </c>
      <c r="C10" s="10" t="s">
        <v>149</v>
      </c>
      <c r="D10" s="152">
        <v>45</v>
      </c>
      <c r="E10" s="152" t="s">
        <v>172</v>
      </c>
      <c r="F10" s="156" t="s">
        <v>232</v>
      </c>
    </row>
    <row r="11" spans="1:6">
      <c r="A11" s="10" t="s">
        <v>241</v>
      </c>
      <c r="B11" s="10" t="s">
        <v>168</v>
      </c>
      <c r="C11" s="10" t="s">
        <v>151</v>
      </c>
      <c r="D11" s="152">
        <v>946.07</v>
      </c>
      <c r="E11" s="152" t="s">
        <v>172</v>
      </c>
      <c r="F11" s="156" t="s">
        <v>232</v>
      </c>
    </row>
    <row r="12" spans="1:6">
      <c r="A12" s="10" t="s">
        <v>242</v>
      </c>
      <c r="B12" s="10" t="s">
        <v>168</v>
      </c>
      <c r="C12" s="10" t="s">
        <v>151</v>
      </c>
      <c r="D12" s="152">
        <v>5159.9970000000003</v>
      </c>
      <c r="E12" s="152" t="s">
        <v>172</v>
      </c>
      <c r="F12" s="156" t="s">
        <v>232</v>
      </c>
    </row>
    <row r="13" spans="1:6">
      <c r="A13" s="10" t="s">
        <v>243</v>
      </c>
      <c r="B13" s="10" t="s">
        <v>244</v>
      </c>
      <c r="C13" s="10" t="s">
        <v>151</v>
      </c>
      <c r="D13" s="152">
        <v>95</v>
      </c>
      <c r="E13" s="152" t="s">
        <v>172</v>
      </c>
      <c r="F13" s="156" t="s">
        <v>232</v>
      </c>
    </row>
    <row r="14" spans="1:6">
      <c r="A14" t="s">
        <v>359</v>
      </c>
      <c r="B14" s="10" t="s">
        <v>162</v>
      </c>
      <c r="C14" s="10" t="s">
        <v>245</v>
      </c>
      <c r="D14" s="152">
        <v>213.97200000000001</v>
      </c>
      <c r="E14" s="152">
        <v>4508.857</v>
      </c>
      <c r="F14" s="156" t="s">
        <v>232</v>
      </c>
    </row>
    <row r="15" spans="1:6">
      <c r="A15" s="10" t="s">
        <v>246</v>
      </c>
      <c r="B15" s="10" t="s">
        <v>168</v>
      </c>
      <c r="C15" s="10" t="s">
        <v>151</v>
      </c>
      <c r="D15" s="152">
        <v>926.00400000000002</v>
      </c>
      <c r="E15" s="152" t="s">
        <v>172</v>
      </c>
      <c r="F15" s="156" t="s">
        <v>232</v>
      </c>
    </row>
    <row r="16" spans="1:6">
      <c r="A16" s="10" t="s">
        <v>247</v>
      </c>
      <c r="B16" s="10" t="s">
        <v>150</v>
      </c>
      <c r="C16" s="10" t="s">
        <v>151</v>
      </c>
      <c r="D16" s="152">
        <v>1921.5170000000001</v>
      </c>
      <c r="E16" s="152">
        <v>3661.5</v>
      </c>
      <c r="F16" s="156" t="s">
        <v>248</v>
      </c>
    </row>
    <row r="17" spans="1:6">
      <c r="A17" s="10" t="s">
        <v>249</v>
      </c>
      <c r="B17" s="10" t="s">
        <v>250</v>
      </c>
      <c r="C17" s="10" t="s">
        <v>160</v>
      </c>
      <c r="D17" s="152">
        <v>1197.8050000000001</v>
      </c>
      <c r="E17" s="152">
        <v>15</v>
      </c>
      <c r="F17" s="156" t="s">
        <v>232</v>
      </c>
    </row>
    <row r="18" spans="1:6">
      <c r="A18" s="10" t="s">
        <v>251</v>
      </c>
      <c r="B18" s="10" t="s">
        <v>252</v>
      </c>
      <c r="C18" s="10" t="s">
        <v>151</v>
      </c>
      <c r="D18" s="152">
        <v>1273.7840000000001</v>
      </c>
      <c r="E18" s="152">
        <v>113</v>
      </c>
      <c r="F18" s="156" t="s">
        <v>232</v>
      </c>
    </row>
    <row r="19" spans="1:6">
      <c r="A19" s="10" t="s">
        <v>159</v>
      </c>
      <c r="B19" s="10" t="s">
        <v>150</v>
      </c>
      <c r="C19" s="10" t="s">
        <v>153</v>
      </c>
      <c r="D19" s="152">
        <v>244.38300000000001</v>
      </c>
      <c r="E19" s="152" t="s">
        <v>172</v>
      </c>
      <c r="F19" s="156" t="s">
        <v>232</v>
      </c>
    </row>
    <row r="20" spans="1:6">
      <c r="A20" s="10" t="s">
        <v>253</v>
      </c>
      <c r="B20" s="10" t="s">
        <v>168</v>
      </c>
      <c r="C20" s="10" t="s">
        <v>153</v>
      </c>
      <c r="D20" s="152">
        <v>300</v>
      </c>
      <c r="E20" s="152" t="s">
        <v>172</v>
      </c>
      <c r="F20" s="156" t="s">
        <v>232</v>
      </c>
    </row>
    <row r="21" spans="1:6">
      <c r="A21" s="10" t="s">
        <v>254</v>
      </c>
      <c r="B21" s="10" t="s">
        <v>252</v>
      </c>
      <c r="C21" s="10" t="s">
        <v>151</v>
      </c>
      <c r="D21" s="152">
        <v>1893.4</v>
      </c>
      <c r="E21" s="152" t="s">
        <v>172</v>
      </c>
      <c r="F21" s="156" t="s">
        <v>232</v>
      </c>
    </row>
    <row r="22" spans="1:6">
      <c r="A22" s="10" t="s">
        <v>255</v>
      </c>
      <c r="B22" s="10" t="s">
        <v>239</v>
      </c>
      <c r="C22" s="10" t="s">
        <v>153</v>
      </c>
      <c r="D22" s="152">
        <v>283.07600000000002</v>
      </c>
      <c r="E22" s="152" t="s">
        <v>172</v>
      </c>
      <c r="F22" s="156" t="s">
        <v>232</v>
      </c>
    </row>
    <row r="23" spans="1:6">
      <c r="A23" s="10" t="s">
        <v>161</v>
      </c>
      <c r="B23" s="10" t="s">
        <v>162</v>
      </c>
      <c r="C23" s="10" t="s">
        <v>245</v>
      </c>
      <c r="D23" s="152">
        <v>1571.66</v>
      </c>
      <c r="E23" s="152" t="s">
        <v>172</v>
      </c>
      <c r="F23" s="156" t="s">
        <v>232</v>
      </c>
    </row>
    <row r="24" spans="1:6">
      <c r="A24" s="10" t="s">
        <v>256</v>
      </c>
      <c r="B24" s="10" t="s">
        <v>239</v>
      </c>
      <c r="C24" s="10" t="s">
        <v>153</v>
      </c>
      <c r="D24" s="152">
        <v>900</v>
      </c>
      <c r="E24" s="152" t="s">
        <v>172</v>
      </c>
      <c r="F24" s="156" t="s">
        <v>232</v>
      </c>
    </row>
    <row r="25" spans="1:6">
      <c r="A25" s="10" t="s">
        <v>163</v>
      </c>
      <c r="B25" s="10" t="s">
        <v>150</v>
      </c>
      <c r="C25" s="10" t="s">
        <v>152</v>
      </c>
      <c r="D25" s="152" t="s">
        <v>172</v>
      </c>
      <c r="E25" s="152">
        <v>487.82</v>
      </c>
      <c r="F25" s="156" t="s">
        <v>232</v>
      </c>
    </row>
    <row r="26" spans="1:6">
      <c r="A26" s="10" t="s">
        <v>164</v>
      </c>
      <c r="B26" s="10" t="s">
        <v>150</v>
      </c>
      <c r="C26" s="10" t="s">
        <v>152</v>
      </c>
      <c r="D26" s="152" t="s">
        <v>172</v>
      </c>
      <c r="E26" s="152">
        <v>489.27</v>
      </c>
      <c r="F26" s="156" t="s">
        <v>232</v>
      </c>
    </row>
    <row r="27" spans="1:6">
      <c r="A27" s="10" t="s">
        <v>165</v>
      </c>
      <c r="B27" s="10" t="s">
        <v>150</v>
      </c>
      <c r="C27" s="10" t="s">
        <v>152</v>
      </c>
      <c r="D27" s="152">
        <v>212.27799999999999</v>
      </c>
      <c r="E27" s="152">
        <v>0</v>
      </c>
      <c r="F27" s="156" t="s">
        <v>232</v>
      </c>
    </row>
    <row r="28" spans="1:6">
      <c r="A28" s="10" t="s">
        <v>166</v>
      </c>
      <c r="B28" s="10" t="s">
        <v>150</v>
      </c>
      <c r="C28" s="10" t="s">
        <v>151</v>
      </c>
      <c r="D28" s="152">
        <v>1234.9269999999999</v>
      </c>
      <c r="E28" s="152" t="s">
        <v>172</v>
      </c>
      <c r="F28" s="156" t="s">
        <v>248</v>
      </c>
    </row>
    <row r="29" spans="1:6">
      <c r="A29" s="10" t="s">
        <v>257</v>
      </c>
      <c r="B29" s="10" t="s">
        <v>150</v>
      </c>
      <c r="C29" s="10" t="s">
        <v>151</v>
      </c>
      <c r="D29" s="152">
        <v>139.06800000000001</v>
      </c>
      <c r="E29" s="152" t="s">
        <v>172</v>
      </c>
      <c r="F29" s="156" t="s">
        <v>232</v>
      </c>
    </row>
    <row r="30" spans="1:6">
      <c r="A30" s="10" t="s">
        <v>258</v>
      </c>
      <c r="B30" s="10" t="s">
        <v>150</v>
      </c>
      <c r="C30" s="10" t="s">
        <v>259</v>
      </c>
      <c r="D30" s="152" t="s">
        <v>172</v>
      </c>
      <c r="E30" s="152">
        <v>300</v>
      </c>
      <c r="F30" s="156" t="s">
        <v>232</v>
      </c>
    </row>
    <row r="31" spans="1:6">
      <c r="A31" s="10" t="s">
        <v>260</v>
      </c>
      <c r="B31" s="10" t="s">
        <v>150</v>
      </c>
      <c r="C31" s="10" t="s">
        <v>154</v>
      </c>
      <c r="D31" s="152">
        <v>730.75</v>
      </c>
      <c r="E31" s="152" t="s">
        <v>172</v>
      </c>
      <c r="F31" s="156" t="s">
        <v>232</v>
      </c>
    </row>
    <row r="32" spans="1:6">
      <c r="A32" s="10" t="s">
        <v>261</v>
      </c>
      <c r="B32" s="10" t="s">
        <v>150</v>
      </c>
      <c r="C32" s="10" t="s">
        <v>152</v>
      </c>
      <c r="D32" s="152" t="s">
        <v>172</v>
      </c>
      <c r="E32" s="152">
        <v>1167.44</v>
      </c>
      <c r="F32" s="156" t="s">
        <v>232</v>
      </c>
    </row>
    <row r="33" spans="1:6">
      <c r="A33" s="10" t="s">
        <v>262</v>
      </c>
      <c r="B33" s="10" t="s">
        <v>150</v>
      </c>
      <c r="C33" s="10" t="s">
        <v>153</v>
      </c>
      <c r="D33" s="152">
        <v>300</v>
      </c>
      <c r="E33" s="152">
        <v>50</v>
      </c>
      <c r="F33" s="156" t="s">
        <v>232</v>
      </c>
    </row>
    <row r="34" spans="1:6">
      <c r="A34" s="10" t="s">
        <v>263</v>
      </c>
      <c r="B34" s="10" t="s">
        <v>150</v>
      </c>
      <c r="C34" s="10" t="s">
        <v>154</v>
      </c>
      <c r="D34" s="152">
        <v>426.06400000000002</v>
      </c>
      <c r="E34" s="152" t="s">
        <v>172</v>
      </c>
      <c r="F34" s="156" t="s">
        <v>232</v>
      </c>
    </row>
    <row r="35" spans="1:6">
      <c r="A35" s="10" t="s">
        <v>264</v>
      </c>
      <c r="B35" s="10" t="s">
        <v>150</v>
      </c>
      <c r="C35" s="10" t="s">
        <v>160</v>
      </c>
      <c r="D35" s="152">
        <v>255.94800000000001</v>
      </c>
      <c r="E35" s="152">
        <v>74</v>
      </c>
      <c r="F35" s="156" t="s">
        <v>232</v>
      </c>
    </row>
    <row r="36" spans="1:6">
      <c r="A36" s="10" t="s">
        <v>265</v>
      </c>
      <c r="B36" s="10" t="s">
        <v>167</v>
      </c>
      <c r="C36" s="10" t="s">
        <v>149</v>
      </c>
      <c r="D36" s="152">
        <v>365.24200000000002</v>
      </c>
      <c r="E36" s="152" t="s">
        <v>172</v>
      </c>
      <c r="F36" s="156" t="s">
        <v>232</v>
      </c>
    </row>
    <row r="37" spans="1:6">
      <c r="A37" s="10" t="s">
        <v>266</v>
      </c>
      <c r="B37" s="10" t="s">
        <v>150</v>
      </c>
      <c r="C37" s="10" t="s">
        <v>151</v>
      </c>
      <c r="D37" s="152" t="s">
        <v>172</v>
      </c>
      <c r="E37" s="152">
        <v>129.5</v>
      </c>
      <c r="F37" s="156" t="s">
        <v>232</v>
      </c>
    </row>
    <row r="38" spans="1:6">
      <c r="A38" s="10" t="s">
        <v>267</v>
      </c>
      <c r="B38" s="10" t="s">
        <v>157</v>
      </c>
      <c r="C38" s="10" t="s">
        <v>151</v>
      </c>
      <c r="D38" s="152" t="s">
        <v>172</v>
      </c>
      <c r="E38" s="152">
        <v>30</v>
      </c>
      <c r="F38" s="156" t="s">
        <v>232</v>
      </c>
    </row>
    <row r="39" spans="1:6">
      <c r="A39" s="10" t="s">
        <v>268</v>
      </c>
      <c r="B39" s="10" t="s">
        <v>168</v>
      </c>
      <c r="C39" s="10" t="s">
        <v>151</v>
      </c>
      <c r="D39" s="152">
        <v>450.13799999999998</v>
      </c>
      <c r="E39" s="152" t="s">
        <v>172</v>
      </c>
      <c r="F39" s="156" t="s">
        <v>232</v>
      </c>
    </row>
    <row r="40" spans="1:6">
      <c r="A40" s="10" t="s">
        <v>269</v>
      </c>
      <c r="B40" s="10" t="s">
        <v>150</v>
      </c>
      <c r="C40" s="10" t="s">
        <v>259</v>
      </c>
      <c r="D40" s="152" t="s">
        <v>172</v>
      </c>
      <c r="E40" s="152">
        <v>354.12099999999998</v>
      </c>
      <c r="F40" s="156" t="s">
        <v>232</v>
      </c>
    </row>
    <row r="41" spans="1:6">
      <c r="A41" s="10" t="s">
        <v>270</v>
      </c>
      <c r="B41" s="10" t="s">
        <v>157</v>
      </c>
      <c r="C41" s="10" t="s">
        <v>153</v>
      </c>
      <c r="D41" s="152">
        <v>195</v>
      </c>
      <c r="E41" s="152">
        <v>174.834</v>
      </c>
      <c r="F41" s="156" t="s">
        <v>232</v>
      </c>
    </row>
    <row r="42" spans="1:6">
      <c r="A42" s="10" t="s">
        <v>342</v>
      </c>
      <c r="B42" s="10" t="s">
        <v>157</v>
      </c>
      <c r="C42" s="10" t="s">
        <v>153</v>
      </c>
      <c r="D42" s="152">
        <v>0</v>
      </c>
      <c r="E42" s="152" t="s">
        <v>172</v>
      </c>
      <c r="F42" s="156" t="s">
        <v>232</v>
      </c>
    </row>
    <row r="43" spans="1:6">
      <c r="A43" s="10" t="s">
        <v>169</v>
      </c>
      <c r="B43" s="10" t="s">
        <v>155</v>
      </c>
      <c r="C43" s="10" t="s">
        <v>153</v>
      </c>
      <c r="D43" s="152">
        <v>275</v>
      </c>
      <c r="E43" s="152" t="s">
        <v>172</v>
      </c>
      <c r="F43" s="156" t="s">
        <v>248</v>
      </c>
    </row>
    <row r="44" spans="1:6">
      <c r="A44" s="10" t="s">
        <v>271</v>
      </c>
      <c r="B44" s="10" t="s">
        <v>272</v>
      </c>
      <c r="C44" s="10" t="s">
        <v>153</v>
      </c>
      <c r="D44" s="152">
        <v>456.66300000000001</v>
      </c>
      <c r="E44" s="152" t="s">
        <v>172</v>
      </c>
      <c r="F44" s="156" t="s">
        <v>232</v>
      </c>
    </row>
    <row r="45" spans="1:6">
      <c r="A45" s="10" t="s">
        <v>273</v>
      </c>
      <c r="B45" s="10" t="s">
        <v>155</v>
      </c>
      <c r="C45" s="10" t="s">
        <v>153</v>
      </c>
      <c r="D45" s="152">
        <v>917.19600000000003</v>
      </c>
      <c r="E45" s="152" t="s">
        <v>172</v>
      </c>
      <c r="F45" s="156" t="s">
        <v>232</v>
      </c>
    </row>
    <row r="46" spans="1:6">
      <c r="A46" s="10" t="s">
        <v>274</v>
      </c>
      <c r="B46" s="10" t="s">
        <v>239</v>
      </c>
      <c r="C46" s="10" t="s">
        <v>153</v>
      </c>
      <c r="D46" s="152">
        <v>200</v>
      </c>
      <c r="E46" s="152" t="s">
        <v>172</v>
      </c>
      <c r="F46" s="156" t="s">
        <v>232</v>
      </c>
    </row>
    <row r="47" spans="1:6">
      <c r="A47" s="10" t="s">
        <v>275</v>
      </c>
      <c r="B47" s="10" t="s">
        <v>150</v>
      </c>
      <c r="C47" s="10" t="s">
        <v>153</v>
      </c>
      <c r="D47" s="152">
        <v>250</v>
      </c>
      <c r="E47" s="152" t="s">
        <v>172</v>
      </c>
      <c r="F47" s="156" t="s">
        <v>232</v>
      </c>
    </row>
    <row r="48" spans="1:6">
      <c r="A48" s="10" t="s">
        <v>276</v>
      </c>
      <c r="B48" s="10" t="s">
        <v>277</v>
      </c>
      <c r="C48" s="10" t="s">
        <v>153</v>
      </c>
      <c r="D48" s="152">
        <v>395</v>
      </c>
      <c r="E48" s="152" t="s">
        <v>172</v>
      </c>
      <c r="F48" s="156" t="s">
        <v>232</v>
      </c>
    </row>
    <row r="49" spans="1:6">
      <c r="A49" s="10" t="s">
        <v>278</v>
      </c>
      <c r="B49" s="10" t="s">
        <v>168</v>
      </c>
      <c r="C49" s="10" t="s">
        <v>151</v>
      </c>
      <c r="D49" s="152">
        <v>466.33199999999999</v>
      </c>
      <c r="E49" s="152" t="s">
        <v>172</v>
      </c>
      <c r="F49" s="156" t="s">
        <v>232</v>
      </c>
    </row>
    <row r="50" spans="1:6">
      <c r="A50" s="10" t="s">
        <v>279</v>
      </c>
      <c r="B50" s="10" t="s">
        <v>280</v>
      </c>
      <c r="C50" s="10" t="s">
        <v>153</v>
      </c>
      <c r="D50" s="152">
        <v>350.28199999999998</v>
      </c>
      <c r="E50" s="152" t="s">
        <v>172</v>
      </c>
      <c r="F50" s="156" t="s">
        <v>232</v>
      </c>
    </row>
    <row r="51" spans="1:6">
      <c r="A51" s="10" t="s">
        <v>281</v>
      </c>
      <c r="B51" s="10" t="s">
        <v>282</v>
      </c>
      <c r="C51" s="10" t="s">
        <v>151</v>
      </c>
      <c r="D51" s="152">
        <v>84.528000000000006</v>
      </c>
      <c r="E51" s="152">
        <v>219.51300000000001</v>
      </c>
      <c r="F51" s="156" t="s">
        <v>232</v>
      </c>
    </row>
    <row r="52" spans="1:6">
      <c r="A52" s="10" t="s">
        <v>283</v>
      </c>
      <c r="B52" s="10" t="s">
        <v>155</v>
      </c>
      <c r="C52" s="10" t="s">
        <v>158</v>
      </c>
      <c r="D52" s="152">
        <v>4552.0950000000003</v>
      </c>
      <c r="E52" s="152" t="s">
        <v>172</v>
      </c>
      <c r="F52" s="156" t="s">
        <v>232</v>
      </c>
    </row>
    <row r="53" spans="1:6">
      <c r="A53" s="10" t="s">
        <v>284</v>
      </c>
      <c r="B53" s="10" t="s">
        <v>150</v>
      </c>
      <c r="C53" s="10" t="s">
        <v>154</v>
      </c>
      <c r="D53" s="152">
        <v>210</v>
      </c>
      <c r="E53" s="152" t="s">
        <v>172</v>
      </c>
      <c r="F53" s="156" t="s">
        <v>232</v>
      </c>
    </row>
    <row r="54" spans="1:6">
      <c r="A54" s="10" t="s">
        <v>285</v>
      </c>
      <c r="B54" s="10" t="s">
        <v>150</v>
      </c>
      <c r="C54" s="10" t="s">
        <v>154</v>
      </c>
      <c r="D54" s="152" t="s">
        <v>172</v>
      </c>
      <c r="E54" s="152">
        <v>210.63800000000001</v>
      </c>
      <c r="F54" s="156" t="s">
        <v>232</v>
      </c>
    </row>
    <row r="55" spans="1:6">
      <c r="A55" s="10" t="s">
        <v>170</v>
      </c>
      <c r="B55" s="10" t="s">
        <v>150</v>
      </c>
      <c r="C55" s="10" t="s">
        <v>153</v>
      </c>
      <c r="D55" s="152">
        <v>80.578000000000003</v>
      </c>
      <c r="E55" s="152" t="s">
        <v>172</v>
      </c>
      <c r="F55" s="156" t="s">
        <v>248</v>
      </c>
    </row>
    <row r="56" spans="1:6">
      <c r="A56" s="10" t="s">
        <v>286</v>
      </c>
      <c r="B56" s="10" t="s">
        <v>150</v>
      </c>
      <c r="C56" s="10" t="s">
        <v>153</v>
      </c>
      <c r="D56" s="152">
        <v>210</v>
      </c>
      <c r="E56" s="152" t="s">
        <v>172</v>
      </c>
      <c r="F56" s="156" t="s">
        <v>232</v>
      </c>
    </row>
    <row r="57" spans="1:6">
      <c r="A57" s="10" t="s">
        <v>287</v>
      </c>
      <c r="B57" s="10" t="s">
        <v>150</v>
      </c>
      <c r="C57" s="10" t="s">
        <v>160</v>
      </c>
      <c r="D57" s="152" t="s">
        <v>172</v>
      </c>
      <c r="E57" s="152">
        <v>561</v>
      </c>
      <c r="F57" s="156" t="s">
        <v>232</v>
      </c>
    </row>
    <row r="58" spans="1:6">
      <c r="A58" s="10" t="s">
        <v>171</v>
      </c>
      <c r="B58" s="10" t="s">
        <v>150</v>
      </c>
      <c r="C58" s="10" t="s">
        <v>152</v>
      </c>
      <c r="D58" s="152" t="s">
        <v>172</v>
      </c>
      <c r="E58" s="152">
        <v>753.11</v>
      </c>
      <c r="F58" s="156" t="s">
        <v>232</v>
      </c>
    </row>
    <row r="59" spans="1:6">
      <c r="A59" s="10" t="s">
        <v>288</v>
      </c>
      <c r="B59" s="10" t="s">
        <v>150</v>
      </c>
      <c r="C59" s="10" t="s">
        <v>154</v>
      </c>
      <c r="D59" s="152">
        <v>525</v>
      </c>
      <c r="E59" s="152">
        <v>70.63</v>
      </c>
      <c r="F59" s="156" t="s">
        <v>232</v>
      </c>
    </row>
    <row r="60" spans="1:6">
      <c r="A60" s="10" t="s">
        <v>289</v>
      </c>
      <c r="B60" s="10" t="s">
        <v>150</v>
      </c>
      <c r="C60" s="10" t="s">
        <v>153</v>
      </c>
      <c r="D60" s="152">
        <v>727.27</v>
      </c>
      <c r="E60" s="152">
        <v>1071.01</v>
      </c>
      <c r="F60" s="156" t="s">
        <v>232</v>
      </c>
    </row>
    <row r="61" spans="1:6">
      <c r="A61" s="10" t="s">
        <v>290</v>
      </c>
      <c r="B61" s="10" t="s">
        <v>150</v>
      </c>
      <c r="C61" s="10" t="s">
        <v>152</v>
      </c>
      <c r="D61" s="152">
        <v>520</v>
      </c>
      <c r="E61" s="152">
        <v>23.5</v>
      </c>
      <c r="F61" s="156" t="s">
        <v>232</v>
      </c>
    </row>
    <row r="62" spans="1:6">
      <c r="A62" s="10" t="s">
        <v>291</v>
      </c>
      <c r="B62" s="10" t="s">
        <v>150</v>
      </c>
      <c r="C62" s="10" t="s">
        <v>154</v>
      </c>
      <c r="D62" s="152">
        <v>308</v>
      </c>
      <c r="E62" s="152">
        <v>428.5</v>
      </c>
      <c r="F62" s="156" t="s">
        <v>232</v>
      </c>
    </row>
    <row r="63" spans="1:6">
      <c r="A63" s="10" t="s">
        <v>292</v>
      </c>
      <c r="B63" s="10" t="s">
        <v>272</v>
      </c>
      <c r="C63" s="10" t="s">
        <v>151</v>
      </c>
      <c r="D63" s="152" t="s">
        <v>172</v>
      </c>
      <c r="E63" s="152">
        <v>20.635999999999999</v>
      </c>
      <c r="F63" s="156" t="s">
        <v>232</v>
      </c>
    </row>
    <row r="64" spans="1:6">
      <c r="A64" s="10" t="s">
        <v>293</v>
      </c>
      <c r="B64" s="10" t="s">
        <v>294</v>
      </c>
      <c r="C64" s="10" t="s">
        <v>153</v>
      </c>
      <c r="D64" s="152">
        <v>1058.194</v>
      </c>
      <c r="E64" s="152">
        <v>847.61599999999999</v>
      </c>
      <c r="F64" s="156" t="s">
        <v>232</v>
      </c>
    </row>
    <row r="65" spans="1:6">
      <c r="A65" s="69" t="s">
        <v>295</v>
      </c>
      <c r="B65" s="69" t="s">
        <v>272</v>
      </c>
      <c r="C65" s="69" t="s">
        <v>151</v>
      </c>
      <c r="D65" s="157">
        <v>415.04599999999999</v>
      </c>
      <c r="E65" s="157" t="s">
        <v>172</v>
      </c>
      <c r="F65" s="158" t="s">
        <v>232</v>
      </c>
    </row>
    <row r="66" spans="1:6">
      <c r="A66" s="10" t="s">
        <v>296</v>
      </c>
      <c r="B66" s="10" t="s">
        <v>272</v>
      </c>
      <c r="C66" s="10" t="s">
        <v>151</v>
      </c>
      <c r="D66" s="10">
        <v>100</v>
      </c>
      <c r="E66" s="10" t="s">
        <v>172</v>
      </c>
      <c r="F66" s="158" t="s">
        <v>232</v>
      </c>
    </row>
    <row r="67" spans="1:6">
      <c r="A67" s="10" t="s">
        <v>297</v>
      </c>
      <c r="B67" s="10" t="s">
        <v>150</v>
      </c>
      <c r="C67" s="10" t="s">
        <v>151</v>
      </c>
      <c r="D67" s="10">
        <v>42</v>
      </c>
      <c r="E67" s="10" t="s">
        <v>172</v>
      </c>
      <c r="F67" s="158" t="s">
        <v>232</v>
      </c>
    </row>
    <row r="68" spans="1:6">
      <c r="A68" s="10" t="s">
        <v>298</v>
      </c>
      <c r="B68" s="10" t="s">
        <v>150</v>
      </c>
      <c r="C68" s="10" t="s">
        <v>152</v>
      </c>
      <c r="D68" s="10" t="s">
        <v>172</v>
      </c>
      <c r="E68" s="10">
        <v>1442</v>
      </c>
      <c r="F68" s="156" t="s">
        <v>232</v>
      </c>
    </row>
    <row r="69" spans="1:6">
      <c r="A69" s="10" t="s">
        <v>299</v>
      </c>
      <c r="B69" s="10" t="s">
        <v>150</v>
      </c>
      <c r="C69" s="10" t="s">
        <v>151</v>
      </c>
      <c r="D69" s="10" t="s">
        <v>172</v>
      </c>
      <c r="E69" s="159">
        <v>502.33</v>
      </c>
      <c r="F69" s="156" t="s">
        <v>232</v>
      </c>
    </row>
    <row r="70" spans="1:6">
      <c r="A70" s="10" t="s">
        <v>300</v>
      </c>
      <c r="B70" s="10" t="s">
        <v>150</v>
      </c>
      <c r="C70" s="10" t="s">
        <v>153</v>
      </c>
      <c r="D70" s="10" t="s">
        <v>172</v>
      </c>
      <c r="E70" s="10">
        <v>133</v>
      </c>
      <c r="F70" s="156" t="s">
        <v>232</v>
      </c>
    </row>
    <row r="71" spans="1:6">
      <c r="A71" s="10" t="s">
        <v>301</v>
      </c>
      <c r="B71" s="10" t="s">
        <v>239</v>
      </c>
      <c r="C71" s="10" t="s">
        <v>153</v>
      </c>
      <c r="D71" s="159">
        <v>999.51700000000005</v>
      </c>
      <c r="E71" s="10" t="s">
        <v>172</v>
      </c>
      <c r="F71" s="156" t="s">
        <v>232</v>
      </c>
    </row>
    <row r="72" spans="1:6">
      <c r="A72" s="10" t="s">
        <v>302</v>
      </c>
      <c r="B72" s="10" t="s">
        <v>304</v>
      </c>
      <c r="C72" s="10" t="s">
        <v>151</v>
      </c>
      <c r="D72" s="159">
        <v>151.19</v>
      </c>
      <c r="E72" s="10" t="s">
        <v>172</v>
      </c>
      <c r="F72" s="156" t="s">
        <v>232</v>
      </c>
    </row>
    <row r="73" spans="1:6">
      <c r="A73" s="85" t="s">
        <v>356</v>
      </c>
      <c r="B73" s="160" t="s">
        <v>250</v>
      </c>
      <c r="C73" s="160" t="s">
        <v>158</v>
      </c>
      <c r="D73" s="161">
        <v>164.39699999999999</v>
      </c>
      <c r="E73" s="160" t="s">
        <v>172</v>
      </c>
      <c r="F73" s="162" t="s">
        <v>232</v>
      </c>
    </row>
    <row r="74" spans="1:6">
      <c r="A74" s="70" t="s">
        <v>354</v>
      </c>
      <c r="D74" s="163"/>
      <c r="E74" s="163"/>
    </row>
    <row r="75" spans="1:6">
      <c r="A75" s="70" t="s">
        <v>355</v>
      </c>
    </row>
    <row r="76" spans="1:6">
      <c r="A76" t="s">
        <v>358</v>
      </c>
    </row>
    <row r="77" spans="1:6">
      <c r="A77" t="s">
        <v>357</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zoomScaleNormal="100" workbookViewId="0"/>
  </sheetViews>
  <sheetFormatPr defaultRowHeight="15"/>
  <cols>
    <col min="1" max="4" width="11.7109375" style="69" customWidth="1"/>
    <col min="5" max="16384" width="9.140625" style="69"/>
  </cols>
  <sheetData>
    <row r="1" spans="1:4">
      <c r="A1" s="80" t="s">
        <v>214</v>
      </c>
    </row>
    <row r="2" spans="1:4">
      <c r="A2" s="80"/>
    </row>
    <row r="3" spans="1:4">
      <c r="A3" s="164" t="s">
        <v>40</v>
      </c>
      <c r="B3" s="165" t="s">
        <v>65</v>
      </c>
      <c r="C3" s="165" t="s">
        <v>66</v>
      </c>
      <c r="D3" s="165" t="s">
        <v>67</v>
      </c>
    </row>
    <row r="4" spans="1:4">
      <c r="A4" s="166">
        <v>1920</v>
      </c>
      <c r="B4" s="69">
        <v>8</v>
      </c>
      <c r="C4" s="69">
        <v>25</v>
      </c>
      <c r="D4" s="69">
        <v>33</v>
      </c>
    </row>
    <row r="5" spans="1:4">
      <c r="A5" s="166">
        <v>1921</v>
      </c>
      <c r="B5" s="69">
        <v>7</v>
      </c>
      <c r="C5" s="69">
        <v>25</v>
      </c>
      <c r="D5" s="69">
        <v>32</v>
      </c>
    </row>
    <row r="6" spans="1:4">
      <c r="A6" s="166">
        <v>1922</v>
      </c>
      <c r="B6" s="69">
        <v>10</v>
      </c>
      <c r="C6" s="69">
        <v>23</v>
      </c>
      <c r="D6" s="69">
        <v>33</v>
      </c>
    </row>
    <row r="7" spans="1:4">
      <c r="A7" s="166">
        <v>1923</v>
      </c>
      <c r="B7" s="69">
        <v>5</v>
      </c>
      <c r="C7" s="69">
        <v>22</v>
      </c>
      <c r="D7" s="69">
        <v>27</v>
      </c>
    </row>
    <row r="8" spans="1:4">
      <c r="A8" s="166">
        <v>1924</v>
      </c>
      <c r="B8" s="69">
        <v>3</v>
      </c>
      <c r="C8" s="69">
        <v>37</v>
      </c>
      <c r="D8" s="69">
        <v>40</v>
      </c>
    </row>
    <row r="9" spans="1:4">
      <c r="A9" s="166">
        <v>1925</v>
      </c>
      <c r="B9" s="69">
        <v>7</v>
      </c>
      <c r="C9" s="69">
        <v>34</v>
      </c>
      <c r="D9" s="69">
        <v>41</v>
      </c>
    </row>
    <row r="10" spans="1:4">
      <c r="A10" s="166">
        <v>1926</v>
      </c>
      <c r="B10" s="69">
        <v>4</v>
      </c>
      <c r="C10" s="69">
        <v>18</v>
      </c>
      <c r="D10" s="69">
        <v>22</v>
      </c>
    </row>
    <row r="11" spans="1:4">
      <c r="A11" s="166">
        <v>1927</v>
      </c>
      <c r="B11" s="69">
        <v>1</v>
      </c>
      <c r="C11" s="69">
        <v>15</v>
      </c>
      <c r="D11" s="69">
        <v>16</v>
      </c>
    </row>
    <row r="12" spans="1:4">
      <c r="A12" s="166">
        <v>1928</v>
      </c>
      <c r="B12" s="69">
        <v>0</v>
      </c>
      <c r="C12" s="69">
        <v>8</v>
      </c>
      <c r="D12" s="69">
        <v>8</v>
      </c>
    </row>
    <row r="13" spans="1:4">
      <c r="A13" s="166">
        <v>1929</v>
      </c>
      <c r="B13" s="69">
        <v>3</v>
      </c>
      <c r="C13" s="69">
        <v>12</v>
      </c>
      <c r="D13" s="69">
        <v>15</v>
      </c>
    </row>
    <row r="14" spans="1:4">
      <c r="A14" s="166">
        <v>1930</v>
      </c>
      <c r="B14" s="69">
        <v>2</v>
      </c>
      <c r="C14" s="69">
        <v>21</v>
      </c>
      <c r="D14" s="69">
        <v>23</v>
      </c>
    </row>
    <row r="15" spans="1:4">
      <c r="A15" s="166">
        <v>1931</v>
      </c>
      <c r="B15" s="69">
        <v>6</v>
      </c>
      <c r="C15" s="69">
        <v>78</v>
      </c>
      <c r="D15" s="69">
        <v>84</v>
      </c>
    </row>
    <row r="16" spans="1:4">
      <c r="A16" s="166">
        <v>1932</v>
      </c>
      <c r="B16" s="69">
        <v>10</v>
      </c>
      <c r="C16" s="69">
        <v>108</v>
      </c>
      <c r="D16" s="69">
        <v>118</v>
      </c>
    </row>
    <row r="17" spans="1:4">
      <c r="A17" s="166">
        <v>1933</v>
      </c>
      <c r="B17" s="69">
        <v>9</v>
      </c>
      <c r="C17" s="69">
        <v>189</v>
      </c>
      <c r="D17" s="69">
        <v>198</v>
      </c>
    </row>
    <row r="18" spans="1:4">
      <c r="A18" s="166">
        <v>1934</v>
      </c>
      <c r="B18" s="69">
        <v>5</v>
      </c>
      <c r="C18" s="69">
        <v>60</v>
      </c>
      <c r="D18" s="69">
        <v>65</v>
      </c>
    </row>
    <row r="19" spans="1:4">
      <c r="A19" s="166">
        <v>1935</v>
      </c>
      <c r="B19" s="69">
        <v>9</v>
      </c>
      <c r="C19" s="69">
        <v>51</v>
      </c>
      <c r="D19" s="69">
        <v>60</v>
      </c>
    </row>
    <row r="20" spans="1:4">
      <c r="A20" s="166">
        <v>1936</v>
      </c>
      <c r="B20" s="69">
        <v>3</v>
      </c>
      <c r="C20" s="69">
        <v>19</v>
      </c>
      <c r="D20" s="69">
        <v>22</v>
      </c>
    </row>
    <row r="21" spans="1:4">
      <c r="A21" s="166">
        <v>1937</v>
      </c>
      <c r="B21" s="69">
        <v>4</v>
      </c>
      <c r="C21" s="69">
        <v>18</v>
      </c>
      <c r="D21" s="69">
        <v>22</v>
      </c>
    </row>
    <row r="22" spans="1:4">
      <c r="A22" s="166">
        <v>1938</v>
      </c>
      <c r="B22" s="69">
        <v>9</v>
      </c>
      <c r="C22" s="69">
        <v>17</v>
      </c>
      <c r="D22" s="69">
        <v>26</v>
      </c>
    </row>
    <row r="23" spans="1:4">
      <c r="A23" s="166">
        <v>1939</v>
      </c>
      <c r="B23" s="69">
        <v>2</v>
      </c>
      <c r="C23" s="69">
        <v>13</v>
      </c>
      <c r="D23" s="69">
        <v>15</v>
      </c>
    </row>
    <row r="24" spans="1:4">
      <c r="A24" s="166">
        <v>1940</v>
      </c>
      <c r="B24" s="69">
        <v>2</v>
      </c>
      <c r="C24" s="69">
        <v>22</v>
      </c>
      <c r="D24" s="69">
        <v>24</v>
      </c>
    </row>
    <row r="25" spans="1:4">
      <c r="A25" s="166">
        <v>1941</v>
      </c>
      <c r="B25" s="69">
        <v>0</v>
      </c>
      <c r="C25" s="69">
        <v>10</v>
      </c>
      <c r="D25" s="69">
        <v>10</v>
      </c>
    </row>
    <row r="26" spans="1:4">
      <c r="A26" s="166">
        <v>1942</v>
      </c>
      <c r="B26" s="69">
        <v>0</v>
      </c>
      <c r="C26" s="69">
        <v>4</v>
      </c>
      <c r="D26" s="69">
        <v>4</v>
      </c>
    </row>
    <row r="27" spans="1:4">
      <c r="A27" s="166">
        <v>1943</v>
      </c>
      <c r="B27" s="69">
        <v>0</v>
      </c>
      <c r="C27" s="69">
        <v>3</v>
      </c>
      <c r="D27" s="69">
        <v>3</v>
      </c>
    </row>
    <row r="28" spans="1:4">
      <c r="A28" s="166">
        <v>1944</v>
      </c>
      <c r="B28" s="69">
        <v>0</v>
      </c>
      <c r="C28" s="69">
        <v>3</v>
      </c>
      <c r="D28" s="69">
        <v>3</v>
      </c>
    </row>
    <row r="29" spans="1:4">
      <c r="A29" s="166">
        <v>1945</v>
      </c>
      <c r="B29" s="69">
        <v>0</v>
      </c>
      <c r="C29" s="69">
        <v>2</v>
      </c>
      <c r="D29" s="69">
        <v>2</v>
      </c>
    </row>
    <row r="30" spans="1:4">
      <c r="A30" s="166">
        <v>1946</v>
      </c>
      <c r="B30" s="69">
        <v>0</v>
      </c>
      <c r="C30" s="69">
        <v>0</v>
      </c>
      <c r="D30" s="69">
        <v>0</v>
      </c>
    </row>
    <row r="31" spans="1:4">
      <c r="A31" s="166">
        <v>1947</v>
      </c>
      <c r="B31" s="69">
        <v>0</v>
      </c>
      <c r="C31" s="69">
        <v>2</v>
      </c>
      <c r="D31" s="69">
        <v>2</v>
      </c>
    </row>
    <row r="32" spans="1:4">
      <c r="A32" s="166">
        <v>1948</v>
      </c>
      <c r="B32" s="69">
        <v>0</v>
      </c>
      <c r="C32" s="69">
        <v>0</v>
      </c>
      <c r="D32" s="69">
        <v>0</v>
      </c>
    </row>
    <row r="33" spans="1:4">
      <c r="A33" s="166">
        <v>1949</v>
      </c>
      <c r="B33" s="69">
        <v>0</v>
      </c>
      <c r="C33" s="69">
        <v>5</v>
      </c>
      <c r="D33" s="69">
        <v>5</v>
      </c>
    </row>
    <row r="34" spans="1:4">
      <c r="A34" s="166">
        <v>1950</v>
      </c>
      <c r="B34" s="69">
        <v>0</v>
      </c>
      <c r="C34" s="69">
        <v>0</v>
      </c>
      <c r="D34" s="69">
        <v>0</v>
      </c>
    </row>
    <row r="35" spans="1:4">
      <c r="A35" s="166">
        <v>1951</v>
      </c>
      <c r="B35" s="69">
        <v>0</v>
      </c>
      <c r="C35" s="69">
        <v>1</v>
      </c>
      <c r="D35" s="69">
        <v>1</v>
      </c>
    </row>
    <row r="36" spans="1:4">
      <c r="A36" s="166">
        <v>1952</v>
      </c>
      <c r="B36" s="69">
        <v>0</v>
      </c>
      <c r="C36" s="69">
        <v>0</v>
      </c>
      <c r="D36" s="69">
        <v>0</v>
      </c>
    </row>
    <row r="37" spans="1:4">
      <c r="A37" s="166">
        <v>1953</v>
      </c>
      <c r="B37" s="69">
        <v>0</v>
      </c>
      <c r="C37" s="69">
        <v>0</v>
      </c>
      <c r="D37" s="69">
        <v>0</v>
      </c>
    </row>
    <row r="38" spans="1:4">
      <c r="A38" s="166">
        <v>1954</v>
      </c>
      <c r="B38" s="69">
        <v>0</v>
      </c>
      <c r="C38" s="69">
        <v>1</v>
      </c>
      <c r="D38" s="69">
        <v>1</v>
      </c>
    </row>
    <row r="39" spans="1:4">
      <c r="A39" s="166">
        <v>1955</v>
      </c>
      <c r="B39" s="69">
        <v>0</v>
      </c>
      <c r="C39" s="69">
        <v>1</v>
      </c>
      <c r="D39" s="69">
        <v>1</v>
      </c>
    </row>
    <row r="40" spans="1:4">
      <c r="A40" s="166">
        <v>1956</v>
      </c>
      <c r="B40" s="69">
        <v>0</v>
      </c>
      <c r="C40" s="69">
        <v>0</v>
      </c>
      <c r="D40" s="69">
        <v>0</v>
      </c>
    </row>
    <row r="41" spans="1:4">
      <c r="A41" s="166">
        <v>1957</v>
      </c>
      <c r="B41" s="69">
        <v>0</v>
      </c>
      <c r="C41" s="69">
        <v>1</v>
      </c>
      <c r="D41" s="69">
        <v>1</v>
      </c>
    </row>
    <row r="42" spans="1:4">
      <c r="A42" s="166">
        <v>1958</v>
      </c>
      <c r="B42" s="69">
        <v>0</v>
      </c>
      <c r="C42" s="69">
        <v>0</v>
      </c>
      <c r="D42" s="69">
        <v>0</v>
      </c>
    </row>
    <row r="43" spans="1:4">
      <c r="A43" s="166">
        <v>1959</v>
      </c>
      <c r="B43" s="69">
        <v>0</v>
      </c>
      <c r="C43" s="69">
        <v>0</v>
      </c>
      <c r="D43" s="69">
        <v>0</v>
      </c>
    </row>
    <row r="44" spans="1:4">
      <c r="A44" s="166">
        <v>1960</v>
      </c>
      <c r="B44" s="69">
        <v>0</v>
      </c>
      <c r="C44" s="69">
        <v>2</v>
      </c>
      <c r="D44" s="69">
        <v>2</v>
      </c>
    </row>
    <row r="45" spans="1:4">
      <c r="A45" s="166">
        <v>1961</v>
      </c>
      <c r="B45" s="69">
        <v>0</v>
      </c>
      <c r="C45" s="69">
        <v>3</v>
      </c>
      <c r="D45" s="69">
        <v>3</v>
      </c>
    </row>
    <row r="46" spans="1:4">
      <c r="A46" s="166">
        <v>1962</v>
      </c>
      <c r="B46" s="69">
        <v>0</v>
      </c>
      <c r="C46" s="69">
        <v>4</v>
      </c>
      <c r="D46" s="69">
        <v>4</v>
      </c>
    </row>
    <row r="47" spans="1:4">
      <c r="A47" s="166">
        <v>1963</v>
      </c>
      <c r="B47" s="69">
        <v>0</v>
      </c>
      <c r="C47" s="69">
        <v>3</v>
      </c>
      <c r="D47" s="69">
        <v>3</v>
      </c>
    </row>
    <row r="48" spans="1:4">
      <c r="A48" s="166">
        <v>1964</v>
      </c>
      <c r="B48" s="69">
        <v>0</v>
      </c>
      <c r="C48" s="69">
        <v>0</v>
      </c>
      <c r="D48" s="69">
        <v>0</v>
      </c>
    </row>
    <row r="49" spans="1:4">
      <c r="A49" s="166">
        <v>1965</v>
      </c>
      <c r="B49" s="69">
        <v>0</v>
      </c>
      <c r="C49" s="69">
        <v>0</v>
      </c>
      <c r="D49" s="69">
        <v>0</v>
      </c>
    </row>
    <row r="50" spans="1:4">
      <c r="A50" s="166">
        <v>1966</v>
      </c>
      <c r="B50" s="69">
        <v>0</v>
      </c>
      <c r="C50" s="69">
        <v>1</v>
      </c>
      <c r="D50" s="69">
        <v>1</v>
      </c>
    </row>
    <row r="51" spans="1:4">
      <c r="A51" s="166">
        <v>1967</v>
      </c>
      <c r="B51" s="69">
        <v>0</v>
      </c>
      <c r="C51" s="69">
        <v>0</v>
      </c>
      <c r="D51" s="69">
        <v>0</v>
      </c>
    </row>
    <row r="52" spans="1:4">
      <c r="A52" s="166">
        <v>1968</v>
      </c>
      <c r="B52" s="69">
        <v>0</v>
      </c>
      <c r="C52" s="69">
        <v>1</v>
      </c>
      <c r="D52" s="69">
        <v>1</v>
      </c>
    </row>
    <row r="53" spans="1:4">
      <c r="A53" s="166">
        <v>1969</v>
      </c>
      <c r="B53" s="69">
        <v>0</v>
      </c>
      <c r="C53" s="69">
        <v>0</v>
      </c>
      <c r="D53" s="69">
        <v>0</v>
      </c>
    </row>
    <row r="54" spans="1:4">
      <c r="A54" s="166">
        <v>1970</v>
      </c>
      <c r="B54" s="69">
        <v>2</v>
      </c>
      <c r="C54" s="69">
        <v>25</v>
      </c>
      <c r="D54" s="69">
        <v>27</v>
      </c>
    </row>
    <row r="55" spans="1:4">
      <c r="A55" s="166">
        <v>1971</v>
      </c>
      <c r="B55" s="69">
        <v>0</v>
      </c>
      <c r="C55" s="69">
        <v>3</v>
      </c>
      <c r="D55" s="69">
        <v>3</v>
      </c>
    </row>
    <row r="56" spans="1:4">
      <c r="A56" s="166">
        <v>1972</v>
      </c>
      <c r="B56" s="69">
        <v>0</v>
      </c>
      <c r="C56" s="69">
        <v>5</v>
      </c>
      <c r="D56" s="69">
        <v>5</v>
      </c>
    </row>
    <row r="57" spans="1:4">
      <c r="A57" s="166">
        <v>1973</v>
      </c>
      <c r="B57" s="69">
        <v>2</v>
      </c>
      <c r="C57" s="69">
        <v>3</v>
      </c>
      <c r="D57" s="69">
        <v>5</v>
      </c>
    </row>
    <row r="58" spans="1:4">
      <c r="A58" s="166">
        <v>1974</v>
      </c>
      <c r="B58" s="69">
        <v>0</v>
      </c>
      <c r="C58" s="69">
        <v>3</v>
      </c>
      <c r="D58" s="69">
        <v>3</v>
      </c>
    </row>
    <row r="59" spans="1:4">
      <c r="A59" s="166">
        <v>1975</v>
      </c>
      <c r="B59" s="69">
        <v>0</v>
      </c>
      <c r="C59" s="69">
        <v>4</v>
      </c>
      <c r="D59" s="69">
        <v>4</v>
      </c>
    </row>
    <row r="60" spans="1:4">
      <c r="A60" s="166">
        <v>1976</v>
      </c>
      <c r="B60" s="69">
        <v>0</v>
      </c>
      <c r="C60" s="69">
        <v>2</v>
      </c>
      <c r="D60" s="69">
        <v>2</v>
      </c>
    </row>
    <row r="61" spans="1:4">
      <c r="A61" s="166">
        <v>1977</v>
      </c>
      <c r="B61" s="69">
        <v>1</v>
      </c>
      <c r="C61" s="69">
        <v>3</v>
      </c>
      <c r="D61" s="69">
        <v>4</v>
      </c>
    </row>
    <row r="62" spans="1:4">
      <c r="A62" s="166">
        <v>1978</v>
      </c>
      <c r="B62" s="69">
        <v>0</v>
      </c>
      <c r="C62" s="69">
        <v>4</v>
      </c>
      <c r="D62" s="69">
        <v>4</v>
      </c>
    </row>
    <row r="63" spans="1:4">
      <c r="A63" s="166">
        <v>1979</v>
      </c>
      <c r="B63" s="69">
        <v>0</v>
      </c>
      <c r="C63" s="69">
        <v>1</v>
      </c>
      <c r="D63" s="69">
        <v>1</v>
      </c>
    </row>
    <row r="64" spans="1:4">
      <c r="A64" s="166">
        <v>1980</v>
      </c>
      <c r="B64" s="69">
        <v>0</v>
      </c>
      <c r="C64" s="69">
        <v>4</v>
      </c>
      <c r="D64" s="69">
        <v>4</v>
      </c>
    </row>
    <row r="65" spans="1:4">
      <c r="A65" s="166">
        <v>1981</v>
      </c>
      <c r="B65" s="69">
        <v>0</v>
      </c>
      <c r="C65" s="69">
        <v>2</v>
      </c>
      <c r="D65" s="69">
        <v>2</v>
      </c>
    </row>
    <row r="66" spans="1:4">
      <c r="A66" s="166">
        <v>1982</v>
      </c>
      <c r="B66" s="69">
        <v>2</v>
      </c>
      <c r="C66" s="69">
        <v>11</v>
      </c>
      <c r="D66" s="69">
        <v>13</v>
      </c>
    </row>
    <row r="67" spans="1:4">
      <c r="A67" s="166">
        <v>1983</v>
      </c>
      <c r="B67" s="69">
        <v>0</v>
      </c>
      <c r="C67" s="69">
        <v>13</v>
      </c>
      <c r="D67" s="69">
        <v>13</v>
      </c>
    </row>
    <row r="68" spans="1:4">
      <c r="A68" s="166">
        <v>1984</v>
      </c>
      <c r="B68" s="70">
        <v>1</v>
      </c>
      <c r="C68" s="70">
        <v>12</v>
      </c>
      <c r="D68" s="70">
        <v>13</v>
      </c>
    </row>
    <row r="69" spans="1:4">
      <c r="A69" s="166">
        <v>1985</v>
      </c>
      <c r="B69" s="70">
        <v>0</v>
      </c>
      <c r="C69" s="70">
        <v>15</v>
      </c>
      <c r="D69" s="70">
        <v>15</v>
      </c>
    </row>
    <row r="70" spans="1:4">
      <c r="A70" s="166">
        <v>1986</v>
      </c>
      <c r="B70" s="70">
        <v>3</v>
      </c>
      <c r="C70" s="70">
        <v>30</v>
      </c>
      <c r="D70" s="70">
        <v>33</v>
      </c>
    </row>
    <row r="71" spans="1:4">
      <c r="A71" s="166">
        <v>1987</v>
      </c>
      <c r="B71" s="70">
        <v>0</v>
      </c>
      <c r="C71" s="70">
        <v>31</v>
      </c>
      <c r="D71" s="70">
        <v>31</v>
      </c>
    </row>
    <row r="72" spans="1:4">
      <c r="A72" s="166">
        <v>1988</v>
      </c>
      <c r="B72" s="70">
        <v>0</v>
      </c>
      <c r="C72" s="70">
        <v>29</v>
      </c>
      <c r="D72" s="70">
        <v>29</v>
      </c>
    </row>
    <row r="73" spans="1:4">
      <c r="A73" s="166">
        <v>1989</v>
      </c>
      <c r="B73" s="70">
        <v>4</v>
      </c>
      <c r="C73" s="70">
        <v>47</v>
      </c>
      <c r="D73" s="70">
        <v>51</v>
      </c>
    </row>
    <row r="74" spans="1:4">
      <c r="A74" s="166">
        <v>1990</v>
      </c>
      <c r="B74" s="70">
        <v>0</v>
      </c>
      <c r="C74" s="70">
        <v>83</v>
      </c>
      <c r="D74" s="70">
        <v>83</v>
      </c>
    </row>
    <row r="75" spans="1:4">
      <c r="A75" s="166">
        <v>1991</v>
      </c>
      <c r="B75" s="70">
        <v>1</v>
      </c>
      <c r="C75" s="70">
        <v>65</v>
      </c>
      <c r="D75" s="70">
        <v>66</v>
      </c>
    </row>
    <row r="76" spans="1:4">
      <c r="A76" s="166">
        <v>1992</v>
      </c>
      <c r="B76" s="70">
        <v>0</v>
      </c>
      <c r="C76" s="70">
        <v>31</v>
      </c>
      <c r="D76" s="70">
        <v>31</v>
      </c>
    </row>
    <row r="77" spans="1:4">
      <c r="A77" s="166">
        <v>1993</v>
      </c>
      <c r="B77" s="70">
        <v>0</v>
      </c>
      <c r="C77" s="70">
        <v>19</v>
      </c>
      <c r="D77" s="70">
        <v>19</v>
      </c>
    </row>
    <row r="78" spans="1:4">
      <c r="A78" s="166">
        <v>1994</v>
      </c>
      <c r="B78" s="70">
        <v>0</v>
      </c>
      <c r="C78" s="70">
        <v>16</v>
      </c>
      <c r="D78" s="70">
        <v>16</v>
      </c>
    </row>
    <row r="79" spans="1:4">
      <c r="A79" s="166">
        <v>1995</v>
      </c>
      <c r="B79" s="70">
        <v>0</v>
      </c>
      <c r="C79" s="70">
        <v>27</v>
      </c>
      <c r="D79" s="70">
        <v>27</v>
      </c>
    </row>
    <row r="80" spans="1:4">
      <c r="A80" s="166">
        <v>1996</v>
      </c>
      <c r="B80" s="70">
        <v>0</v>
      </c>
      <c r="C80" s="70">
        <v>17</v>
      </c>
      <c r="D80" s="70">
        <v>17</v>
      </c>
    </row>
    <row r="81" spans="1:4">
      <c r="A81" s="166">
        <v>1997</v>
      </c>
      <c r="B81" s="70">
        <v>0</v>
      </c>
      <c r="C81" s="70">
        <v>25</v>
      </c>
      <c r="D81" s="70">
        <v>25</v>
      </c>
    </row>
    <row r="82" spans="1:4">
      <c r="A82" s="166">
        <v>1998</v>
      </c>
      <c r="B82" s="70">
        <v>1</v>
      </c>
      <c r="C82" s="70">
        <v>48</v>
      </c>
      <c r="D82" s="70">
        <v>49</v>
      </c>
    </row>
    <row r="83" spans="1:4">
      <c r="A83" s="166">
        <v>1999</v>
      </c>
      <c r="B83" s="70">
        <v>1</v>
      </c>
      <c r="C83" s="70">
        <v>100</v>
      </c>
      <c r="D83" s="70">
        <v>101</v>
      </c>
    </row>
    <row r="84" spans="1:4">
      <c r="A84" s="166">
        <v>2000</v>
      </c>
      <c r="B84" s="70">
        <v>4</v>
      </c>
      <c r="C84" s="70">
        <v>120</v>
      </c>
      <c r="D84" s="70">
        <v>124</v>
      </c>
    </row>
    <row r="85" spans="1:4">
      <c r="A85" s="166">
        <v>2001</v>
      </c>
      <c r="B85" s="70">
        <v>4</v>
      </c>
      <c r="C85" s="70">
        <v>183</v>
      </c>
      <c r="D85" s="70">
        <v>187</v>
      </c>
    </row>
    <row r="86" spans="1:4">
      <c r="A86" s="166">
        <v>2002</v>
      </c>
      <c r="B86" s="70">
        <v>13</v>
      </c>
      <c r="C86" s="70">
        <v>126</v>
      </c>
      <c r="D86" s="70">
        <v>139</v>
      </c>
    </row>
    <row r="87" spans="1:4">
      <c r="A87" s="166">
        <v>2003</v>
      </c>
      <c r="B87" s="70">
        <v>0</v>
      </c>
      <c r="C87" s="70">
        <v>82</v>
      </c>
      <c r="D87" s="70">
        <v>82</v>
      </c>
    </row>
    <row r="88" spans="1:4">
      <c r="A88" s="166">
        <v>2004</v>
      </c>
      <c r="B88" s="70">
        <v>0</v>
      </c>
      <c r="C88" s="70">
        <v>38</v>
      </c>
      <c r="D88" s="70">
        <v>38</v>
      </c>
    </row>
    <row r="89" spans="1:4">
      <c r="A89" s="166">
        <v>2005</v>
      </c>
      <c r="B89" s="70">
        <v>2</v>
      </c>
      <c r="C89" s="70">
        <v>30</v>
      </c>
      <c r="D89" s="70">
        <v>32</v>
      </c>
    </row>
    <row r="90" spans="1:4">
      <c r="A90" s="166">
        <v>2006</v>
      </c>
      <c r="B90" s="70">
        <v>0</v>
      </c>
      <c r="C90" s="70">
        <v>31</v>
      </c>
      <c r="D90" s="70">
        <v>31</v>
      </c>
    </row>
    <row r="91" spans="1:4">
      <c r="A91" s="166">
        <v>2007</v>
      </c>
      <c r="B91" s="70">
        <v>0</v>
      </c>
      <c r="C91" s="70">
        <v>18</v>
      </c>
      <c r="D91" s="70">
        <v>18</v>
      </c>
    </row>
    <row r="92" spans="1:4">
      <c r="A92" s="166">
        <v>2008</v>
      </c>
      <c r="B92" s="70">
        <v>14</v>
      </c>
      <c r="C92" s="70">
        <v>89</v>
      </c>
      <c r="D92" s="70">
        <v>103</v>
      </c>
    </row>
    <row r="93" spans="1:4">
      <c r="A93" s="166">
        <v>2009</v>
      </c>
      <c r="B93" s="70">
        <v>11</v>
      </c>
      <c r="C93" s="70">
        <v>255</v>
      </c>
      <c r="D93" s="70">
        <v>266</v>
      </c>
    </row>
    <row r="94" spans="1:4">
      <c r="A94" s="166">
        <v>2010</v>
      </c>
      <c r="B94" s="70">
        <v>2</v>
      </c>
      <c r="C94" s="70">
        <v>56</v>
      </c>
      <c r="D94" s="70">
        <v>58</v>
      </c>
    </row>
    <row r="95" spans="1:4">
      <c r="A95" s="166">
        <v>2011</v>
      </c>
      <c r="B95" s="70">
        <v>1</v>
      </c>
      <c r="C95" s="70">
        <v>37</v>
      </c>
      <c r="D95" s="70">
        <v>38</v>
      </c>
    </row>
    <row r="96" spans="1:4">
      <c r="A96" s="166">
        <v>2012</v>
      </c>
      <c r="B96" s="70">
        <v>1</v>
      </c>
      <c r="C96" s="70">
        <v>62</v>
      </c>
      <c r="D96" s="70">
        <v>63</v>
      </c>
    </row>
    <row r="97" spans="1:4">
      <c r="A97" s="166">
        <v>2013</v>
      </c>
      <c r="B97" s="70">
        <v>1</v>
      </c>
      <c r="C97" s="70">
        <v>65</v>
      </c>
      <c r="D97" s="70">
        <v>66</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sheetViews>
  <sheetFormatPr defaultRowHeight="15"/>
  <cols>
    <col min="1" max="1" width="9.140625" style="10"/>
    <col min="2" max="10" width="9.85546875" style="10" customWidth="1"/>
    <col min="11" max="16384" width="9.140625" style="10"/>
  </cols>
  <sheetData>
    <row r="1" spans="1:10">
      <c r="A1" s="79" t="s">
        <v>322</v>
      </c>
    </row>
    <row r="2" spans="1:10">
      <c r="A2" s="79"/>
    </row>
    <row r="3" spans="1:10">
      <c r="A3" s="167"/>
      <c r="B3" s="330" t="s">
        <v>173</v>
      </c>
      <c r="C3" s="331"/>
      <c r="D3" s="332"/>
      <c r="E3" s="330" t="s">
        <v>174</v>
      </c>
      <c r="F3" s="331"/>
      <c r="G3" s="332"/>
      <c r="H3" s="330" t="s">
        <v>175</v>
      </c>
      <c r="I3" s="331"/>
      <c r="J3" s="332"/>
    </row>
    <row r="4" spans="1:10">
      <c r="A4" s="168" t="s">
        <v>40</v>
      </c>
      <c r="B4" s="169" t="s">
        <v>176</v>
      </c>
      <c r="C4" s="170" t="s">
        <v>177</v>
      </c>
      <c r="D4" s="171" t="s">
        <v>86</v>
      </c>
      <c r="E4" s="169" t="s">
        <v>176</v>
      </c>
      <c r="F4" s="170" t="s">
        <v>177</v>
      </c>
      <c r="G4" s="171" t="s">
        <v>86</v>
      </c>
      <c r="H4" s="170" t="s">
        <v>176</v>
      </c>
      <c r="I4" s="170" t="s">
        <v>177</v>
      </c>
      <c r="J4" s="171" t="s">
        <v>86</v>
      </c>
    </row>
    <row r="5" spans="1:10">
      <c r="A5" s="172">
        <v>1970</v>
      </c>
      <c r="B5" s="173">
        <v>154.03800000000001</v>
      </c>
      <c r="C5" s="174">
        <v>0</v>
      </c>
      <c r="D5" s="175">
        <f>B5+C5</f>
        <v>154.03800000000001</v>
      </c>
      <c r="E5" s="173">
        <v>756.43</v>
      </c>
      <c r="F5" s="174">
        <v>0</v>
      </c>
      <c r="G5" s="175">
        <f>E5+F5</f>
        <v>756.43</v>
      </c>
      <c r="H5" s="174">
        <f>B5+E5</f>
        <v>910.46799999999996</v>
      </c>
      <c r="I5" s="174">
        <f>C5+F5</f>
        <v>0</v>
      </c>
      <c r="J5" s="175">
        <f>H5+I5</f>
        <v>910.46799999999996</v>
      </c>
    </row>
    <row r="6" spans="1:10">
      <c r="A6" s="176">
        <v>1971</v>
      </c>
      <c r="B6" s="177">
        <v>0</v>
      </c>
      <c r="C6" s="178">
        <v>0</v>
      </c>
      <c r="D6" s="179">
        <f t="shared" ref="D6:D48" si="0">B6+C6</f>
        <v>0</v>
      </c>
      <c r="E6" s="177">
        <v>131.84100000000001</v>
      </c>
      <c r="F6" s="178">
        <v>0</v>
      </c>
      <c r="G6" s="179">
        <f t="shared" ref="G6:G48" si="1">E6+F6</f>
        <v>131.84100000000001</v>
      </c>
      <c r="H6" s="178">
        <f t="shared" ref="H6:H46" si="2">B6+E6</f>
        <v>131.84100000000001</v>
      </c>
      <c r="I6" s="178">
        <f t="shared" ref="I6:I48" si="3">C6+F6</f>
        <v>0</v>
      </c>
      <c r="J6" s="179">
        <f t="shared" ref="J6:J48" si="4">H6+I6</f>
        <v>131.84100000000001</v>
      </c>
    </row>
    <row r="7" spans="1:10">
      <c r="A7" s="176">
        <v>1972</v>
      </c>
      <c r="B7" s="177">
        <v>0</v>
      </c>
      <c r="C7" s="178">
        <v>0</v>
      </c>
      <c r="D7" s="179">
        <f t="shared" si="0"/>
        <v>0</v>
      </c>
      <c r="E7" s="177">
        <v>215.077</v>
      </c>
      <c r="F7" s="178">
        <v>0</v>
      </c>
      <c r="G7" s="179">
        <f t="shared" si="1"/>
        <v>215.077</v>
      </c>
      <c r="H7" s="178">
        <f t="shared" si="2"/>
        <v>215.077</v>
      </c>
      <c r="I7" s="178">
        <f t="shared" si="3"/>
        <v>0</v>
      </c>
      <c r="J7" s="179">
        <f t="shared" si="4"/>
        <v>215.077</v>
      </c>
    </row>
    <row r="8" spans="1:10">
      <c r="A8" s="176">
        <v>1973</v>
      </c>
      <c r="B8" s="177">
        <v>17.366</v>
      </c>
      <c r="C8" s="178">
        <v>0</v>
      </c>
      <c r="D8" s="179">
        <f t="shared" si="0"/>
        <v>17.366</v>
      </c>
      <c r="E8" s="177">
        <v>94.304000000000002</v>
      </c>
      <c r="F8" s="178">
        <v>0</v>
      </c>
      <c r="G8" s="179">
        <f t="shared" si="1"/>
        <v>94.304000000000002</v>
      </c>
      <c r="H8" s="178">
        <f t="shared" si="2"/>
        <v>111.67</v>
      </c>
      <c r="I8" s="178">
        <f t="shared" si="3"/>
        <v>0</v>
      </c>
      <c r="J8" s="179">
        <f t="shared" si="4"/>
        <v>111.67</v>
      </c>
    </row>
    <row r="9" spans="1:10">
      <c r="A9" s="176">
        <v>1974</v>
      </c>
      <c r="B9" s="177">
        <v>0</v>
      </c>
      <c r="C9" s="178">
        <v>0</v>
      </c>
      <c r="D9" s="179">
        <f t="shared" si="0"/>
        <v>0</v>
      </c>
      <c r="E9" s="177">
        <v>69.363</v>
      </c>
      <c r="F9" s="178">
        <v>0</v>
      </c>
      <c r="G9" s="179">
        <f t="shared" si="1"/>
        <v>69.363</v>
      </c>
      <c r="H9" s="178">
        <f t="shared" si="2"/>
        <v>69.363</v>
      </c>
      <c r="I9" s="178">
        <f t="shared" si="3"/>
        <v>0</v>
      </c>
      <c r="J9" s="179">
        <f t="shared" si="4"/>
        <v>69.363</v>
      </c>
    </row>
    <row r="10" spans="1:10">
      <c r="A10" s="176">
        <v>1975</v>
      </c>
      <c r="B10" s="177">
        <v>0</v>
      </c>
      <c r="C10" s="178">
        <v>0</v>
      </c>
      <c r="D10" s="179">
        <f t="shared" si="0"/>
        <v>0</v>
      </c>
      <c r="E10" s="177">
        <v>175.595</v>
      </c>
      <c r="F10" s="178">
        <v>0</v>
      </c>
      <c r="G10" s="179">
        <f t="shared" si="1"/>
        <v>175.595</v>
      </c>
      <c r="H10" s="178">
        <f t="shared" si="2"/>
        <v>175.595</v>
      </c>
      <c r="I10" s="178">
        <f t="shared" si="3"/>
        <v>0</v>
      </c>
      <c r="J10" s="179">
        <f t="shared" si="4"/>
        <v>175.595</v>
      </c>
    </row>
    <row r="11" spans="1:10">
      <c r="A11" s="176">
        <v>1976</v>
      </c>
      <c r="B11" s="177">
        <v>0</v>
      </c>
      <c r="C11" s="178">
        <v>0</v>
      </c>
      <c r="D11" s="179">
        <f t="shared" si="0"/>
        <v>0</v>
      </c>
      <c r="E11" s="177">
        <v>33.965000000000003</v>
      </c>
      <c r="F11" s="178">
        <v>0</v>
      </c>
      <c r="G11" s="179">
        <f t="shared" si="1"/>
        <v>33.965000000000003</v>
      </c>
      <c r="H11" s="178">
        <f t="shared" si="2"/>
        <v>33.965000000000003</v>
      </c>
      <c r="I11" s="178">
        <f t="shared" si="3"/>
        <v>0</v>
      </c>
      <c r="J11" s="179">
        <f t="shared" si="4"/>
        <v>33.965000000000003</v>
      </c>
    </row>
    <row r="12" spans="1:10">
      <c r="A12" s="176">
        <v>1977</v>
      </c>
      <c r="B12" s="177">
        <v>67.966999999999999</v>
      </c>
      <c r="C12" s="178">
        <v>0</v>
      </c>
      <c r="D12" s="179">
        <f t="shared" si="0"/>
        <v>67.966999999999999</v>
      </c>
      <c r="E12" s="177">
        <v>179.49199999999999</v>
      </c>
      <c r="F12" s="178">
        <v>0</v>
      </c>
      <c r="G12" s="179">
        <f t="shared" si="1"/>
        <v>179.49199999999999</v>
      </c>
      <c r="H12" s="178">
        <f t="shared" si="2"/>
        <v>247.459</v>
      </c>
      <c r="I12" s="178">
        <f t="shared" si="3"/>
        <v>0</v>
      </c>
      <c r="J12" s="179">
        <f t="shared" si="4"/>
        <v>247.459</v>
      </c>
    </row>
    <row r="13" spans="1:10">
      <c r="A13" s="176">
        <v>1978</v>
      </c>
      <c r="B13" s="177">
        <v>0</v>
      </c>
      <c r="C13" s="178">
        <v>0</v>
      </c>
      <c r="D13" s="179">
        <f t="shared" si="0"/>
        <v>0</v>
      </c>
      <c r="E13" s="177">
        <v>111.88</v>
      </c>
      <c r="F13" s="178">
        <v>0</v>
      </c>
      <c r="G13" s="179">
        <f t="shared" si="1"/>
        <v>111.88</v>
      </c>
      <c r="H13" s="178">
        <f t="shared" si="2"/>
        <v>111.88</v>
      </c>
      <c r="I13" s="178">
        <f t="shared" si="3"/>
        <v>0</v>
      </c>
      <c r="J13" s="179">
        <f t="shared" si="4"/>
        <v>111.88</v>
      </c>
    </row>
    <row r="14" spans="1:10">
      <c r="A14" s="176">
        <v>1979</v>
      </c>
      <c r="B14" s="177">
        <v>0</v>
      </c>
      <c r="C14" s="178">
        <v>0</v>
      </c>
      <c r="D14" s="179">
        <f t="shared" si="0"/>
        <v>0</v>
      </c>
      <c r="E14" s="177">
        <v>18.356999999999999</v>
      </c>
      <c r="F14" s="178">
        <v>0</v>
      </c>
      <c r="G14" s="179">
        <f t="shared" si="1"/>
        <v>18.356999999999999</v>
      </c>
      <c r="H14" s="178">
        <f t="shared" si="2"/>
        <v>18.356999999999999</v>
      </c>
      <c r="I14" s="178">
        <f t="shared" si="3"/>
        <v>0</v>
      </c>
      <c r="J14" s="179">
        <f t="shared" si="4"/>
        <v>18.356999999999999</v>
      </c>
    </row>
    <row r="15" spans="1:10">
      <c r="A15" s="176">
        <v>1980</v>
      </c>
      <c r="B15" s="177">
        <v>0</v>
      </c>
      <c r="C15" s="178">
        <v>0</v>
      </c>
      <c r="D15" s="179">
        <f t="shared" si="0"/>
        <v>0</v>
      </c>
      <c r="E15" s="177">
        <v>302.17399999999998</v>
      </c>
      <c r="F15" s="178">
        <v>0</v>
      </c>
      <c r="G15" s="179">
        <f t="shared" si="1"/>
        <v>302.17399999999998</v>
      </c>
      <c r="H15" s="178">
        <f t="shared" si="2"/>
        <v>302.17399999999998</v>
      </c>
      <c r="I15" s="178">
        <f t="shared" si="3"/>
        <v>0</v>
      </c>
      <c r="J15" s="179">
        <f t="shared" si="4"/>
        <v>302.17399999999998</v>
      </c>
    </row>
    <row r="16" spans="1:10">
      <c r="A16" s="176">
        <v>1981</v>
      </c>
      <c r="B16" s="177">
        <v>0</v>
      </c>
      <c r="C16" s="178">
        <v>0</v>
      </c>
      <c r="D16" s="179">
        <f t="shared" si="0"/>
        <v>0</v>
      </c>
      <c r="E16" s="177">
        <v>47.459000000000003</v>
      </c>
      <c r="F16" s="178">
        <v>0</v>
      </c>
      <c r="G16" s="179">
        <f t="shared" si="1"/>
        <v>47.459000000000003</v>
      </c>
      <c r="H16" s="178">
        <f t="shared" si="2"/>
        <v>47.459000000000003</v>
      </c>
      <c r="I16" s="178">
        <f t="shared" si="3"/>
        <v>0</v>
      </c>
      <c r="J16" s="179">
        <f t="shared" si="4"/>
        <v>47.459000000000003</v>
      </c>
    </row>
    <row r="17" spans="1:10">
      <c r="A17" s="176">
        <v>1982</v>
      </c>
      <c r="B17" s="177">
        <v>243.1</v>
      </c>
      <c r="C17" s="178">
        <v>0</v>
      </c>
      <c r="D17" s="179">
        <f t="shared" si="0"/>
        <v>243.1</v>
      </c>
      <c r="E17" s="177">
        <v>515.11900000000003</v>
      </c>
      <c r="F17" s="178">
        <v>0</v>
      </c>
      <c r="G17" s="179">
        <f t="shared" si="1"/>
        <v>515.11900000000003</v>
      </c>
      <c r="H17" s="178">
        <f t="shared" si="2"/>
        <v>758.21900000000005</v>
      </c>
      <c r="I17" s="178">
        <f t="shared" si="3"/>
        <v>0</v>
      </c>
      <c r="J17" s="179">
        <f t="shared" si="4"/>
        <v>758.21900000000005</v>
      </c>
    </row>
    <row r="18" spans="1:10">
      <c r="A18" s="176">
        <v>1983</v>
      </c>
      <c r="B18" s="177">
        <v>0</v>
      </c>
      <c r="C18" s="178">
        <v>0</v>
      </c>
      <c r="D18" s="179">
        <f t="shared" si="0"/>
        <v>0</v>
      </c>
      <c r="E18" s="177">
        <v>1110.001</v>
      </c>
      <c r="F18" s="178">
        <v>0</v>
      </c>
      <c r="G18" s="179">
        <f t="shared" si="1"/>
        <v>1110.001</v>
      </c>
      <c r="H18" s="178">
        <f t="shared" si="2"/>
        <v>1110.001</v>
      </c>
      <c r="I18" s="178">
        <f t="shared" si="3"/>
        <v>0</v>
      </c>
      <c r="J18" s="179">
        <f t="shared" si="4"/>
        <v>1110.001</v>
      </c>
    </row>
    <row r="19" spans="1:10">
      <c r="A19" s="176">
        <v>1984</v>
      </c>
      <c r="B19" s="177">
        <v>183.25800000000001</v>
      </c>
      <c r="C19" s="178">
        <v>0</v>
      </c>
      <c r="D19" s="179">
        <f t="shared" si="0"/>
        <v>183.25800000000001</v>
      </c>
      <c r="E19" s="177">
        <v>398.84100000000001</v>
      </c>
      <c r="F19" s="178">
        <v>0</v>
      </c>
      <c r="G19" s="179">
        <f t="shared" si="1"/>
        <v>398.84100000000001</v>
      </c>
      <c r="H19" s="178">
        <f t="shared" si="2"/>
        <v>582.09900000000005</v>
      </c>
      <c r="I19" s="178">
        <f t="shared" si="3"/>
        <v>0</v>
      </c>
      <c r="J19" s="179">
        <f t="shared" si="4"/>
        <v>582.09900000000005</v>
      </c>
    </row>
    <row r="20" spans="1:10">
      <c r="A20" s="176">
        <v>1985</v>
      </c>
      <c r="B20" s="177">
        <v>0</v>
      </c>
      <c r="C20" s="178">
        <v>0</v>
      </c>
      <c r="D20" s="179">
        <f t="shared" si="0"/>
        <v>0</v>
      </c>
      <c r="E20" s="177">
        <v>1344.1379999999999</v>
      </c>
      <c r="F20" s="178">
        <v>0</v>
      </c>
      <c r="G20" s="179">
        <f t="shared" si="1"/>
        <v>1344.1379999999999</v>
      </c>
      <c r="H20" s="178">
        <f t="shared" si="2"/>
        <v>1344.1379999999999</v>
      </c>
      <c r="I20" s="178">
        <f t="shared" si="3"/>
        <v>0</v>
      </c>
      <c r="J20" s="179">
        <f t="shared" si="4"/>
        <v>1344.1379999999999</v>
      </c>
    </row>
    <row r="21" spans="1:10">
      <c r="A21" s="176">
        <v>1986</v>
      </c>
      <c r="B21" s="177">
        <v>138.244</v>
      </c>
      <c r="C21" s="178">
        <v>0</v>
      </c>
      <c r="D21" s="179">
        <f t="shared" si="0"/>
        <v>138.244</v>
      </c>
      <c r="E21" s="177">
        <v>3993.163</v>
      </c>
      <c r="F21" s="178">
        <v>0</v>
      </c>
      <c r="G21" s="179">
        <f t="shared" si="1"/>
        <v>3993.163</v>
      </c>
      <c r="H21" s="178">
        <f t="shared" si="2"/>
        <v>4131.4070000000002</v>
      </c>
      <c r="I21" s="178">
        <f t="shared" si="3"/>
        <v>0</v>
      </c>
      <c r="J21" s="179">
        <f t="shared" si="4"/>
        <v>4131.4070000000002</v>
      </c>
    </row>
    <row r="22" spans="1:10">
      <c r="A22" s="176">
        <v>1987</v>
      </c>
      <c r="B22" s="177">
        <v>0</v>
      </c>
      <c r="C22" s="178">
        <v>0</v>
      </c>
      <c r="D22" s="179">
        <f t="shared" si="0"/>
        <v>0</v>
      </c>
      <c r="E22" s="177">
        <v>8940.1740000000009</v>
      </c>
      <c r="F22" s="178">
        <v>241.5</v>
      </c>
      <c r="G22" s="179">
        <f t="shared" si="1"/>
        <v>9181.6740000000009</v>
      </c>
      <c r="H22" s="178">
        <f t="shared" si="2"/>
        <v>8940.1740000000009</v>
      </c>
      <c r="I22" s="178">
        <f t="shared" si="3"/>
        <v>241.5</v>
      </c>
      <c r="J22" s="179">
        <f t="shared" si="4"/>
        <v>9181.6740000000009</v>
      </c>
    </row>
    <row r="23" spans="1:10">
      <c r="A23" s="176">
        <v>1988</v>
      </c>
      <c r="B23" s="177">
        <v>0</v>
      </c>
      <c r="C23" s="178">
        <v>0</v>
      </c>
      <c r="D23" s="179">
        <f t="shared" si="0"/>
        <v>0</v>
      </c>
      <c r="E23" s="177">
        <v>5434.7039999999997</v>
      </c>
      <c r="F23" s="178">
        <v>361</v>
      </c>
      <c r="G23" s="179">
        <f t="shared" si="1"/>
        <v>5795.7039999999997</v>
      </c>
      <c r="H23" s="178">
        <f t="shared" si="2"/>
        <v>5434.7039999999997</v>
      </c>
      <c r="I23" s="178">
        <f t="shared" si="3"/>
        <v>361</v>
      </c>
      <c r="J23" s="179">
        <f t="shared" si="4"/>
        <v>5795.7039999999997</v>
      </c>
    </row>
    <row r="24" spans="1:10">
      <c r="A24" s="176">
        <v>1989</v>
      </c>
      <c r="B24" s="177">
        <v>1505.93</v>
      </c>
      <c r="C24" s="178">
        <v>0</v>
      </c>
      <c r="D24" s="179">
        <f t="shared" si="0"/>
        <v>1505.93</v>
      </c>
      <c r="E24" s="177">
        <v>9516.7199999999993</v>
      </c>
      <c r="F24" s="178">
        <v>0</v>
      </c>
      <c r="G24" s="179">
        <f t="shared" si="1"/>
        <v>9516.7199999999993</v>
      </c>
      <c r="H24" s="178">
        <f t="shared" si="2"/>
        <v>11022.65</v>
      </c>
      <c r="I24" s="178">
        <f t="shared" si="3"/>
        <v>0</v>
      </c>
      <c r="J24" s="179">
        <f t="shared" si="4"/>
        <v>11022.65</v>
      </c>
    </row>
    <row r="25" spans="1:10">
      <c r="A25" s="176">
        <v>1990</v>
      </c>
      <c r="B25" s="177">
        <v>0</v>
      </c>
      <c r="C25" s="178">
        <v>0</v>
      </c>
      <c r="D25" s="179">
        <f t="shared" si="0"/>
        <v>0</v>
      </c>
      <c r="E25" s="177">
        <v>20070.704000000002</v>
      </c>
      <c r="F25" s="178">
        <v>1602.8</v>
      </c>
      <c r="G25" s="179">
        <f t="shared" si="1"/>
        <v>21673.504000000001</v>
      </c>
      <c r="H25" s="178">
        <f t="shared" si="2"/>
        <v>20070.704000000002</v>
      </c>
      <c r="I25" s="178">
        <f t="shared" si="3"/>
        <v>1602.8</v>
      </c>
      <c r="J25" s="179">
        <f t="shared" si="4"/>
        <v>21673.504000000001</v>
      </c>
    </row>
    <row r="26" spans="1:10">
      <c r="A26" s="176">
        <v>1991</v>
      </c>
      <c r="B26" s="177">
        <v>1348</v>
      </c>
      <c r="C26" s="178">
        <v>0</v>
      </c>
      <c r="D26" s="179">
        <f t="shared" si="0"/>
        <v>1348</v>
      </c>
      <c r="E26" s="177">
        <v>15484.925999999999</v>
      </c>
      <c r="F26" s="178">
        <v>569.625</v>
      </c>
      <c r="G26" s="179">
        <f t="shared" si="1"/>
        <v>16054.550999999999</v>
      </c>
      <c r="H26" s="178">
        <f t="shared" si="2"/>
        <v>16832.925999999999</v>
      </c>
      <c r="I26" s="178">
        <f t="shared" si="3"/>
        <v>569.625</v>
      </c>
      <c r="J26" s="179">
        <f t="shared" si="4"/>
        <v>17402.550999999999</v>
      </c>
    </row>
    <row r="27" spans="1:10">
      <c r="A27" s="176">
        <v>1992</v>
      </c>
      <c r="B27" s="177">
        <v>0</v>
      </c>
      <c r="C27" s="178">
        <v>0</v>
      </c>
      <c r="D27" s="179">
        <f t="shared" si="0"/>
        <v>0</v>
      </c>
      <c r="E27" s="177">
        <v>6601.0950000000003</v>
      </c>
      <c r="F27" s="178">
        <v>698.11699999999996</v>
      </c>
      <c r="G27" s="179">
        <f t="shared" si="1"/>
        <v>7299.2120000000004</v>
      </c>
      <c r="H27" s="178">
        <f t="shared" si="2"/>
        <v>6601.0950000000003</v>
      </c>
      <c r="I27" s="178">
        <f t="shared" si="3"/>
        <v>698.11699999999996</v>
      </c>
      <c r="J27" s="179">
        <f t="shared" si="4"/>
        <v>7299.2120000000004</v>
      </c>
    </row>
    <row r="28" spans="1:10">
      <c r="A28" s="176">
        <v>1993</v>
      </c>
      <c r="B28" s="177">
        <v>0</v>
      </c>
      <c r="C28" s="178">
        <v>0</v>
      </c>
      <c r="D28" s="179">
        <f t="shared" si="0"/>
        <v>0</v>
      </c>
      <c r="E28" s="177">
        <v>1870.751</v>
      </c>
      <c r="F28" s="178">
        <v>423.78</v>
      </c>
      <c r="G28" s="179">
        <f t="shared" si="1"/>
        <v>2294.5309999999999</v>
      </c>
      <c r="H28" s="178">
        <f t="shared" si="2"/>
        <v>1870.751</v>
      </c>
      <c r="I28" s="178">
        <f t="shared" si="3"/>
        <v>423.78</v>
      </c>
      <c r="J28" s="179">
        <f t="shared" si="4"/>
        <v>2294.5309999999999</v>
      </c>
    </row>
    <row r="29" spans="1:10">
      <c r="A29" s="176">
        <v>1994</v>
      </c>
      <c r="B29" s="177">
        <v>0</v>
      </c>
      <c r="C29" s="178">
        <v>0</v>
      </c>
      <c r="D29" s="179">
        <f t="shared" si="0"/>
        <v>0</v>
      </c>
      <c r="E29" s="177">
        <v>2099.9</v>
      </c>
      <c r="F29" s="178">
        <v>299.363</v>
      </c>
      <c r="G29" s="179">
        <f t="shared" si="1"/>
        <v>2399.2629999999999</v>
      </c>
      <c r="H29" s="178">
        <f t="shared" si="2"/>
        <v>2099.9</v>
      </c>
      <c r="I29" s="178">
        <f t="shared" si="3"/>
        <v>299.363</v>
      </c>
      <c r="J29" s="179">
        <f t="shared" si="4"/>
        <v>2399.2629999999999</v>
      </c>
    </row>
    <row r="30" spans="1:10">
      <c r="A30" s="176">
        <v>1995</v>
      </c>
      <c r="B30" s="177">
        <v>0</v>
      </c>
      <c r="C30" s="178">
        <v>0</v>
      </c>
      <c r="D30" s="179">
        <f t="shared" si="0"/>
        <v>0</v>
      </c>
      <c r="E30" s="177">
        <v>4788.482</v>
      </c>
      <c r="F30" s="178">
        <v>172.3</v>
      </c>
      <c r="G30" s="179">
        <f t="shared" si="1"/>
        <v>4960.7820000000002</v>
      </c>
      <c r="H30" s="178">
        <f t="shared" si="2"/>
        <v>4788.482</v>
      </c>
      <c r="I30" s="178">
        <f t="shared" si="3"/>
        <v>172.3</v>
      </c>
      <c r="J30" s="179">
        <f t="shared" si="4"/>
        <v>4960.7820000000002</v>
      </c>
    </row>
    <row r="31" spans="1:10">
      <c r="A31" s="176">
        <v>1996</v>
      </c>
      <c r="B31" s="177">
        <v>0</v>
      </c>
      <c r="C31" s="178">
        <v>0</v>
      </c>
      <c r="D31" s="179">
        <f t="shared" si="0"/>
        <v>0</v>
      </c>
      <c r="E31" s="177">
        <v>4052.77</v>
      </c>
      <c r="F31" s="178">
        <v>1435</v>
      </c>
      <c r="G31" s="179">
        <f t="shared" si="1"/>
        <v>5487.77</v>
      </c>
      <c r="H31" s="178">
        <f t="shared" si="2"/>
        <v>4052.77</v>
      </c>
      <c r="I31" s="178">
        <f t="shared" si="3"/>
        <v>1435</v>
      </c>
      <c r="J31" s="179">
        <f t="shared" si="4"/>
        <v>5487.77</v>
      </c>
    </row>
    <row r="32" spans="1:10">
      <c r="A32" s="176">
        <v>1997</v>
      </c>
      <c r="B32" s="177">
        <v>0</v>
      </c>
      <c r="C32" s="178">
        <v>0</v>
      </c>
      <c r="D32" s="179">
        <f t="shared" si="0"/>
        <v>0</v>
      </c>
      <c r="E32" s="177">
        <v>5104.4480000000003</v>
      </c>
      <c r="F32" s="178">
        <v>948</v>
      </c>
      <c r="G32" s="179">
        <f t="shared" si="1"/>
        <v>6052.4480000000003</v>
      </c>
      <c r="H32" s="178">
        <f t="shared" si="2"/>
        <v>5104.4480000000003</v>
      </c>
      <c r="I32" s="178">
        <f t="shared" si="3"/>
        <v>948</v>
      </c>
      <c r="J32" s="179">
        <f t="shared" si="4"/>
        <v>6052.4480000000003</v>
      </c>
    </row>
    <row r="33" spans="1:10">
      <c r="A33" s="176">
        <v>1998</v>
      </c>
      <c r="B33" s="177">
        <v>399</v>
      </c>
      <c r="C33" s="178">
        <v>0</v>
      </c>
      <c r="D33" s="179">
        <f t="shared" si="0"/>
        <v>399</v>
      </c>
      <c r="E33" s="177">
        <v>9469.3119999999999</v>
      </c>
      <c r="F33" s="178">
        <v>3017.0859999999998</v>
      </c>
      <c r="G33" s="179">
        <f t="shared" si="1"/>
        <v>12486.397999999999</v>
      </c>
      <c r="H33" s="178">
        <f t="shared" si="2"/>
        <v>9868.3119999999999</v>
      </c>
      <c r="I33" s="178">
        <f t="shared" si="3"/>
        <v>3017.0859999999998</v>
      </c>
      <c r="J33" s="179">
        <f t="shared" si="4"/>
        <v>12885.397999999999</v>
      </c>
    </row>
    <row r="34" spans="1:10">
      <c r="A34" s="176">
        <v>1999</v>
      </c>
      <c r="B34" s="177">
        <v>460.92</v>
      </c>
      <c r="C34" s="178">
        <v>1225</v>
      </c>
      <c r="D34" s="179">
        <f t="shared" si="0"/>
        <v>1685.92</v>
      </c>
      <c r="E34" s="177">
        <v>25311.053</v>
      </c>
      <c r="F34" s="178">
        <v>14107.415000000001</v>
      </c>
      <c r="G34" s="179">
        <f t="shared" si="1"/>
        <v>39418.468000000001</v>
      </c>
      <c r="H34" s="178">
        <f t="shared" si="2"/>
        <v>25771.972999999998</v>
      </c>
      <c r="I34" s="178">
        <f t="shared" si="3"/>
        <v>15332.415000000001</v>
      </c>
      <c r="J34" s="179">
        <f t="shared" si="4"/>
        <v>41104.387999999999</v>
      </c>
    </row>
    <row r="35" spans="1:10">
      <c r="A35" s="176">
        <v>2000</v>
      </c>
      <c r="B35" s="177">
        <v>4115.4669999999996</v>
      </c>
      <c r="C35" s="178">
        <v>3950</v>
      </c>
      <c r="D35" s="179">
        <f t="shared" si="0"/>
        <v>8065.4669999999996</v>
      </c>
      <c r="E35" s="177">
        <v>24722.613000000001</v>
      </c>
      <c r="F35" s="178">
        <v>26205.687999999998</v>
      </c>
      <c r="G35" s="179">
        <f t="shared" si="1"/>
        <v>50928.300999999999</v>
      </c>
      <c r="H35" s="178">
        <f t="shared" si="2"/>
        <v>28838.080000000002</v>
      </c>
      <c r="I35" s="178">
        <f t="shared" si="3"/>
        <v>30155.687999999998</v>
      </c>
      <c r="J35" s="179">
        <f t="shared" si="4"/>
        <v>58993.767999999996</v>
      </c>
    </row>
    <row r="36" spans="1:10">
      <c r="A36" s="176">
        <v>2001</v>
      </c>
      <c r="B36" s="177">
        <v>21195.040000000001</v>
      </c>
      <c r="C36" s="178">
        <v>5363</v>
      </c>
      <c r="D36" s="179">
        <f t="shared" si="0"/>
        <v>26558.04</v>
      </c>
      <c r="E36" s="177">
        <v>78379.37</v>
      </c>
      <c r="F36" s="178">
        <v>34103.457999999999</v>
      </c>
      <c r="G36" s="179">
        <f t="shared" si="1"/>
        <v>112482.82799999999</v>
      </c>
      <c r="H36" s="178">
        <f t="shared" si="2"/>
        <v>99574.41</v>
      </c>
      <c r="I36" s="178">
        <f t="shared" si="3"/>
        <v>39466.457999999999</v>
      </c>
      <c r="J36" s="179">
        <f t="shared" si="4"/>
        <v>139040.86800000002</v>
      </c>
    </row>
    <row r="37" spans="1:10" s="74" customFormat="1">
      <c r="A37" s="180">
        <v>2002</v>
      </c>
      <c r="B37" s="181">
        <v>46350.396000000001</v>
      </c>
      <c r="C37" s="182">
        <v>13121.879000000001</v>
      </c>
      <c r="D37" s="183">
        <f t="shared" si="0"/>
        <v>59472.275000000001</v>
      </c>
      <c r="E37" s="181">
        <v>104090.685</v>
      </c>
      <c r="F37" s="182">
        <v>37222.962</v>
      </c>
      <c r="G37" s="183">
        <f t="shared" si="1"/>
        <v>141313.647</v>
      </c>
      <c r="H37" s="182">
        <f t="shared" si="2"/>
        <v>150441.08100000001</v>
      </c>
      <c r="I37" s="182">
        <f t="shared" si="3"/>
        <v>50344.841</v>
      </c>
      <c r="J37" s="183">
        <f t="shared" si="4"/>
        <v>200785.92200000002</v>
      </c>
    </row>
    <row r="38" spans="1:10">
      <c r="A38" s="176">
        <v>2003</v>
      </c>
      <c r="B38" s="177">
        <v>0</v>
      </c>
      <c r="C38" s="178">
        <v>869.5</v>
      </c>
      <c r="D38" s="179">
        <f t="shared" si="0"/>
        <v>869.5</v>
      </c>
      <c r="E38" s="177">
        <v>35181.339999999997</v>
      </c>
      <c r="F38" s="178">
        <v>10208.300999999999</v>
      </c>
      <c r="G38" s="179">
        <f t="shared" si="1"/>
        <v>45389.640999999996</v>
      </c>
      <c r="H38" s="178">
        <f t="shared" si="2"/>
        <v>35181.339999999997</v>
      </c>
      <c r="I38" s="178">
        <f t="shared" si="3"/>
        <v>11077.800999999999</v>
      </c>
      <c r="J38" s="179">
        <f t="shared" si="4"/>
        <v>46259.140999999996</v>
      </c>
    </row>
    <row r="39" spans="1:10">
      <c r="A39" s="176">
        <v>2004</v>
      </c>
      <c r="B39" s="177">
        <v>0</v>
      </c>
      <c r="C39" s="178">
        <v>0</v>
      </c>
      <c r="D39" s="179">
        <f t="shared" si="0"/>
        <v>0</v>
      </c>
      <c r="E39" s="177">
        <v>11810.384</v>
      </c>
      <c r="F39" s="178">
        <v>4197.415</v>
      </c>
      <c r="G39" s="179">
        <f t="shared" si="1"/>
        <v>16007.798999999999</v>
      </c>
      <c r="H39" s="178">
        <f t="shared" si="2"/>
        <v>11810.384</v>
      </c>
      <c r="I39" s="178">
        <f t="shared" si="3"/>
        <v>4197.415</v>
      </c>
      <c r="J39" s="179">
        <f t="shared" si="4"/>
        <v>16007.798999999999</v>
      </c>
    </row>
    <row r="40" spans="1:10">
      <c r="A40" s="176">
        <v>2005</v>
      </c>
      <c r="B40" s="177">
        <v>2155</v>
      </c>
      <c r="C40" s="178">
        <v>2825</v>
      </c>
      <c r="D40" s="179">
        <f t="shared" si="0"/>
        <v>4980</v>
      </c>
      <c r="E40" s="177">
        <v>26798.030999999999</v>
      </c>
      <c r="F40" s="178">
        <v>8744.57</v>
      </c>
      <c r="G40" s="179">
        <f t="shared" si="1"/>
        <v>35542.600999999995</v>
      </c>
      <c r="H40" s="178">
        <f t="shared" si="2"/>
        <v>28953.030999999999</v>
      </c>
      <c r="I40" s="178">
        <f t="shared" si="3"/>
        <v>11569.57</v>
      </c>
      <c r="J40" s="179">
        <f t="shared" si="4"/>
        <v>40522.600999999995</v>
      </c>
    </row>
    <row r="41" spans="1:10">
      <c r="A41" s="176">
        <v>2006</v>
      </c>
      <c r="B41" s="177">
        <v>0</v>
      </c>
      <c r="C41" s="178">
        <v>0</v>
      </c>
      <c r="D41" s="179">
        <f t="shared" si="0"/>
        <v>0</v>
      </c>
      <c r="E41" s="177">
        <v>7758.4750000000004</v>
      </c>
      <c r="F41" s="178">
        <v>2629.6</v>
      </c>
      <c r="G41" s="179">
        <f t="shared" si="1"/>
        <v>10388.075000000001</v>
      </c>
      <c r="H41" s="178">
        <f t="shared" si="2"/>
        <v>7758.4750000000004</v>
      </c>
      <c r="I41" s="178">
        <f t="shared" si="3"/>
        <v>2629.6</v>
      </c>
      <c r="J41" s="179">
        <f t="shared" si="4"/>
        <v>10388.075000000001</v>
      </c>
    </row>
    <row r="42" spans="1:10">
      <c r="A42" s="176">
        <v>2007</v>
      </c>
      <c r="B42" s="177">
        <v>0</v>
      </c>
      <c r="C42" s="178">
        <v>0</v>
      </c>
      <c r="D42" s="179">
        <f t="shared" si="0"/>
        <v>0</v>
      </c>
      <c r="E42" s="177">
        <v>4755.4539999999997</v>
      </c>
      <c r="F42" s="178">
        <v>1983</v>
      </c>
      <c r="G42" s="179">
        <f t="shared" si="1"/>
        <v>6738.4539999999997</v>
      </c>
      <c r="H42" s="178">
        <f t="shared" si="2"/>
        <v>4755.4539999999997</v>
      </c>
      <c r="I42" s="178">
        <f t="shared" si="3"/>
        <v>1983</v>
      </c>
      <c r="J42" s="179">
        <f t="shared" si="4"/>
        <v>6738.4539999999997</v>
      </c>
    </row>
    <row r="43" spans="1:10">
      <c r="A43" s="176">
        <v>2008</v>
      </c>
      <c r="B43" s="177">
        <v>183154.976</v>
      </c>
      <c r="C43" s="178">
        <v>10379.549999999999</v>
      </c>
      <c r="D43" s="179">
        <f t="shared" si="0"/>
        <v>193534.52599999998</v>
      </c>
      <c r="E43" s="177">
        <v>55060.087</v>
      </c>
      <c r="F43" s="178">
        <v>32321.534</v>
      </c>
      <c r="G43" s="179">
        <f t="shared" si="1"/>
        <v>87381.620999999999</v>
      </c>
      <c r="H43" s="178">
        <f t="shared" si="2"/>
        <v>238215.06299999999</v>
      </c>
      <c r="I43" s="178">
        <f t="shared" si="3"/>
        <v>42701.084000000003</v>
      </c>
      <c r="J43" s="179">
        <f t="shared" si="4"/>
        <v>280916.147</v>
      </c>
    </row>
    <row r="44" spans="1:10">
      <c r="A44" s="176">
        <v>2009</v>
      </c>
      <c r="B44" s="177">
        <v>38944.964</v>
      </c>
      <c r="C44" s="178">
        <v>21930.719000000001</v>
      </c>
      <c r="D44" s="179">
        <f t="shared" si="0"/>
        <v>60875.683000000005</v>
      </c>
      <c r="E44" s="177">
        <v>145361.34700000001</v>
      </c>
      <c r="F44" s="178">
        <v>123875.906</v>
      </c>
      <c r="G44" s="179">
        <f t="shared" si="1"/>
        <v>269237.25300000003</v>
      </c>
      <c r="H44" s="178">
        <f t="shared" si="2"/>
        <v>184306.31100000002</v>
      </c>
      <c r="I44" s="178">
        <f t="shared" si="3"/>
        <v>145806.625</v>
      </c>
      <c r="J44" s="179">
        <f t="shared" si="4"/>
        <v>330112.93599999999</v>
      </c>
    </row>
    <row r="45" spans="1:10">
      <c r="A45" s="176">
        <v>2010</v>
      </c>
      <c r="B45" s="177">
        <v>4856.1270000000004</v>
      </c>
      <c r="C45" s="178">
        <v>0</v>
      </c>
      <c r="D45" s="179">
        <f t="shared" si="0"/>
        <v>4856.1270000000004</v>
      </c>
      <c r="E45" s="177">
        <v>20553.218000000001</v>
      </c>
      <c r="F45" s="178">
        <v>14041.549000000001</v>
      </c>
      <c r="G45" s="179">
        <f t="shared" si="1"/>
        <v>34594.767</v>
      </c>
      <c r="H45" s="178">
        <f t="shared" si="2"/>
        <v>25409.345000000001</v>
      </c>
      <c r="I45" s="178">
        <f t="shared" si="3"/>
        <v>14041.549000000001</v>
      </c>
      <c r="J45" s="179">
        <f t="shared" si="4"/>
        <v>39450.894</v>
      </c>
    </row>
    <row r="46" spans="1:10">
      <c r="A46" s="176">
        <v>2011</v>
      </c>
      <c r="B46" s="177">
        <v>1156.492</v>
      </c>
      <c r="C46" s="178">
        <v>1410.88</v>
      </c>
      <c r="D46" s="179">
        <f t="shared" si="0"/>
        <v>2567.3720000000003</v>
      </c>
      <c r="E46" s="177">
        <v>29335.753000000001</v>
      </c>
      <c r="F46" s="178">
        <v>4092.877</v>
      </c>
      <c r="G46" s="179">
        <f t="shared" si="1"/>
        <v>33428.629999999997</v>
      </c>
      <c r="H46" s="178">
        <f t="shared" si="2"/>
        <v>30492.244999999999</v>
      </c>
      <c r="I46" s="178">
        <f t="shared" si="3"/>
        <v>5503.7569999999996</v>
      </c>
      <c r="J46" s="179">
        <f t="shared" si="4"/>
        <v>35996.002</v>
      </c>
    </row>
    <row r="47" spans="1:10">
      <c r="A47" s="176">
        <v>2012</v>
      </c>
      <c r="B47" s="177">
        <v>323.07</v>
      </c>
      <c r="C47" s="178">
        <v>0</v>
      </c>
      <c r="D47" s="179">
        <f t="shared" si="0"/>
        <v>323.07</v>
      </c>
      <c r="E47" s="177">
        <v>31360.298999999999</v>
      </c>
      <c r="F47" s="178">
        <v>17611.267</v>
      </c>
      <c r="G47" s="179">
        <f t="shared" si="1"/>
        <v>48971.565999999999</v>
      </c>
      <c r="H47" s="178">
        <f t="shared" ref="H47" si="5">B47+E47</f>
        <v>31683.368999999999</v>
      </c>
      <c r="I47" s="178">
        <f t="shared" ref="I47" si="6">C47+F47</f>
        <v>17611.267</v>
      </c>
      <c r="J47" s="179">
        <f t="shared" ref="J47" si="7">H47+I47</f>
        <v>49294.635999999999</v>
      </c>
    </row>
    <row r="48" spans="1:10">
      <c r="A48" s="184">
        <v>2013</v>
      </c>
      <c r="B48" s="185">
        <v>1893.4</v>
      </c>
      <c r="C48" s="186">
        <v>0</v>
      </c>
      <c r="D48" s="187">
        <f t="shared" si="0"/>
        <v>1893.4</v>
      </c>
      <c r="E48" s="188">
        <v>34829.258999999998</v>
      </c>
      <c r="F48" s="189">
        <v>17838.823</v>
      </c>
      <c r="G48" s="190">
        <f t="shared" si="1"/>
        <v>52668.081999999995</v>
      </c>
      <c r="H48" s="189">
        <f>B48+E48</f>
        <v>36722.659</v>
      </c>
      <c r="I48" s="189">
        <f t="shared" si="3"/>
        <v>17838.823</v>
      </c>
      <c r="J48" s="190">
        <f t="shared" si="4"/>
        <v>54561.482000000004</v>
      </c>
    </row>
    <row r="49" spans="1:10">
      <c r="A49" s="191" t="s">
        <v>178</v>
      </c>
      <c r="B49" s="191"/>
      <c r="C49" s="191"/>
      <c r="D49" s="191"/>
      <c r="E49" s="191"/>
      <c r="F49" s="191"/>
      <c r="G49" s="191"/>
      <c r="H49" s="191"/>
      <c r="I49" s="191"/>
      <c r="J49" s="191"/>
    </row>
  </sheetData>
  <mergeCells count="3">
    <mergeCell ref="B3:D3"/>
    <mergeCell ref="E3:G3"/>
    <mergeCell ref="H3:J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zoomScaleNormal="100" workbookViewId="0"/>
  </sheetViews>
  <sheetFormatPr defaultRowHeight="15"/>
  <cols>
    <col min="1" max="1" width="7" style="74" customWidth="1"/>
    <col min="2" max="11" width="11.7109375" style="74" customWidth="1"/>
    <col min="12" max="16384" width="9.140625" style="74"/>
  </cols>
  <sheetData>
    <row r="1" spans="1:11">
      <c r="A1" s="123" t="s">
        <v>336</v>
      </c>
      <c r="B1" s="70"/>
      <c r="C1" s="70"/>
      <c r="D1" s="70"/>
      <c r="E1" s="70"/>
      <c r="F1" s="70"/>
      <c r="G1" s="71"/>
      <c r="H1" s="71"/>
      <c r="I1" s="71"/>
      <c r="J1" s="71"/>
      <c r="K1" s="71"/>
    </row>
    <row r="2" spans="1:11">
      <c r="A2" s="123"/>
      <c r="B2" s="70"/>
      <c r="C2" s="70"/>
      <c r="D2" s="70"/>
      <c r="E2" s="70"/>
      <c r="F2" s="70"/>
      <c r="G2" s="71"/>
      <c r="H2" s="71"/>
      <c r="I2" s="71"/>
      <c r="J2" s="71"/>
      <c r="K2" s="71"/>
    </row>
    <row r="3" spans="1:11">
      <c r="A3" s="238"/>
      <c r="B3" s="333" t="s">
        <v>68</v>
      </c>
      <c r="C3" s="334"/>
      <c r="D3" s="334"/>
      <c r="E3" s="334"/>
      <c r="F3" s="335"/>
      <c r="G3" s="336" t="s">
        <v>69</v>
      </c>
      <c r="H3" s="337"/>
      <c r="I3" s="337"/>
      <c r="J3" s="337"/>
      <c r="K3" s="338"/>
    </row>
    <row r="4" spans="1:11" ht="30">
      <c r="A4" s="192" t="s">
        <v>40</v>
      </c>
      <c r="B4" s="193" t="s">
        <v>64</v>
      </c>
      <c r="C4" s="194" t="s">
        <v>59</v>
      </c>
      <c r="D4" s="194" t="s">
        <v>61</v>
      </c>
      <c r="E4" s="194" t="s">
        <v>55</v>
      </c>
      <c r="F4" s="195" t="s">
        <v>51</v>
      </c>
      <c r="G4" s="196" t="s">
        <v>64</v>
      </c>
      <c r="H4" s="197" t="s">
        <v>59</v>
      </c>
      <c r="I4" s="197" t="s">
        <v>61</v>
      </c>
      <c r="J4" s="197" t="s">
        <v>55</v>
      </c>
      <c r="K4" s="198" t="s">
        <v>51</v>
      </c>
    </row>
    <row r="5" spans="1:11">
      <c r="A5" s="199">
        <v>1986</v>
      </c>
      <c r="B5" s="238">
        <v>0</v>
      </c>
      <c r="C5" s="239">
        <v>0</v>
      </c>
      <c r="D5" s="239">
        <v>0</v>
      </c>
      <c r="E5" s="239">
        <v>0</v>
      </c>
      <c r="F5" s="240">
        <v>33</v>
      </c>
      <c r="G5" s="201">
        <v>0</v>
      </c>
      <c r="H5" s="202">
        <v>0</v>
      </c>
      <c r="I5" s="202">
        <v>0</v>
      </c>
      <c r="J5" s="202">
        <v>0</v>
      </c>
      <c r="K5" s="203">
        <v>4131.4070000000002</v>
      </c>
    </row>
    <row r="6" spans="1:11">
      <c r="A6" s="199">
        <v>1987</v>
      </c>
      <c r="B6" s="205">
        <v>0</v>
      </c>
      <c r="C6" s="70">
        <v>0</v>
      </c>
      <c r="D6" s="70">
        <v>0</v>
      </c>
      <c r="E6" s="70">
        <v>0</v>
      </c>
      <c r="F6" s="204">
        <v>31</v>
      </c>
      <c r="G6" s="201">
        <v>0</v>
      </c>
      <c r="H6" s="202">
        <v>0</v>
      </c>
      <c r="I6" s="202">
        <v>0</v>
      </c>
      <c r="J6" s="202">
        <v>0</v>
      </c>
      <c r="K6" s="203">
        <v>9181.6740000000009</v>
      </c>
    </row>
    <row r="7" spans="1:11">
      <c r="A7" s="205">
        <v>1988</v>
      </c>
      <c r="B7" s="205">
        <v>0</v>
      </c>
      <c r="C7" s="70">
        <v>0</v>
      </c>
      <c r="D7" s="70">
        <v>0</v>
      </c>
      <c r="E7" s="70">
        <v>0</v>
      </c>
      <c r="F7" s="204">
        <v>29</v>
      </c>
      <c r="G7" s="202">
        <v>0</v>
      </c>
      <c r="H7" s="202">
        <v>0</v>
      </c>
      <c r="I7" s="202">
        <v>0</v>
      </c>
      <c r="J7" s="202">
        <v>0</v>
      </c>
      <c r="K7" s="203">
        <v>5795.7039999999997</v>
      </c>
    </row>
    <row r="8" spans="1:11">
      <c r="A8" s="199">
        <v>1989</v>
      </c>
      <c r="B8" s="205">
        <v>0</v>
      </c>
      <c r="C8" s="70">
        <v>4</v>
      </c>
      <c r="D8" s="70">
        <v>0</v>
      </c>
      <c r="E8" s="70">
        <v>0</v>
      </c>
      <c r="F8" s="204">
        <v>47</v>
      </c>
      <c r="G8" s="202">
        <v>0</v>
      </c>
      <c r="H8" s="202">
        <v>969.11</v>
      </c>
      <c r="I8" s="202">
        <v>0</v>
      </c>
      <c r="J8" s="202">
        <v>0</v>
      </c>
      <c r="K8" s="203">
        <v>10053.540000000001</v>
      </c>
    </row>
    <row r="9" spans="1:11">
      <c r="A9" s="199">
        <v>1990</v>
      </c>
      <c r="B9" s="205">
        <v>0</v>
      </c>
      <c r="C9" s="70">
        <v>1</v>
      </c>
      <c r="D9" s="70">
        <v>0</v>
      </c>
      <c r="E9" s="70">
        <v>0</v>
      </c>
      <c r="F9" s="204">
        <v>82</v>
      </c>
      <c r="G9" s="201">
        <v>0</v>
      </c>
      <c r="H9" s="202">
        <v>200</v>
      </c>
      <c r="I9" s="202">
        <v>0</v>
      </c>
      <c r="J9" s="202">
        <v>0</v>
      </c>
      <c r="K9" s="203">
        <v>21473.504000000001</v>
      </c>
    </row>
    <row r="10" spans="1:11">
      <c r="A10" s="199">
        <v>1991</v>
      </c>
      <c r="B10" s="205">
        <v>0</v>
      </c>
      <c r="C10" s="70">
        <v>0</v>
      </c>
      <c r="D10" s="70">
        <v>1</v>
      </c>
      <c r="E10" s="70">
        <v>0</v>
      </c>
      <c r="F10" s="204">
        <v>65</v>
      </c>
      <c r="G10" s="201">
        <v>0</v>
      </c>
      <c r="H10" s="202">
        <v>0</v>
      </c>
      <c r="I10" s="202">
        <v>998.9</v>
      </c>
      <c r="J10" s="202">
        <v>0</v>
      </c>
      <c r="K10" s="203">
        <v>16403.651000000002</v>
      </c>
    </row>
    <row r="11" spans="1:11">
      <c r="A11" s="199">
        <v>1992</v>
      </c>
      <c r="B11" s="205">
        <v>0</v>
      </c>
      <c r="C11" s="70">
        <v>0</v>
      </c>
      <c r="D11" s="70">
        <v>0</v>
      </c>
      <c r="E11" s="70">
        <v>0</v>
      </c>
      <c r="F11" s="204">
        <v>31</v>
      </c>
      <c r="G11" s="201">
        <v>0</v>
      </c>
      <c r="H11" s="202">
        <v>0</v>
      </c>
      <c r="I11" s="202">
        <v>0</v>
      </c>
      <c r="J11" s="202">
        <v>0</v>
      </c>
      <c r="K11" s="203">
        <v>7299.2120000000004</v>
      </c>
    </row>
    <row r="12" spans="1:11">
      <c r="A12" s="199">
        <v>1993</v>
      </c>
      <c r="B12" s="205">
        <v>0</v>
      </c>
      <c r="C12" s="70">
        <v>0</v>
      </c>
      <c r="D12" s="70">
        <v>0</v>
      </c>
      <c r="E12" s="70">
        <v>0</v>
      </c>
      <c r="F12" s="204">
        <v>19</v>
      </c>
      <c r="G12" s="201">
        <v>0</v>
      </c>
      <c r="H12" s="202">
        <v>0</v>
      </c>
      <c r="I12" s="202">
        <v>0</v>
      </c>
      <c r="J12" s="202">
        <v>0</v>
      </c>
      <c r="K12" s="203">
        <v>2294.806</v>
      </c>
    </row>
    <row r="13" spans="1:11">
      <c r="A13" s="199">
        <v>1994</v>
      </c>
      <c r="B13" s="205">
        <v>0</v>
      </c>
      <c r="C13" s="70">
        <v>0</v>
      </c>
      <c r="D13" s="70">
        <v>1</v>
      </c>
      <c r="E13" s="70">
        <v>0</v>
      </c>
      <c r="F13" s="204">
        <v>15</v>
      </c>
      <c r="G13" s="201">
        <v>0</v>
      </c>
      <c r="H13" s="202">
        <v>0</v>
      </c>
      <c r="I13" s="202">
        <v>774.36300000000006</v>
      </c>
      <c r="J13" s="202">
        <v>0</v>
      </c>
      <c r="K13" s="203">
        <v>1624.9</v>
      </c>
    </row>
    <row r="14" spans="1:11">
      <c r="A14" s="199">
        <v>1995</v>
      </c>
      <c r="B14" s="205">
        <v>0</v>
      </c>
      <c r="C14" s="70">
        <v>0</v>
      </c>
      <c r="D14" s="70">
        <v>0</v>
      </c>
      <c r="E14" s="70">
        <v>0</v>
      </c>
      <c r="F14" s="204">
        <v>27</v>
      </c>
      <c r="G14" s="201">
        <v>0</v>
      </c>
      <c r="H14" s="202">
        <v>0</v>
      </c>
      <c r="I14" s="202">
        <v>0</v>
      </c>
      <c r="J14" s="202">
        <v>0</v>
      </c>
      <c r="K14" s="203">
        <v>4960.7820000000002</v>
      </c>
    </row>
    <row r="15" spans="1:11">
      <c r="A15" s="199">
        <v>1996</v>
      </c>
      <c r="B15" s="205">
        <v>0</v>
      </c>
      <c r="C15" s="70">
        <v>0</v>
      </c>
      <c r="D15" s="70">
        <v>0</v>
      </c>
      <c r="E15" s="70">
        <v>1</v>
      </c>
      <c r="F15" s="204">
        <v>16</v>
      </c>
      <c r="G15" s="201">
        <v>0</v>
      </c>
      <c r="H15" s="202">
        <v>0</v>
      </c>
      <c r="I15" s="202">
        <v>0</v>
      </c>
      <c r="J15" s="202">
        <v>207.4</v>
      </c>
      <c r="K15" s="203">
        <v>5280.37</v>
      </c>
    </row>
    <row r="16" spans="1:11">
      <c r="A16" s="199">
        <v>1997</v>
      </c>
      <c r="B16" s="205">
        <v>0</v>
      </c>
      <c r="C16" s="70">
        <v>2</v>
      </c>
      <c r="D16" s="70">
        <v>0</v>
      </c>
      <c r="E16" s="70">
        <v>2</v>
      </c>
      <c r="F16" s="204">
        <v>21</v>
      </c>
      <c r="G16" s="201">
        <v>0</v>
      </c>
      <c r="H16" s="202">
        <v>613.779</v>
      </c>
      <c r="I16" s="202">
        <v>0</v>
      </c>
      <c r="J16" s="202">
        <v>310</v>
      </c>
      <c r="K16" s="203">
        <v>5128.6689999999999</v>
      </c>
    </row>
    <row r="17" spans="1:11">
      <c r="A17" s="199">
        <v>1998</v>
      </c>
      <c r="B17" s="205">
        <v>0</v>
      </c>
      <c r="C17" s="70">
        <v>5</v>
      </c>
      <c r="D17" s="70">
        <v>1</v>
      </c>
      <c r="E17" s="70">
        <v>0</v>
      </c>
      <c r="F17" s="204">
        <v>43</v>
      </c>
      <c r="G17" s="201">
        <v>0</v>
      </c>
      <c r="H17" s="202">
        <v>1444</v>
      </c>
      <c r="I17" s="202">
        <v>200</v>
      </c>
      <c r="J17" s="202">
        <v>0</v>
      </c>
      <c r="K17" s="203">
        <v>11241.397999999999</v>
      </c>
    </row>
    <row r="18" spans="1:11">
      <c r="A18" s="199">
        <v>1999</v>
      </c>
      <c r="B18" s="205">
        <v>0</v>
      </c>
      <c r="C18" s="70">
        <v>8</v>
      </c>
      <c r="D18" s="70">
        <v>9</v>
      </c>
      <c r="E18" s="70">
        <v>7</v>
      </c>
      <c r="F18" s="204">
        <v>77</v>
      </c>
      <c r="G18" s="201">
        <v>0</v>
      </c>
      <c r="H18" s="202">
        <v>4339.4380000000001</v>
      </c>
      <c r="I18" s="202">
        <v>4012.14</v>
      </c>
      <c r="J18" s="202">
        <v>1907.93</v>
      </c>
      <c r="K18" s="203">
        <v>30844.881000000001</v>
      </c>
    </row>
    <row r="19" spans="1:11">
      <c r="A19" s="199">
        <v>2000</v>
      </c>
      <c r="B19" s="205">
        <v>0</v>
      </c>
      <c r="C19" s="70">
        <v>2</v>
      </c>
      <c r="D19" s="70">
        <v>3</v>
      </c>
      <c r="E19" s="70">
        <v>2</v>
      </c>
      <c r="F19" s="204">
        <v>117</v>
      </c>
      <c r="G19" s="201">
        <v>0</v>
      </c>
      <c r="H19" s="202">
        <v>3968.4879999999998</v>
      </c>
      <c r="I19" s="202">
        <v>712.77099999999996</v>
      </c>
      <c r="J19" s="202">
        <v>238.12299999999999</v>
      </c>
      <c r="K19" s="203">
        <v>54074.385999999999</v>
      </c>
    </row>
    <row r="20" spans="1:11">
      <c r="A20" s="199">
        <v>2001</v>
      </c>
      <c r="B20" s="205">
        <v>3</v>
      </c>
      <c r="C20" s="70">
        <v>15</v>
      </c>
      <c r="D20" s="70">
        <v>16</v>
      </c>
      <c r="E20" s="70">
        <v>6</v>
      </c>
      <c r="F20" s="204">
        <v>147</v>
      </c>
      <c r="G20" s="201">
        <v>2443.6819999999998</v>
      </c>
      <c r="H20" s="202">
        <v>7832.3689999999997</v>
      </c>
      <c r="I20" s="202">
        <v>10635.243</v>
      </c>
      <c r="J20" s="202">
        <v>1909</v>
      </c>
      <c r="K20" s="203">
        <v>116220.575</v>
      </c>
    </row>
    <row r="21" spans="1:11">
      <c r="A21" s="199">
        <v>2002</v>
      </c>
      <c r="B21" s="205">
        <v>0</v>
      </c>
      <c r="C21" s="70">
        <v>2</v>
      </c>
      <c r="D21" s="70">
        <v>26</v>
      </c>
      <c r="E21" s="70">
        <v>14</v>
      </c>
      <c r="F21" s="204">
        <v>97</v>
      </c>
      <c r="G21" s="201">
        <v>0</v>
      </c>
      <c r="H21" s="202">
        <v>1841.8130000000001</v>
      </c>
      <c r="I21" s="202">
        <v>47385.364000000001</v>
      </c>
      <c r="J21" s="202">
        <v>7755.2510000000002</v>
      </c>
      <c r="K21" s="203">
        <v>143803.49400000001</v>
      </c>
    </row>
    <row r="22" spans="1:11">
      <c r="A22" s="199">
        <v>2003</v>
      </c>
      <c r="B22" s="205">
        <v>0</v>
      </c>
      <c r="C22" s="70">
        <v>2</v>
      </c>
      <c r="D22" s="70">
        <v>7</v>
      </c>
      <c r="E22" s="70">
        <v>11</v>
      </c>
      <c r="F22" s="204">
        <v>62</v>
      </c>
      <c r="G22" s="201">
        <v>0</v>
      </c>
      <c r="H22" s="202">
        <v>550.45600000000002</v>
      </c>
      <c r="I22" s="202">
        <v>3295.7719999999999</v>
      </c>
      <c r="J22" s="202">
        <v>4152.2629999999999</v>
      </c>
      <c r="K22" s="203">
        <v>38260.65</v>
      </c>
    </row>
    <row r="23" spans="1:11">
      <c r="A23" s="199">
        <v>2004</v>
      </c>
      <c r="B23" s="205">
        <v>1</v>
      </c>
      <c r="C23" s="70">
        <v>0</v>
      </c>
      <c r="D23" s="70">
        <v>6</v>
      </c>
      <c r="E23" s="70">
        <v>0</v>
      </c>
      <c r="F23" s="204">
        <v>31</v>
      </c>
      <c r="G23" s="201">
        <v>183</v>
      </c>
      <c r="H23" s="202">
        <v>0</v>
      </c>
      <c r="I23" s="202">
        <v>2521.085</v>
      </c>
      <c r="J23" s="202">
        <v>365.72</v>
      </c>
      <c r="K23" s="203">
        <v>12937.994000000001</v>
      </c>
    </row>
    <row r="24" spans="1:11">
      <c r="A24" s="199">
        <v>2005</v>
      </c>
      <c r="B24" s="205">
        <v>0</v>
      </c>
      <c r="C24" s="70">
        <v>0</v>
      </c>
      <c r="D24" s="70">
        <v>1</v>
      </c>
      <c r="E24" s="70">
        <v>1</v>
      </c>
      <c r="F24" s="204">
        <v>30</v>
      </c>
      <c r="G24" s="201">
        <v>0</v>
      </c>
      <c r="H24" s="202">
        <v>0</v>
      </c>
      <c r="I24" s="202">
        <v>207.43100000000001</v>
      </c>
      <c r="J24" s="202">
        <v>100</v>
      </c>
      <c r="K24" s="203">
        <v>40215.17</v>
      </c>
    </row>
    <row r="25" spans="1:11">
      <c r="A25" s="199">
        <v>2006</v>
      </c>
      <c r="B25" s="205">
        <v>0</v>
      </c>
      <c r="C25" s="70">
        <v>0</v>
      </c>
      <c r="D25" s="70">
        <v>7</v>
      </c>
      <c r="E25" s="70">
        <v>2</v>
      </c>
      <c r="F25" s="204">
        <v>22</v>
      </c>
      <c r="G25" s="201">
        <v>0</v>
      </c>
      <c r="H25" s="202">
        <v>0</v>
      </c>
      <c r="I25" s="202">
        <v>1601.383</v>
      </c>
      <c r="J25" s="202">
        <v>167.03</v>
      </c>
      <c r="K25" s="203">
        <v>8619.6620000000003</v>
      </c>
    </row>
    <row r="26" spans="1:11">
      <c r="A26" s="199">
        <v>2007</v>
      </c>
      <c r="B26" s="205">
        <v>0</v>
      </c>
      <c r="C26" s="70">
        <v>0</v>
      </c>
      <c r="D26" s="70">
        <v>3</v>
      </c>
      <c r="E26" s="70">
        <v>0</v>
      </c>
      <c r="F26" s="204">
        <v>15</v>
      </c>
      <c r="G26" s="201">
        <v>0</v>
      </c>
      <c r="H26" s="202">
        <v>0</v>
      </c>
      <c r="I26" s="202">
        <v>771.322</v>
      </c>
      <c r="J26" s="202">
        <v>0</v>
      </c>
      <c r="K26" s="203">
        <v>5967.1319999999996</v>
      </c>
    </row>
    <row r="27" spans="1:11">
      <c r="A27" s="199">
        <v>2008</v>
      </c>
      <c r="B27" s="205">
        <v>0</v>
      </c>
      <c r="C27" s="70">
        <v>3</v>
      </c>
      <c r="D27" s="70">
        <v>12</v>
      </c>
      <c r="E27" s="70">
        <v>2</v>
      </c>
      <c r="F27" s="204">
        <v>86</v>
      </c>
      <c r="G27" s="201">
        <v>0</v>
      </c>
      <c r="H27" s="201">
        <v>625.01800000000003</v>
      </c>
      <c r="I27" s="201">
        <v>53374.457000000002</v>
      </c>
      <c r="J27" s="202">
        <v>555.46699999999998</v>
      </c>
      <c r="K27" s="203">
        <v>226361.204</v>
      </c>
    </row>
    <row r="28" spans="1:11">
      <c r="A28" s="199">
        <v>2009</v>
      </c>
      <c r="B28" s="205">
        <v>1</v>
      </c>
      <c r="C28" s="70">
        <v>17</v>
      </c>
      <c r="D28" s="70">
        <v>34</v>
      </c>
      <c r="E28" s="70">
        <v>10</v>
      </c>
      <c r="F28" s="204">
        <v>204</v>
      </c>
      <c r="G28" s="201">
        <v>650</v>
      </c>
      <c r="H28" s="202">
        <v>7072.5349999999999</v>
      </c>
      <c r="I28" s="202">
        <v>28009.544000000002</v>
      </c>
      <c r="J28" s="202">
        <v>3030.8220000000001</v>
      </c>
      <c r="K28" s="203">
        <v>291350.03499999997</v>
      </c>
    </row>
    <row r="29" spans="1:11">
      <c r="A29" s="199">
        <v>2010</v>
      </c>
      <c r="B29" s="205">
        <v>0</v>
      </c>
      <c r="C29" s="70">
        <v>2</v>
      </c>
      <c r="D29" s="70">
        <v>9</v>
      </c>
      <c r="E29" s="70">
        <v>2</v>
      </c>
      <c r="F29" s="204">
        <v>45</v>
      </c>
      <c r="G29" s="201">
        <v>0</v>
      </c>
      <c r="H29" s="202">
        <v>6290.1660000000002</v>
      </c>
      <c r="I29" s="202">
        <v>9119.3359999999993</v>
      </c>
      <c r="J29" s="202">
        <v>487.00200000000001</v>
      </c>
      <c r="K29" s="203">
        <v>23554.388999999999</v>
      </c>
    </row>
    <row r="30" spans="1:11">
      <c r="A30" s="199">
        <v>2011</v>
      </c>
      <c r="B30" s="205">
        <v>0</v>
      </c>
      <c r="C30" s="70">
        <v>0</v>
      </c>
      <c r="D30" s="70">
        <v>12</v>
      </c>
      <c r="E30" s="70">
        <v>1</v>
      </c>
      <c r="F30" s="204">
        <v>25</v>
      </c>
      <c r="G30" s="201">
        <v>0</v>
      </c>
      <c r="H30" s="202">
        <v>3.9350000000000001</v>
      </c>
      <c r="I30" s="202">
        <v>10046.528</v>
      </c>
      <c r="J30" s="202">
        <v>358</v>
      </c>
      <c r="K30" s="203">
        <v>25587.54</v>
      </c>
    </row>
    <row r="31" spans="1:11">
      <c r="A31" s="199">
        <v>2012</v>
      </c>
      <c r="B31" s="205">
        <v>1</v>
      </c>
      <c r="C31" s="70">
        <v>0</v>
      </c>
      <c r="D31" s="70">
        <v>12</v>
      </c>
      <c r="E31" s="70">
        <v>4</v>
      </c>
      <c r="F31" s="204">
        <v>46</v>
      </c>
      <c r="G31" s="201">
        <v>47.945</v>
      </c>
      <c r="H31" s="202">
        <v>0</v>
      </c>
      <c r="I31" s="202">
        <v>16749.842000000001</v>
      </c>
      <c r="J31" s="202">
        <v>3016.0320000000002</v>
      </c>
      <c r="K31" s="203">
        <v>29480.816999999999</v>
      </c>
    </row>
    <row r="32" spans="1:11">
      <c r="A32" s="206">
        <v>2013</v>
      </c>
      <c r="B32" s="241">
        <v>0</v>
      </c>
      <c r="C32" s="207">
        <v>2</v>
      </c>
      <c r="D32" s="207">
        <v>23</v>
      </c>
      <c r="E32" s="207">
        <v>8</v>
      </c>
      <c r="F32" s="208">
        <v>33</v>
      </c>
      <c r="G32" s="209">
        <v>0</v>
      </c>
      <c r="H32" s="210">
        <v>546.19000000000005</v>
      </c>
      <c r="I32" s="210">
        <v>23834.187000000002</v>
      </c>
      <c r="J32" s="210">
        <v>8669.32</v>
      </c>
      <c r="K32" s="211">
        <v>21511.785</v>
      </c>
    </row>
  </sheetData>
  <mergeCells count="2">
    <mergeCell ref="B3:F3"/>
    <mergeCell ref="G3:K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workbookViewId="0"/>
  </sheetViews>
  <sheetFormatPr defaultRowHeight="15"/>
  <cols>
    <col min="1" max="1" width="44.7109375" style="10" customWidth="1"/>
    <col min="2" max="2" width="19.28515625" style="10" bestFit="1" customWidth="1"/>
    <col min="3" max="8" width="9.5703125" style="10" customWidth="1"/>
    <col min="9" max="16384" width="9.140625" style="10"/>
  </cols>
  <sheetData>
    <row r="1" spans="1:8">
      <c r="A1" s="79" t="s">
        <v>327</v>
      </c>
    </row>
    <row r="2" spans="1:8">
      <c r="A2" s="79"/>
    </row>
    <row r="3" spans="1:8">
      <c r="A3" s="23"/>
      <c r="B3" s="200"/>
      <c r="C3" s="212" t="s">
        <v>179</v>
      </c>
      <c r="D3" s="213"/>
      <c r="E3" s="212" t="s">
        <v>180</v>
      </c>
      <c r="F3" s="214"/>
      <c r="G3" s="214"/>
      <c r="H3" s="213"/>
    </row>
    <row r="4" spans="1:8">
      <c r="A4" s="24" t="s">
        <v>144</v>
      </c>
      <c r="B4" s="215" t="s">
        <v>146</v>
      </c>
      <c r="C4" s="216" t="s">
        <v>181</v>
      </c>
      <c r="D4" s="32" t="s">
        <v>182</v>
      </c>
      <c r="E4" s="217" t="s">
        <v>183</v>
      </c>
      <c r="F4" s="217" t="s">
        <v>184</v>
      </c>
      <c r="G4" s="217" t="s">
        <v>185</v>
      </c>
      <c r="H4" s="32" t="s">
        <v>186</v>
      </c>
    </row>
    <row r="5" spans="1:8">
      <c r="A5" s="25" t="s">
        <v>231</v>
      </c>
      <c r="B5" s="69" t="s">
        <v>189</v>
      </c>
      <c r="C5" s="26" t="s">
        <v>172</v>
      </c>
      <c r="D5" s="28" t="s">
        <v>172</v>
      </c>
      <c r="E5" s="27" t="s">
        <v>172</v>
      </c>
      <c r="F5" s="27">
        <v>0.88749999999999996</v>
      </c>
      <c r="G5" s="27" t="s">
        <v>172</v>
      </c>
      <c r="H5" s="28" t="s">
        <v>172</v>
      </c>
    </row>
    <row r="6" spans="1:8">
      <c r="A6" s="25" t="s">
        <v>233</v>
      </c>
      <c r="B6" s="69" t="s">
        <v>188</v>
      </c>
      <c r="C6" s="26" t="s">
        <v>172</v>
      </c>
      <c r="D6" s="28" t="s">
        <v>172</v>
      </c>
      <c r="E6" s="27">
        <v>0.54500000000000004</v>
      </c>
      <c r="F6" s="27" t="s">
        <v>172</v>
      </c>
      <c r="G6" s="27" t="s">
        <v>172</v>
      </c>
      <c r="H6" s="28" t="s">
        <v>172</v>
      </c>
    </row>
    <row r="7" spans="1:8">
      <c r="A7" s="25" t="s">
        <v>236</v>
      </c>
      <c r="B7" s="69" t="s">
        <v>188</v>
      </c>
      <c r="C7" s="26" t="s">
        <v>172</v>
      </c>
      <c r="D7" s="28" t="s">
        <v>172</v>
      </c>
      <c r="E7" s="27">
        <v>0.2283</v>
      </c>
      <c r="F7" s="27" t="s">
        <v>172</v>
      </c>
      <c r="G7" s="27" t="s">
        <v>172</v>
      </c>
      <c r="H7" s="28" t="s">
        <v>172</v>
      </c>
    </row>
    <row r="8" spans="1:8">
      <c r="A8" s="25" t="s">
        <v>238</v>
      </c>
      <c r="B8" s="69" t="s">
        <v>189</v>
      </c>
      <c r="C8" s="26" t="s">
        <v>172</v>
      </c>
      <c r="D8" s="28" t="s">
        <v>172</v>
      </c>
      <c r="E8" s="27" t="s">
        <v>172</v>
      </c>
      <c r="F8" s="27">
        <v>0.77032999999999996</v>
      </c>
      <c r="G8" s="27" t="s">
        <v>172</v>
      </c>
      <c r="H8" s="28" t="s">
        <v>172</v>
      </c>
    </row>
    <row r="9" spans="1:8">
      <c r="A9" s="55" t="s">
        <v>361</v>
      </c>
      <c r="B9" s="69" t="s">
        <v>189</v>
      </c>
      <c r="C9" s="26" t="s">
        <v>172</v>
      </c>
      <c r="D9" s="28" t="s">
        <v>172</v>
      </c>
      <c r="E9" s="27" t="s">
        <v>172</v>
      </c>
      <c r="F9" s="27" t="s">
        <v>172</v>
      </c>
      <c r="G9" s="27" t="s">
        <v>172</v>
      </c>
      <c r="H9" s="28">
        <v>0.1875</v>
      </c>
    </row>
    <row r="10" spans="1:8">
      <c r="A10" s="55" t="s">
        <v>362</v>
      </c>
      <c r="B10" s="69" t="s">
        <v>189</v>
      </c>
      <c r="C10" s="26" t="s">
        <v>172</v>
      </c>
      <c r="D10" s="28" t="s">
        <v>172</v>
      </c>
      <c r="E10" s="27" t="s">
        <v>172</v>
      </c>
      <c r="F10" s="27" t="s">
        <v>172</v>
      </c>
      <c r="G10" s="27" t="s">
        <v>172</v>
      </c>
      <c r="H10" s="28">
        <v>0.37525999999999998</v>
      </c>
    </row>
    <row r="11" spans="1:8">
      <c r="A11" s="55" t="s">
        <v>363</v>
      </c>
      <c r="B11" s="69" t="s">
        <v>189</v>
      </c>
      <c r="C11" s="26" t="s">
        <v>172</v>
      </c>
      <c r="D11" s="28" t="s">
        <v>172</v>
      </c>
      <c r="E11" s="27" t="s">
        <v>172</v>
      </c>
      <c r="F11" s="27">
        <v>0.78500000000000003</v>
      </c>
      <c r="G11" s="27" t="s">
        <v>172</v>
      </c>
      <c r="H11" s="28" t="s">
        <v>172</v>
      </c>
    </row>
    <row r="12" spans="1:8">
      <c r="A12" s="25" t="s">
        <v>246</v>
      </c>
      <c r="B12" s="69" t="s">
        <v>189</v>
      </c>
      <c r="C12" s="26" t="s">
        <v>172</v>
      </c>
      <c r="D12" s="28" t="s">
        <v>172</v>
      </c>
      <c r="E12" s="27" t="s">
        <v>172</v>
      </c>
      <c r="F12" s="27" t="s">
        <v>172</v>
      </c>
      <c r="G12" s="27" t="s">
        <v>172</v>
      </c>
      <c r="H12" s="28">
        <v>0.43864999999999998</v>
      </c>
    </row>
    <row r="13" spans="1:8">
      <c r="A13" s="25" t="s">
        <v>247</v>
      </c>
      <c r="B13" s="69" t="s">
        <v>189</v>
      </c>
      <c r="C13" s="26">
        <v>0.74019000000000001</v>
      </c>
      <c r="D13" s="28" t="s">
        <v>172</v>
      </c>
      <c r="E13" s="27">
        <v>0.43874999999999997</v>
      </c>
      <c r="F13" s="27">
        <v>0.10625</v>
      </c>
      <c r="G13" s="27">
        <v>0.01</v>
      </c>
      <c r="H13" s="28" t="s">
        <v>172</v>
      </c>
    </row>
    <row r="14" spans="1:8">
      <c r="A14" s="25" t="s">
        <v>249</v>
      </c>
      <c r="B14" s="69" t="s">
        <v>188</v>
      </c>
      <c r="C14" s="26" t="s">
        <v>172</v>
      </c>
      <c r="D14" s="28" t="s">
        <v>172</v>
      </c>
      <c r="E14" s="27">
        <v>0.79500000000000004</v>
      </c>
      <c r="F14" s="27">
        <v>0.215</v>
      </c>
      <c r="G14" s="27" t="s">
        <v>172</v>
      </c>
      <c r="H14" s="28" t="s">
        <v>172</v>
      </c>
    </row>
    <row r="15" spans="1:8">
      <c r="A15" s="25" t="s">
        <v>251</v>
      </c>
      <c r="B15" s="69" t="s">
        <v>189</v>
      </c>
      <c r="C15" s="26" t="s">
        <v>172</v>
      </c>
      <c r="D15" s="28" t="s">
        <v>172</v>
      </c>
      <c r="E15" s="27">
        <v>0.91</v>
      </c>
      <c r="F15" s="27">
        <v>0.87</v>
      </c>
      <c r="G15" s="27" t="s">
        <v>172</v>
      </c>
      <c r="H15" s="28" t="s">
        <v>172</v>
      </c>
    </row>
    <row r="16" spans="1:8">
      <c r="A16" s="25" t="s">
        <v>159</v>
      </c>
      <c r="B16" s="69" t="s">
        <v>188</v>
      </c>
      <c r="C16" s="26" t="s">
        <v>172</v>
      </c>
      <c r="D16" s="28" t="s">
        <v>172</v>
      </c>
      <c r="E16" s="27">
        <v>0.505</v>
      </c>
      <c r="F16" s="27" t="s">
        <v>172</v>
      </c>
      <c r="G16" s="27" t="s">
        <v>172</v>
      </c>
      <c r="H16" s="28" t="s">
        <v>172</v>
      </c>
    </row>
    <row r="17" spans="1:8">
      <c r="A17" s="25" t="s">
        <v>253</v>
      </c>
      <c r="B17" s="69" t="s">
        <v>188</v>
      </c>
      <c r="C17" s="26" t="s">
        <v>172</v>
      </c>
      <c r="D17" s="28" t="s">
        <v>172</v>
      </c>
      <c r="E17" s="27" t="s">
        <v>172</v>
      </c>
      <c r="F17" s="27">
        <v>0.51500000000000001</v>
      </c>
      <c r="G17" s="27" t="s">
        <v>172</v>
      </c>
      <c r="H17" s="28" t="s">
        <v>172</v>
      </c>
    </row>
    <row r="18" spans="1:8">
      <c r="A18" s="205" t="s">
        <v>255</v>
      </c>
      <c r="B18" s="69" t="s">
        <v>188</v>
      </c>
      <c r="C18" s="26" t="s">
        <v>172</v>
      </c>
      <c r="D18" s="28" t="s">
        <v>172</v>
      </c>
      <c r="E18" s="27" t="s">
        <v>172</v>
      </c>
      <c r="F18" s="27">
        <v>0.34475</v>
      </c>
      <c r="G18" s="27" t="s">
        <v>172</v>
      </c>
      <c r="H18" s="28" t="s">
        <v>172</v>
      </c>
    </row>
    <row r="19" spans="1:8">
      <c r="A19" s="219" t="s">
        <v>364</v>
      </c>
      <c r="B19" s="69" t="s">
        <v>187</v>
      </c>
      <c r="C19" s="26" t="s">
        <v>172</v>
      </c>
      <c r="D19" s="28" t="s">
        <v>172</v>
      </c>
      <c r="E19" s="27" t="s">
        <v>172</v>
      </c>
      <c r="F19" s="27">
        <v>0.66949999999999998</v>
      </c>
      <c r="G19" s="27" t="s">
        <v>172</v>
      </c>
      <c r="H19" s="28">
        <v>0.3</v>
      </c>
    </row>
    <row r="20" spans="1:8">
      <c r="A20" s="205" t="s">
        <v>256</v>
      </c>
      <c r="B20" s="69" t="s">
        <v>188</v>
      </c>
      <c r="C20" s="26" t="s">
        <v>172</v>
      </c>
      <c r="D20" s="28" t="s">
        <v>172</v>
      </c>
      <c r="E20" s="27" t="s">
        <v>172</v>
      </c>
      <c r="F20" s="27">
        <v>0.185</v>
      </c>
      <c r="G20" s="27" t="s">
        <v>172</v>
      </c>
      <c r="H20" s="28" t="s">
        <v>172</v>
      </c>
    </row>
    <row r="21" spans="1:8">
      <c r="A21" s="205" t="s">
        <v>163</v>
      </c>
      <c r="B21" s="69" t="s">
        <v>187</v>
      </c>
      <c r="C21" s="26">
        <v>0.72108000000000005</v>
      </c>
      <c r="D21" s="28" t="s">
        <v>172</v>
      </c>
      <c r="E21" s="27" t="s">
        <v>172</v>
      </c>
      <c r="F21" s="27" t="s">
        <v>172</v>
      </c>
      <c r="G21" s="27" t="s">
        <v>172</v>
      </c>
      <c r="H21" s="28" t="s">
        <v>172</v>
      </c>
    </row>
    <row r="22" spans="1:8">
      <c r="A22" s="205" t="s">
        <v>164</v>
      </c>
      <c r="B22" s="69" t="s">
        <v>187</v>
      </c>
      <c r="C22" s="26">
        <v>0.77700000000000002</v>
      </c>
      <c r="D22" s="28" t="s">
        <v>172</v>
      </c>
      <c r="E22" s="27" t="s">
        <v>172</v>
      </c>
      <c r="F22" s="27" t="s">
        <v>172</v>
      </c>
      <c r="G22" s="27" t="s">
        <v>172</v>
      </c>
      <c r="H22" s="28" t="s">
        <v>172</v>
      </c>
    </row>
    <row r="23" spans="1:8">
      <c r="A23" s="205" t="s">
        <v>165</v>
      </c>
      <c r="B23" s="69" t="s">
        <v>187</v>
      </c>
      <c r="C23" s="26" t="s">
        <v>172</v>
      </c>
      <c r="D23" s="28" t="s">
        <v>172</v>
      </c>
      <c r="E23" s="27" t="s">
        <v>172</v>
      </c>
      <c r="F23" s="27" t="s">
        <v>172</v>
      </c>
      <c r="G23" s="27">
        <v>0.46</v>
      </c>
      <c r="H23" s="28" t="s">
        <v>172</v>
      </c>
    </row>
    <row r="24" spans="1:8">
      <c r="A24" s="205" t="s">
        <v>166</v>
      </c>
      <c r="B24" s="69" t="s">
        <v>189</v>
      </c>
      <c r="C24" s="26" t="s">
        <v>172</v>
      </c>
      <c r="D24" s="28" t="s">
        <v>172</v>
      </c>
      <c r="E24" s="27">
        <v>1.1150500000000001</v>
      </c>
      <c r="F24" s="27">
        <v>0.94499999999999995</v>
      </c>
      <c r="G24" s="27" t="s">
        <v>172</v>
      </c>
      <c r="H24" s="28" t="s">
        <v>172</v>
      </c>
    </row>
    <row r="25" spans="1:8">
      <c r="A25" s="205" t="s">
        <v>257</v>
      </c>
      <c r="B25" s="69" t="s">
        <v>189</v>
      </c>
      <c r="C25" s="26" t="s">
        <v>172</v>
      </c>
      <c r="D25" s="28" t="s">
        <v>172</v>
      </c>
      <c r="E25" s="27">
        <v>1.0938000000000001</v>
      </c>
      <c r="F25" s="27" t="s">
        <v>172</v>
      </c>
      <c r="G25" s="27" t="s">
        <v>172</v>
      </c>
      <c r="H25" s="28" t="s">
        <v>172</v>
      </c>
    </row>
    <row r="26" spans="1:8">
      <c r="A26" s="205" t="s">
        <v>258</v>
      </c>
      <c r="B26" s="69" t="s">
        <v>188</v>
      </c>
      <c r="C26" s="26">
        <v>0.96575</v>
      </c>
      <c r="D26" s="28">
        <v>0.95</v>
      </c>
      <c r="E26" s="27" t="s">
        <v>172</v>
      </c>
      <c r="F26" s="27" t="s">
        <v>172</v>
      </c>
      <c r="G26" s="27" t="s">
        <v>172</v>
      </c>
      <c r="H26" s="28" t="s">
        <v>172</v>
      </c>
    </row>
    <row r="27" spans="1:8">
      <c r="A27" s="25" t="s">
        <v>323</v>
      </c>
      <c r="B27" s="69" t="s">
        <v>188</v>
      </c>
      <c r="C27" s="26">
        <v>0.79500000000000004</v>
      </c>
      <c r="D27" s="28" t="s">
        <v>172</v>
      </c>
      <c r="E27" s="27" t="s">
        <v>172</v>
      </c>
      <c r="F27" s="27">
        <v>7.4999999999999997E-2</v>
      </c>
      <c r="G27" s="27" t="s">
        <v>172</v>
      </c>
      <c r="H27" s="28" t="s">
        <v>172</v>
      </c>
    </row>
    <row r="28" spans="1:8">
      <c r="A28" s="25" t="s">
        <v>260</v>
      </c>
      <c r="B28" s="69" t="s">
        <v>187</v>
      </c>
      <c r="C28" s="26" t="s">
        <v>172</v>
      </c>
      <c r="D28" s="28" t="s">
        <v>172</v>
      </c>
      <c r="E28" s="27">
        <v>0.5958</v>
      </c>
      <c r="F28" s="27" t="s">
        <v>172</v>
      </c>
      <c r="G28" s="27">
        <v>0.109</v>
      </c>
      <c r="H28" s="28" t="s">
        <v>172</v>
      </c>
    </row>
    <row r="29" spans="1:8">
      <c r="A29" s="25" t="s">
        <v>261</v>
      </c>
      <c r="B29" s="69" t="s">
        <v>187</v>
      </c>
      <c r="C29" s="26">
        <v>0.39750000000000002</v>
      </c>
      <c r="D29" s="28" t="s">
        <v>172</v>
      </c>
      <c r="E29" s="27" t="s">
        <v>172</v>
      </c>
      <c r="F29" s="27" t="s">
        <v>172</v>
      </c>
      <c r="G29" s="27" t="s">
        <v>172</v>
      </c>
      <c r="H29" s="28" t="s">
        <v>172</v>
      </c>
    </row>
    <row r="30" spans="1:8">
      <c r="A30" s="25" t="s">
        <v>262</v>
      </c>
      <c r="B30" s="69" t="s">
        <v>188</v>
      </c>
      <c r="C30" s="26">
        <v>0.95</v>
      </c>
      <c r="D30" s="28" t="s">
        <v>172</v>
      </c>
      <c r="E30" s="27">
        <v>0.54800000000000004</v>
      </c>
      <c r="F30" s="27" t="s">
        <v>172</v>
      </c>
      <c r="G30" s="27" t="s">
        <v>172</v>
      </c>
      <c r="H30" s="28" t="s">
        <v>172</v>
      </c>
    </row>
    <row r="31" spans="1:8">
      <c r="A31" s="25" t="s">
        <v>263</v>
      </c>
      <c r="B31" s="69" t="s">
        <v>187</v>
      </c>
      <c r="C31" s="26" t="s">
        <v>172</v>
      </c>
      <c r="D31" s="28" t="s">
        <v>172</v>
      </c>
      <c r="E31" s="27">
        <v>0.54749999999999999</v>
      </c>
      <c r="F31" s="27">
        <v>9.3799999999999994E-2</v>
      </c>
      <c r="G31" s="27" t="s">
        <v>172</v>
      </c>
      <c r="H31" s="28" t="s">
        <v>172</v>
      </c>
    </row>
    <row r="32" spans="1:8">
      <c r="A32" s="25" t="s">
        <v>264</v>
      </c>
      <c r="B32" s="69" t="s">
        <v>188</v>
      </c>
      <c r="C32" s="26" t="s">
        <v>172</v>
      </c>
      <c r="D32" s="28" t="s">
        <v>172</v>
      </c>
      <c r="E32" s="27">
        <v>0.35</v>
      </c>
      <c r="F32" s="27" t="s">
        <v>172</v>
      </c>
      <c r="G32" s="27" t="s">
        <v>172</v>
      </c>
      <c r="H32" s="28" t="s">
        <v>172</v>
      </c>
    </row>
    <row r="33" spans="1:8">
      <c r="A33" s="55" t="s">
        <v>360</v>
      </c>
      <c r="B33" s="69" t="s">
        <v>187</v>
      </c>
      <c r="C33" s="26" t="s">
        <v>172</v>
      </c>
      <c r="D33" s="28" t="s">
        <v>172</v>
      </c>
      <c r="E33" s="27" t="s">
        <v>172</v>
      </c>
      <c r="F33" s="27">
        <v>0.90612999999999999</v>
      </c>
      <c r="G33" s="27" t="s">
        <v>172</v>
      </c>
      <c r="H33" s="28" t="s">
        <v>172</v>
      </c>
    </row>
    <row r="34" spans="1:8">
      <c r="A34" s="25" t="s">
        <v>324</v>
      </c>
      <c r="B34" s="69" t="s">
        <v>188</v>
      </c>
      <c r="C34" s="26" t="s">
        <v>172</v>
      </c>
      <c r="D34" s="28" t="s">
        <v>172</v>
      </c>
      <c r="E34" s="27" t="s">
        <v>172</v>
      </c>
      <c r="F34" s="27">
        <v>0.22</v>
      </c>
      <c r="G34" s="27" t="s">
        <v>172</v>
      </c>
      <c r="H34" s="28" t="s">
        <v>172</v>
      </c>
    </row>
    <row r="35" spans="1:8">
      <c r="A35" s="25" t="s">
        <v>267</v>
      </c>
      <c r="B35" s="69" t="s">
        <v>189</v>
      </c>
      <c r="C35" s="26" t="s">
        <v>172</v>
      </c>
      <c r="D35" s="28">
        <v>0.96</v>
      </c>
      <c r="E35" s="27" t="s">
        <v>172</v>
      </c>
      <c r="F35" s="27" t="s">
        <v>172</v>
      </c>
      <c r="G35" s="27" t="s">
        <v>172</v>
      </c>
      <c r="H35" s="28" t="s">
        <v>172</v>
      </c>
    </row>
    <row r="36" spans="1:8">
      <c r="A36" s="25" t="s">
        <v>269</v>
      </c>
      <c r="B36" s="69" t="s">
        <v>188</v>
      </c>
      <c r="C36" s="26">
        <v>0.68833</v>
      </c>
      <c r="D36" s="28" t="s">
        <v>172</v>
      </c>
      <c r="E36" s="27" t="s">
        <v>172</v>
      </c>
      <c r="F36" s="27" t="s">
        <v>172</v>
      </c>
      <c r="G36" s="27" t="s">
        <v>172</v>
      </c>
      <c r="H36" s="28" t="s">
        <v>172</v>
      </c>
    </row>
    <row r="37" spans="1:8">
      <c r="A37" s="25" t="s">
        <v>270</v>
      </c>
      <c r="B37" s="69" t="s">
        <v>188</v>
      </c>
      <c r="C37" s="26" t="s">
        <v>172</v>
      </c>
      <c r="D37" s="28" t="s">
        <v>172</v>
      </c>
      <c r="E37" s="27" t="s">
        <v>172</v>
      </c>
      <c r="F37" s="27">
        <v>0.57999999999999996</v>
      </c>
      <c r="G37" s="27" t="s">
        <v>172</v>
      </c>
      <c r="H37" s="28" t="s">
        <v>172</v>
      </c>
    </row>
    <row r="38" spans="1:8">
      <c r="A38" s="25" t="s">
        <v>271</v>
      </c>
      <c r="B38" s="69" t="s">
        <v>188</v>
      </c>
      <c r="C38" s="26" t="s">
        <v>172</v>
      </c>
      <c r="D38" s="28" t="s">
        <v>172</v>
      </c>
      <c r="E38" s="27">
        <v>0.44</v>
      </c>
      <c r="F38" s="27" t="s">
        <v>172</v>
      </c>
      <c r="G38" s="27" t="s">
        <v>172</v>
      </c>
      <c r="H38" s="28" t="s">
        <v>172</v>
      </c>
    </row>
    <row r="39" spans="1:8">
      <c r="A39" s="25" t="s">
        <v>274</v>
      </c>
      <c r="B39" s="69" t="s">
        <v>188</v>
      </c>
      <c r="C39" s="26" t="s">
        <v>172</v>
      </c>
      <c r="D39" s="28" t="s">
        <v>172</v>
      </c>
      <c r="E39" s="27">
        <v>0.71</v>
      </c>
      <c r="F39" s="27" t="s">
        <v>172</v>
      </c>
      <c r="G39" s="27" t="s">
        <v>172</v>
      </c>
      <c r="H39" s="28" t="s">
        <v>172</v>
      </c>
    </row>
    <row r="40" spans="1:8">
      <c r="A40" s="25" t="s">
        <v>275</v>
      </c>
      <c r="B40" s="69" t="s">
        <v>188</v>
      </c>
      <c r="C40" s="26" t="s">
        <v>172</v>
      </c>
      <c r="D40" s="28" t="s">
        <v>172</v>
      </c>
      <c r="E40" s="27">
        <v>0.75</v>
      </c>
      <c r="F40" s="27" t="s">
        <v>172</v>
      </c>
      <c r="G40" s="27" t="s">
        <v>172</v>
      </c>
      <c r="H40" s="28" t="s">
        <v>172</v>
      </c>
    </row>
    <row r="41" spans="1:8">
      <c r="A41" s="25" t="s">
        <v>276</v>
      </c>
      <c r="B41" s="69" t="s">
        <v>188</v>
      </c>
      <c r="C41" s="26" t="s">
        <v>172</v>
      </c>
      <c r="D41" s="28" t="s">
        <v>172</v>
      </c>
      <c r="E41" s="27" t="s">
        <v>172</v>
      </c>
      <c r="F41" s="27">
        <v>0.25</v>
      </c>
      <c r="G41" s="27" t="s">
        <v>172</v>
      </c>
      <c r="H41" s="28" t="s">
        <v>172</v>
      </c>
    </row>
    <row r="42" spans="1:8">
      <c r="A42" s="55" t="s">
        <v>365</v>
      </c>
      <c r="B42" s="69" t="s">
        <v>189</v>
      </c>
      <c r="C42" s="26" t="s">
        <v>172</v>
      </c>
      <c r="D42" s="28" t="s">
        <v>172</v>
      </c>
      <c r="E42" s="27" t="s">
        <v>172</v>
      </c>
      <c r="F42" s="27" t="s">
        <v>172</v>
      </c>
      <c r="G42" s="27" t="s">
        <v>172</v>
      </c>
      <c r="H42" s="28">
        <v>0.25014999999999998</v>
      </c>
    </row>
    <row r="43" spans="1:8">
      <c r="A43" s="25" t="s">
        <v>279</v>
      </c>
      <c r="B43" s="69" t="s">
        <v>188</v>
      </c>
      <c r="C43" s="26" t="s">
        <v>172</v>
      </c>
      <c r="D43" s="28" t="s">
        <v>172</v>
      </c>
      <c r="E43" s="27">
        <v>0.56499999999999995</v>
      </c>
      <c r="F43" s="27" t="s">
        <v>172</v>
      </c>
      <c r="G43" s="27" t="s">
        <v>172</v>
      </c>
      <c r="H43" s="28" t="s">
        <v>172</v>
      </c>
    </row>
    <row r="44" spans="1:8">
      <c r="A44" s="25" t="s">
        <v>283</v>
      </c>
      <c r="B44" s="69" t="s">
        <v>187</v>
      </c>
      <c r="C44" s="26" t="s">
        <v>172</v>
      </c>
      <c r="D44" s="28" t="s">
        <v>172</v>
      </c>
      <c r="E44" s="27" t="s">
        <v>172</v>
      </c>
      <c r="F44" s="27">
        <v>8.5000000000000006E-2</v>
      </c>
      <c r="G44" s="27" t="s">
        <v>172</v>
      </c>
      <c r="H44" s="28" t="s">
        <v>172</v>
      </c>
    </row>
    <row r="45" spans="1:8">
      <c r="A45" s="25" t="s">
        <v>284</v>
      </c>
      <c r="B45" s="69" t="s">
        <v>187</v>
      </c>
      <c r="C45" s="26" t="s">
        <v>172</v>
      </c>
      <c r="D45" s="28" t="s">
        <v>172</v>
      </c>
      <c r="E45" s="27">
        <v>0.45</v>
      </c>
      <c r="F45" s="27" t="s">
        <v>172</v>
      </c>
      <c r="G45" s="27" t="s">
        <v>172</v>
      </c>
      <c r="H45" s="28" t="s">
        <v>172</v>
      </c>
    </row>
    <row r="46" spans="1:8">
      <c r="A46" s="25" t="s">
        <v>285</v>
      </c>
      <c r="B46" s="69" t="s">
        <v>187</v>
      </c>
      <c r="C46" s="26">
        <v>0.81</v>
      </c>
      <c r="D46" s="28" t="s">
        <v>172</v>
      </c>
      <c r="E46" s="27" t="s">
        <v>172</v>
      </c>
      <c r="F46" s="27" t="s">
        <v>172</v>
      </c>
      <c r="G46" s="27" t="s">
        <v>172</v>
      </c>
      <c r="H46" s="28" t="s">
        <v>172</v>
      </c>
    </row>
    <row r="47" spans="1:8">
      <c r="A47" s="25" t="s">
        <v>170</v>
      </c>
      <c r="B47" s="69" t="s">
        <v>188</v>
      </c>
      <c r="C47" s="26" t="s">
        <v>172</v>
      </c>
      <c r="D47" s="28" t="s">
        <v>172</v>
      </c>
      <c r="E47" s="27" t="s">
        <v>172</v>
      </c>
      <c r="F47" s="27">
        <v>0.09</v>
      </c>
      <c r="G47" s="27" t="s">
        <v>172</v>
      </c>
      <c r="H47" s="28" t="s">
        <v>172</v>
      </c>
    </row>
    <row r="48" spans="1:8">
      <c r="A48" s="25" t="s">
        <v>286</v>
      </c>
      <c r="B48" s="69" t="s">
        <v>188</v>
      </c>
      <c r="C48" s="26" t="s">
        <v>172</v>
      </c>
      <c r="D48" s="28" t="s">
        <v>172</v>
      </c>
      <c r="E48" s="27" t="s">
        <v>172</v>
      </c>
      <c r="F48" s="27">
        <v>0.55000000000000004</v>
      </c>
      <c r="G48" s="27" t="s">
        <v>172</v>
      </c>
      <c r="H48" s="28" t="s">
        <v>172</v>
      </c>
    </row>
    <row r="49" spans="1:8">
      <c r="A49" s="25" t="s">
        <v>325</v>
      </c>
      <c r="B49" s="69" t="s">
        <v>187</v>
      </c>
      <c r="C49" s="26" t="s">
        <v>172</v>
      </c>
      <c r="D49" s="28" t="s">
        <v>172</v>
      </c>
      <c r="E49" s="27" t="s">
        <v>172</v>
      </c>
      <c r="F49" s="27" t="s">
        <v>172</v>
      </c>
      <c r="G49" s="27">
        <v>0.24940000000000001</v>
      </c>
      <c r="H49" s="28">
        <v>3.8100000000000002E-2</v>
      </c>
    </row>
    <row r="50" spans="1:8">
      <c r="A50" s="25" t="s">
        <v>287</v>
      </c>
      <c r="B50" s="69" t="s">
        <v>188</v>
      </c>
      <c r="C50" s="26">
        <v>0.63666999999999996</v>
      </c>
      <c r="D50" s="28" t="s">
        <v>172</v>
      </c>
      <c r="E50" s="27" t="s">
        <v>172</v>
      </c>
      <c r="F50" s="27" t="s">
        <v>172</v>
      </c>
      <c r="G50" s="27" t="s">
        <v>172</v>
      </c>
      <c r="H50" s="28" t="s">
        <v>172</v>
      </c>
    </row>
    <row r="51" spans="1:8">
      <c r="A51" s="25" t="s">
        <v>288</v>
      </c>
      <c r="B51" s="69" t="s">
        <v>187</v>
      </c>
      <c r="C51" s="26" t="s">
        <v>172</v>
      </c>
      <c r="D51" s="28" t="s">
        <v>172</v>
      </c>
      <c r="E51" s="27">
        <v>0.38250000000000001</v>
      </c>
      <c r="F51" s="27" t="s">
        <v>172</v>
      </c>
      <c r="G51" s="27" t="s">
        <v>172</v>
      </c>
      <c r="H51" s="28" t="s">
        <v>172</v>
      </c>
    </row>
    <row r="52" spans="1:8">
      <c r="A52" s="25" t="s">
        <v>289</v>
      </c>
      <c r="B52" s="69" t="s">
        <v>188</v>
      </c>
      <c r="C52" s="26">
        <v>0.73650000000000004</v>
      </c>
      <c r="D52" s="28" t="s">
        <v>172</v>
      </c>
      <c r="E52" s="27">
        <v>7.0000000000000007E-2</v>
      </c>
      <c r="F52" s="27" t="s">
        <v>172</v>
      </c>
      <c r="G52" s="27" t="s">
        <v>172</v>
      </c>
      <c r="H52" s="28" t="s">
        <v>172</v>
      </c>
    </row>
    <row r="53" spans="1:8">
      <c r="A53" s="25" t="s">
        <v>290</v>
      </c>
      <c r="B53" s="69" t="s">
        <v>187</v>
      </c>
      <c r="C53" s="26" t="s">
        <v>172</v>
      </c>
      <c r="D53" s="28" t="s">
        <v>172</v>
      </c>
      <c r="E53" s="27">
        <v>0.74624999999999997</v>
      </c>
      <c r="F53" s="27" t="s">
        <v>172</v>
      </c>
      <c r="G53" s="27" t="s">
        <v>172</v>
      </c>
      <c r="H53" s="28" t="s">
        <v>172</v>
      </c>
    </row>
    <row r="54" spans="1:8">
      <c r="A54" s="25" t="s">
        <v>291</v>
      </c>
      <c r="B54" s="69" t="s">
        <v>187</v>
      </c>
      <c r="C54" s="26">
        <v>0.94645999999999997</v>
      </c>
      <c r="D54" s="28" t="s">
        <v>172</v>
      </c>
      <c r="E54" s="27" t="s">
        <v>172</v>
      </c>
      <c r="F54" s="27">
        <v>0.27500000000000002</v>
      </c>
      <c r="G54" s="27" t="s">
        <v>172</v>
      </c>
      <c r="H54" s="28" t="s">
        <v>172</v>
      </c>
    </row>
    <row r="55" spans="1:8">
      <c r="A55" s="25" t="s">
        <v>292</v>
      </c>
      <c r="B55" s="69" t="s">
        <v>189</v>
      </c>
      <c r="C55" s="26">
        <v>0.69438</v>
      </c>
      <c r="D55" s="28" t="s">
        <v>172</v>
      </c>
      <c r="E55" s="27" t="s">
        <v>172</v>
      </c>
      <c r="F55" s="27" t="s">
        <v>172</v>
      </c>
      <c r="G55" s="27" t="s">
        <v>172</v>
      </c>
      <c r="H55" s="28" t="s">
        <v>172</v>
      </c>
    </row>
    <row r="56" spans="1:8">
      <c r="A56" s="25" t="s">
        <v>326</v>
      </c>
      <c r="B56" s="69" t="s">
        <v>187</v>
      </c>
      <c r="C56" s="26" t="s">
        <v>172</v>
      </c>
      <c r="D56" s="28" t="s">
        <v>172</v>
      </c>
      <c r="E56" s="27" t="s">
        <v>172</v>
      </c>
      <c r="F56" s="27" t="s">
        <v>172</v>
      </c>
      <c r="G56" s="27" t="s">
        <v>172</v>
      </c>
      <c r="H56" s="28">
        <v>0.44</v>
      </c>
    </row>
    <row r="57" spans="1:8">
      <c r="A57" s="25" t="s">
        <v>293</v>
      </c>
      <c r="B57" s="69" t="s">
        <v>188</v>
      </c>
      <c r="C57" s="26">
        <v>0.29282000000000002</v>
      </c>
      <c r="D57" s="28" t="s">
        <v>172</v>
      </c>
      <c r="E57" s="27">
        <v>0.2155</v>
      </c>
      <c r="F57" s="27" t="s">
        <v>172</v>
      </c>
      <c r="G57" s="27" t="s">
        <v>172</v>
      </c>
      <c r="H57" s="28" t="s">
        <v>172</v>
      </c>
    </row>
    <row r="58" spans="1:8">
      <c r="A58" s="55" t="s">
        <v>366</v>
      </c>
      <c r="B58" s="69" t="s">
        <v>189</v>
      </c>
      <c r="C58" s="26" t="s">
        <v>172</v>
      </c>
      <c r="D58" s="28" t="s">
        <v>172</v>
      </c>
      <c r="E58" s="27" t="s">
        <v>172</v>
      </c>
      <c r="F58" s="27" t="s">
        <v>172</v>
      </c>
      <c r="G58" s="27" t="s">
        <v>172</v>
      </c>
      <c r="H58" s="28">
        <v>7.9149999999999998E-2</v>
      </c>
    </row>
    <row r="59" spans="1:8">
      <c r="A59" s="25" t="s">
        <v>298</v>
      </c>
      <c r="B59" s="69" t="s">
        <v>187</v>
      </c>
      <c r="C59" s="26">
        <v>0.74187999999999998</v>
      </c>
      <c r="D59" s="28" t="s">
        <v>172</v>
      </c>
      <c r="E59" s="27" t="s">
        <v>172</v>
      </c>
      <c r="F59" s="27" t="s">
        <v>172</v>
      </c>
      <c r="G59" s="27" t="s">
        <v>172</v>
      </c>
      <c r="H59" s="28" t="s">
        <v>172</v>
      </c>
    </row>
    <row r="60" spans="1:8">
      <c r="A60" s="25" t="s">
        <v>299</v>
      </c>
      <c r="B60" s="69" t="s">
        <v>189</v>
      </c>
      <c r="C60" s="26">
        <v>0.94625000000000004</v>
      </c>
      <c r="D60" s="28">
        <v>0.45</v>
      </c>
      <c r="E60" s="27" t="s">
        <v>172</v>
      </c>
      <c r="F60" s="27" t="s">
        <v>172</v>
      </c>
      <c r="G60" s="27" t="s">
        <v>172</v>
      </c>
      <c r="H60" s="28" t="s">
        <v>172</v>
      </c>
    </row>
    <row r="61" spans="1:8">
      <c r="A61" s="25" t="s">
        <v>300</v>
      </c>
      <c r="B61" s="69" t="s">
        <v>188</v>
      </c>
      <c r="C61" s="26">
        <v>0.92500000000000004</v>
      </c>
      <c r="D61" s="28" t="s">
        <v>172</v>
      </c>
      <c r="E61" s="27" t="s">
        <v>172</v>
      </c>
      <c r="F61" s="27" t="s">
        <v>172</v>
      </c>
      <c r="G61" s="27" t="s">
        <v>172</v>
      </c>
      <c r="H61" s="28" t="s">
        <v>172</v>
      </c>
    </row>
    <row r="62" spans="1:8">
      <c r="A62" s="25" t="s">
        <v>301</v>
      </c>
      <c r="B62" s="69" t="s">
        <v>188</v>
      </c>
      <c r="C62" s="26" t="s">
        <v>172</v>
      </c>
      <c r="D62" s="28" t="s">
        <v>172</v>
      </c>
      <c r="E62" s="27" t="s">
        <v>172</v>
      </c>
      <c r="F62" s="27">
        <v>0.19333</v>
      </c>
      <c r="G62" s="27" t="s">
        <v>172</v>
      </c>
      <c r="H62" s="28" t="s">
        <v>172</v>
      </c>
    </row>
    <row r="63" spans="1:8">
      <c r="A63" s="25" t="s">
        <v>302</v>
      </c>
      <c r="B63" s="69" t="s">
        <v>189</v>
      </c>
      <c r="C63" s="26" t="s">
        <v>172</v>
      </c>
      <c r="D63" s="28" t="s">
        <v>172</v>
      </c>
      <c r="E63" s="27" t="s">
        <v>172</v>
      </c>
      <c r="F63" s="27">
        <v>0.46750000000000003</v>
      </c>
      <c r="G63" s="27" t="s">
        <v>172</v>
      </c>
      <c r="H63" s="28" t="s">
        <v>172</v>
      </c>
    </row>
    <row r="64" spans="1:8">
      <c r="A64" s="24" t="s">
        <v>356</v>
      </c>
      <c r="B64" s="160" t="s">
        <v>187</v>
      </c>
      <c r="C64" s="216" t="s">
        <v>172</v>
      </c>
      <c r="D64" s="32" t="s">
        <v>172</v>
      </c>
      <c r="E64" s="217">
        <v>0.7</v>
      </c>
      <c r="F64" s="217" t="s">
        <v>172</v>
      </c>
      <c r="G64" s="217" t="s">
        <v>172</v>
      </c>
      <c r="H64" s="32" t="s">
        <v>172</v>
      </c>
    </row>
    <row r="65" spans="1:2">
      <c r="A65" s="218" t="s">
        <v>369</v>
      </c>
      <c r="B65" s="69"/>
    </row>
    <row r="66" spans="1:2">
      <c r="A66" s="8" t="s">
        <v>370</v>
      </c>
    </row>
    <row r="67" spans="1:2">
      <c r="A67" s="8" t="s">
        <v>371</v>
      </c>
    </row>
    <row r="68" spans="1:2">
      <c r="A68" s="8" t="s">
        <v>372</v>
      </c>
    </row>
    <row r="69" spans="1:2">
      <c r="A69" s="8" t="s">
        <v>367</v>
      </c>
    </row>
    <row r="70" spans="1:2">
      <c r="A70" s="8" t="s">
        <v>368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heetViews>
  <sheetFormatPr defaultRowHeight="15"/>
  <cols>
    <col min="1" max="1" width="9.140625" style="10"/>
    <col min="2" max="8" width="10.42578125" style="10" customWidth="1"/>
    <col min="9" max="16384" width="9.140625" style="10"/>
  </cols>
  <sheetData>
    <row r="1" spans="1:8">
      <c r="A1" s="79" t="s">
        <v>212</v>
      </c>
    </row>
    <row r="2" spans="1:8">
      <c r="A2" s="79"/>
    </row>
    <row r="3" spans="1:8">
      <c r="A3" s="220"/>
      <c r="B3" s="221" t="s">
        <v>177</v>
      </c>
      <c r="C3" s="105" t="s">
        <v>176</v>
      </c>
      <c r="D3" s="106"/>
      <c r="E3" s="106"/>
      <c r="F3" s="106"/>
      <c r="G3" s="106"/>
      <c r="H3" s="107"/>
    </row>
    <row r="4" spans="1:8">
      <c r="A4" s="222" t="s">
        <v>40</v>
      </c>
      <c r="B4" s="221" t="s">
        <v>181</v>
      </c>
      <c r="C4" s="223" t="s">
        <v>183</v>
      </c>
      <c r="D4" s="72" t="s">
        <v>184</v>
      </c>
      <c r="E4" s="72" t="s">
        <v>185</v>
      </c>
      <c r="F4" s="72" t="s">
        <v>186</v>
      </c>
      <c r="G4" s="72" t="s">
        <v>190</v>
      </c>
      <c r="H4" s="224" t="s">
        <v>191</v>
      </c>
    </row>
    <row r="5" spans="1:8">
      <c r="A5" s="225">
        <v>1982</v>
      </c>
      <c r="B5" s="226" t="s">
        <v>44</v>
      </c>
      <c r="C5" s="29">
        <v>0.72499999999999998</v>
      </c>
      <c r="D5" s="29">
        <v>0.35792000000000002</v>
      </c>
      <c r="E5" s="29">
        <v>0.48093999999999998</v>
      </c>
      <c r="F5" s="29">
        <v>0.30020999999999998</v>
      </c>
      <c r="G5" s="29" t="s">
        <v>44</v>
      </c>
      <c r="H5" s="227">
        <v>0.35316999999999998</v>
      </c>
    </row>
    <row r="6" spans="1:8">
      <c r="A6" s="225">
        <v>1983</v>
      </c>
      <c r="B6" s="226" t="s">
        <v>44</v>
      </c>
      <c r="C6" s="29">
        <v>0.4</v>
      </c>
      <c r="D6" s="29">
        <v>0.52715000000000001</v>
      </c>
      <c r="E6" s="29">
        <v>0.435</v>
      </c>
      <c r="F6" s="29">
        <v>0.41136</v>
      </c>
      <c r="G6" s="29" t="s">
        <v>44</v>
      </c>
      <c r="H6" s="227">
        <v>0.44527</v>
      </c>
    </row>
    <row r="7" spans="1:8">
      <c r="A7" s="225">
        <v>1984</v>
      </c>
      <c r="B7" s="226" t="s">
        <v>44</v>
      </c>
      <c r="C7" s="29" t="s">
        <v>44</v>
      </c>
      <c r="D7" s="29">
        <v>0.49406</v>
      </c>
      <c r="E7" s="29">
        <v>0.67874999999999996</v>
      </c>
      <c r="F7" s="29">
        <v>0.44258999999999998</v>
      </c>
      <c r="G7" s="29" t="s">
        <v>44</v>
      </c>
      <c r="H7" s="227">
        <v>0.45493</v>
      </c>
    </row>
    <row r="8" spans="1:8">
      <c r="A8" s="225">
        <v>1985</v>
      </c>
      <c r="B8" s="226" t="s">
        <v>44</v>
      </c>
      <c r="C8" s="29">
        <v>0.83625000000000005</v>
      </c>
      <c r="D8" s="29">
        <v>0.60155999999999998</v>
      </c>
      <c r="E8" s="29">
        <v>0.29625000000000001</v>
      </c>
      <c r="F8" s="29">
        <v>0.39683000000000002</v>
      </c>
      <c r="G8" s="29">
        <v>0.48499999999999999</v>
      </c>
      <c r="H8" s="227">
        <v>0.43597999999999998</v>
      </c>
    </row>
    <row r="9" spans="1:8">
      <c r="A9" s="225">
        <v>1986</v>
      </c>
      <c r="B9" s="226" t="s">
        <v>44</v>
      </c>
      <c r="C9" s="29">
        <v>0.59223999999999999</v>
      </c>
      <c r="D9" s="29">
        <v>0.51099000000000006</v>
      </c>
      <c r="E9" s="29">
        <v>0.46761999999999998</v>
      </c>
      <c r="F9" s="29">
        <v>0.41387000000000002</v>
      </c>
      <c r="G9" s="29" t="s">
        <v>44</v>
      </c>
      <c r="H9" s="227">
        <v>0.47393000000000002</v>
      </c>
    </row>
    <row r="10" spans="1:8">
      <c r="A10" s="225">
        <v>1987</v>
      </c>
      <c r="B10" s="226" t="s">
        <v>44</v>
      </c>
      <c r="C10" s="29">
        <v>0.71</v>
      </c>
      <c r="D10" s="29">
        <v>0.63751999999999998</v>
      </c>
      <c r="E10" s="29">
        <v>0.46500999999999998</v>
      </c>
      <c r="F10" s="29">
        <v>0.46884999999999999</v>
      </c>
      <c r="G10" s="29" t="s">
        <v>44</v>
      </c>
      <c r="H10" s="227">
        <v>0.51305000000000001</v>
      </c>
    </row>
    <row r="11" spans="1:8">
      <c r="A11" s="225">
        <v>1988</v>
      </c>
      <c r="B11" s="226" t="s">
        <v>44</v>
      </c>
      <c r="C11" s="29">
        <v>0.55395000000000005</v>
      </c>
      <c r="D11" s="29">
        <v>0.45239000000000001</v>
      </c>
      <c r="E11" s="29">
        <v>0.33350999999999997</v>
      </c>
      <c r="F11" s="29">
        <v>0.33771000000000001</v>
      </c>
      <c r="G11" s="29">
        <v>0.36499999999999999</v>
      </c>
      <c r="H11" s="227">
        <v>0.38766</v>
      </c>
    </row>
    <row r="12" spans="1:8">
      <c r="A12" s="225">
        <v>1989</v>
      </c>
      <c r="B12" s="226" t="s">
        <v>44</v>
      </c>
      <c r="C12" s="29">
        <v>0.46539999999999998</v>
      </c>
      <c r="D12" s="29">
        <v>0.43569000000000002</v>
      </c>
      <c r="E12" s="29">
        <v>0.35254999999999997</v>
      </c>
      <c r="F12" s="29">
        <v>0.26812999999999998</v>
      </c>
      <c r="G12" s="29">
        <v>0.16854</v>
      </c>
      <c r="H12" s="227">
        <v>0.32319999999999999</v>
      </c>
    </row>
    <row r="13" spans="1:8">
      <c r="A13" s="225">
        <v>1990</v>
      </c>
      <c r="B13" s="226">
        <v>0.72</v>
      </c>
      <c r="C13" s="29">
        <v>0.33811999999999998</v>
      </c>
      <c r="D13" s="29">
        <v>0.38162000000000001</v>
      </c>
      <c r="E13" s="29">
        <v>0.25531999999999999</v>
      </c>
      <c r="F13" s="29">
        <v>0.18940000000000001</v>
      </c>
      <c r="G13" s="29">
        <v>0.10703</v>
      </c>
      <c r="H13" s="227">
        <v>0.25568000000000002</v>
      </c>
    </row>
    <row r="14" spans="1:8">
      <c r="A14" s="225">
        <v>1991</v>
      </c>
      <c r="B14" s="226">
        <v>0.67874999999999996</v>
      </c>
      <c r="C14" s="29">
        <v>0.48386000000000001</v>
      </c>
      <c r="D14" s="29">
        <v>0.36664999999999998</v>
      </c>
      <c r="E14" s="29">
        <v>0.41821000000000003</v>
      </c>
      <c r="F14" s="29">
        <v>0.24415999999999999</v>
      </c>
      <c r="G14" s="29">
        <v>7.7920000000000003E-2</v>
      </c>
      <c r="H14" s="227">
        <v>0.35511999999999999</v>
      </c>
    </row>
    <row r="15" spans="1:8">
      <c r="A15" s="225">
        <v>1992</v>
      </c>
      <c r="B15" s="226">
        <v>0.60582999999999998</v>
      </c>
      <c r="C15" s="29">
        <v>0.62050000000000005</v>
      </c>
      <c r="D15" s="29">
        <v>0.49187999999999998</v>
      </c>
      <c r="E15" s="29">
        <v>0.49404999999999999</v>
      </c>
      <c r="F15" s="29">
        <v>0.38042999999999999</v>
      </c>
      <c r="G15" s="29">
        <v>0.13500000000000001</v>
      </c>
      <c r="H15" s="227">
        <v>0.45891999999999999</v>
      </c>
    </row>
    <row r="16" spans="1:8">
      <c r="A16" s="225">
        <v>1993</v>
      </c>
      <c r="B16" s="226">
        <v>0.53400000000000003</v>
      </c>
      <c r="C16" s="29" t="s">
        <v>44</v>
      </c>
      <c r="D16" s="29">
        <v>0.37132999999999999</v>
      </c>
      <c r="E16" s="29">
        <v>0.51910999999999996</v>
      </c>
      <c r="F16" s="29">
        <v>0.44146000000000002</v>
      </c>
      <c r="G16" s="29" t="s">
        <v>44</v>
      </c>
      <c r="H16" s="227">
        <v>0.43082999999999999</v>
      </c>
    </row>
    <row r="17" spans="1:8">
      <c r="A17" s="225">
        <v>1994</v>
      </c>
      <c r="B17" s="226">
        <v>0.67593999999999999</v>
      </c>
      <c r="C17" s="29">
        <v>0.6925</v>
      </c>
      <c r="D17" s="29">
        <v>0.53727000000000003</v>
      </c>
      <c r="E17" s="29">
        <v>0.29610999999999998</v>
      </c>
      <c r="F17" s="29">
        <v>0.38007999999999997</v>
      </c>
      <c r="G17" s="29">
        <v>0.4</v>
      </c>
      <c r="H17" s="227">
        <v>0.45572000000000001</v>
      </c>
    </row>
    <row r="18" spans="1:8">
      <c r="A18" s="225">
        <v>1995</v>
      </c>
      <c r="B18" s="226">
        <v>0.75444</v>
      </c>
      <c r="C18" s="29">
        <v>0.62017999999999995</v>
      </c>
      <c r="D18" s="29">
        <v>0.47602</v>
      </c>
      <c r="E18" s="29">
        <v>0.34300000000000003</v>
      </c>
      <c r="F18" s="29">
        <v>0.41542000000000001</v>
      </c>
      <c r="G18" s="29" t="s">
        <v>44</v>
      </c>
      <c r="H18" s="227">
        <v>0.43280000000000002</v>
      </c>
    </row>
    <row r="19" spans="1:8">
      <c r="A19" s="225">
        <v>1996</v>
      </c>
      <c r="B19" s="226">
        <v>0.85480999999999996</v>
      </c>
      <c r="C19" s="29">
        <v>0.47582999999999998</v>
      </c>
      <c r="D19" s="29">
        <v>0.62749999999999995</v>
      </c>
      <c r="E19" s="29">
        <v>0.4375</v>
      </c>
      <c r="F19" s="29">
        <v>0.22603999999999999</v>
      </c>
      <c r="G19" s="29" t="s">
        <v>44</v>
      </c>
      <c r="H19" s="227">
        <v>0.41537000000000002</v>
      </c>
    </row>
    <row r="20" spans="1:8">
      <c r="A20" s="225">
        <v>1997</v>
      </c>
      <c r="B20" s="226">
        <v>0.78749999999999998</v>
      </c>
      <c r="C20" s="29">
        <v>0.755</v>
      </c>
      <c r="D20" s="29">
        <v>0.56100000000000005</v>
      </c>
      <c r="E20" s="29">
        <v>0.44732</v>
      </c>
      <c r="F20" s="29">
        <v>0.33098</v>
      </c>
      <c r="G20" s="29">
        <v>0.30582999999999999</v>
      </c>
      <c r="H20" s="227">
        <v>0.48764000000000002</v>
      </c>
    </row>
    <row r="21" spans="1:8">
      <c r="A21" s="225">
        <v>1998</v>
      </c>
      <c r="B21" s="226">
        <v>0.56667000000000001</v>
      </c>
      <c r="C21" s="29">
        <v>0.46819</v>
      </c>
      <c r="D21" s="29">
        <v>0.39534999999999998</v>
      </c>
      <c r="E21" s="29">
        <v>0.44989000000000001</v>
      </c>
      <c r="F21" s="29">
        <v>0.18189</v>
      </c>
      <c r="G21" s="29">
        <v>0.62</v>
      </c>
      <c r="H21" s="227">
        <v>0.38303999999999999</v>
      </c>
    </row>
    <row r="22" spans="1:8">
      <c r="A22" s="225">
        <v>1999</v>
      </c>
      <c r="B22" s="226">
        <v>0.73550000000000004</v>
      </c>
      <c r="C22" s="29">
        <v>0.36013000000000001</v>
      </c>
      <c r="D22" s="29">
        <v>0.38018000000000002</v>
      </c>
      <c r="E22" s="29">
        <v>0.26912999999999998</v>
      </c>
      <c r="F22" s="29">
        <v>0.35643000000000002</v>
      </c>
      <c r="G22" s="29" t="s">
        <v>44</v>
      </c>
      <c r="H22" s="227">
        <v>0.33832000000000001</v>
      </c>
    </row>
    <row r="23" spans="1:8">
      <c r="A23" s="225">
        <v>2000</v>
      </c>
      <c r="B23" s="226">
        <v>0.68818000000000001</v>
      </c>
      <c r="C23" s="29">
        <v>0.38611000000000001</v>
      </c>
      <c r="D23" s="29">
        <v>0.24163000000000001</v>
      </c>
      <c r="E23" s="29">
        <v>0.20749999999999999</v>
      </c>
      <c r="F23" s="29">
        <v>0.31864999999999999</v>
      </c>
      <c r="G23" s="29">
        <v>7.0000000000000007E-2</v>
      </c>
      <c r="H23" s="227">
        <v>0.25141000000000002</v>
      </c>
    </row>
    <row r="24" spans="1:8">
      <c r="A24" s="225">
        <v>2001</v>
      </c>
      <c r="B24" s="226">
        <v>0.64866999999999997</v>
      </c>
      <c r="C24" s="29">
        <v>0.31735999999999998</v>
      </c>
      <c r="D24" s="29">
        <v>0.21240000000000001</v>
      </c>
      <c r="E24" s="29">
        <v>0.19814999999999999</v>
      </c>
      <c r="F24" s="29">
        <v>0.15942000000000001</v>
      </c>
      <c r="G24" s="29">
        <v>0.47</v>
      </c>
      <c r="H24" s="227">
        <v>0.21579000000000001</v>
      </c>
    </row>
    <row r="25" spans="1:8">
      <c r="A25" s="225">
        <v>2002</v>
      </c>
      <c r="B25" s="226">
        <v>0.58401000000000003</v>
      </c>
      <c r="C25" s="29">
        <v>0.50619999999999998</v>
      </c>
      <c r="D25" s="29">
        <v>0.29527999999999999</v>
      </c>
      <c r="E25" s="29">
        <v>0.21385999999999999</v>
      </c>
      <c r="F25" s="29">
        <v>0.23400000000000001</v>
      </c>
      <c r="G25" s="29" t="s">
        <v>44</v>
      </c>
      <c r="H25" s="227">
        <v>0.29666999999999999</v>
      </c>
    </row>
    <row r="26" spans="1:8">
      <c r="A26" s="225">
        <v>2003</v>
      </c>
      <c r="B26" s="226">
        <v>0.73429</v>
      </c>
      <c r="C26" s="29">
        <v>0.69198000000000004</v>
      </c>
      <c r="D26" s="29">
        <v>0.41875000000000001</v>
      </c>
      <c r="E26" s="29">
        <v>0.37180999999999997</v>
      </c>
      <c r="F26" s="29">
        <v>0.12313</v>
      </c>
      <c r="G26" s="29" t="s">
        <v>44</v>
      </c>
      <c r="H26" s="227">
        <v>0.41243999999999997</v>
      </c>
    </row>
    <row r="27" spans="1:8">
      <c r="A27" s="225">
        <v>2004</v>
      </c>
      <c r="B27" s="226">
        <v>0.87739</v>
      </c>
      <c r="C27" s="29">
        <v>0.73250000000000004</v>
      </c>
      <c r="D27" s="29">
        <v>0.52093999999999996</v>
      </c>
      <c r="E27" s="29">
        <v>0.42332999999999998</v>
      </c>
      <c r="F27" s="29">
        <v>0.94</v>
      </c>
      <c r="G27" s="29" t="s">
        <v>44</v>
      </c>
      <c r="H27" s="227">
        <v>0.58504</v>
      </c>
    </row>
    <row r="28" spans="1:8">
      <c r="A28" s="225">
        <v>2005</v>
      </c>
      <c r="B28" s="226">
        <v>0.83779000000000003</v>
      </c>
      <c r="C28" s="29">
        <v>0.71930000000000005</v>
      </c>
      <c r="D28" s="29">
        <v>0.54879</v>
      </c>
      <c r="E28" s="29">
        <v>0.32768999999999998</v>
      </c>
      <c r="F28" s="29">
        <v>0.51249999999999996</v>
      </c>
      <c r="G28" s="29" t="s">
        <v>44</v>
      </c>
      <c r="H28" s="227">
        <v>0.56520999999999999</v>
      </c>
    </row>
    <row r="29" spans="1:8">
      <c r="A29" s="225">
        <v>2006</v>
      </c>
      <c r="B29" s="226">
        <v>0.83604000000000001</v>
      </c>
      <c r="C29" s="29">
        <v>0.74633000000000005</v>
      </c>
      <c r="D29" s="29">
        <v>0.55022000000000004</v>
      </c>
      <c r="E29" s="29">
        <v>0.41405999999999998</v>
      </c>
      <c r="F29" s="29">
        <v>0.56110000000000004</v>
      </c>
      <c r="G29" s="29" t="s">
        <v>44</v>
      </c>
      <c r="H29" s="227">
        <v>0.55020999999999998</v>
      </c>
    </row>
    <row r="30" spans="1:8">
      <c r="A30" s="225">
        <v>2007</v>
      </c>
      <c r="B30" s="226">
        <v>0.68625000000000003</v>
      </c>
      <c r="C30" s="29">
        <v>0.80562999999999996</v>
      </c>
      <c r="D30" s="29">
        <v>0.53654999999999997</v>
      </c>
      <c r="E30" s="29">
        <v>0.56152999999999997</v>
      </c>
      <c r="F30" s="29" t="s">
        <v>44</v>
      </c>
      <c r="G30" s="29" t="s">
        <v>44</v>
      </c>
      <c r="H30" s="227">
        <v>0.55057</v>
      </c>
    </row>
    <row r="31" spans="1:8">
      <c r="A31" s="225">
        <v>2008</v>
      </c>
      <c r="B31" s="226">
        <v>0.61695</v>
      </c>
      <c r="C31" s="29">
        <v>0.54896</v>
      </c>
      <c r="D31" s="29">
        <v>0.33150000000000002</v>
      </c>
      <c r="E31" s="29">
        <v>0.23319999999999999</v>
      </c>
      <c r="F31" s="29">
        <v>0.23565</v>
      </c>
      <c r="G31" s="29" t="s">
        <v>44</v>
      </c>
      <c r="H31" s="227">
        <v>0.33850999999999998</v>
      </c>
    </row>
    <row r="32" spans="1:8">
      <c r="A32" s="225">
        <v>2009</v>
      </c>
      <c r="B32" s="226">
        <v>0.53632999999999997</v>
      </c>
      <c r="C32" s="29">
        <v>0.37546000000000002</v>
      </c>
      <c r="D32" s="29">
        <v>0.36858000000000002</v>
      </c>
      <c r="E32" s="29">
        <v>0.22747999999999999</v>
      </c>
      <c r="F32" s="29">
        <v>0.45307999999999998</v>
      </c>
      <c r="G32" s="29" t="s">
        <v>44</v>
      </c>
      <c r="H32" s="227">
        <v>0.33926000000000001</v>
      </c>
    </row>
    <row r="33" spans="1:8">
      <c r="A33" s="225">
        <v>2010</v>
      </c>
      <c r="B33" s="226">
        <v>0.70867999999999998</v>
      </c>
      <c r="C33" s="29">
        <v>0.62473999999999996</v>
      </c>
      <c r="D33" s="29">
        <v>0.51461999999999997</v>
      </c>
      <c r="E33" s="29">
        <v>0.37497999999999998</v>
      </c>
      <c r="F33" s="29">
        <v>0.33665</v>
      </c>
      <c r="G33" s="29" t="s">
        <v>44</v>
      </c>
      <c r="H33" s="227">
        <v>0.51793</v>
      </c>
    </row>
    <row r="34" spans="1:8">
      <c r="A34" s="225">
        <v>2011</v>
      </c>
      <c r="B34" s="226">
        <v>0.70948</v>
      </c>
      <c r="C34" s="29">
        <v>0.63260000000000005</v>
      </c>
      <c r="D34" s="29">
        <v>0.41305999999999998</v>
      </c>
      <c r="E34" s="29">
        <v>0.36664000000000002</v>
      </c>
      <c r="F34" s="29">
        <v>0.35366999999999998</v>
      </c>
      <c r="G34" s="29" t="s">
        <v>44</v>
      </c>
      <c r="H34" s="227">
        <v>0.46317000000000003</v>
      </c>
    </row>
    <row r="35" spans="1:8">
      <c r="A35" s="225">
        <v>2012</v>
      </c>
      <c r="B35" s="226">
        <v>0.66437000000000002</v>
      </c>
      <c r="C35" s="29">
        <v>0.51202000000000003</v>
      </c>
      <c r="D35" s="29">
        <v>0.43014000000000002</v>
      </c>
      <c r="E35" s="29">
        <v>0.33749000000000001</v>
      </c>
      <c r="F35" s="29">
        <v>0.37348999999999999</v>
      </c>
      <c r="G35" s="29" t="s">
        <v>44</v>
      </c>
      <c r="H35" s="227">
        <v>0.44735000000000003</v>
      </c>
    </row>
    <row r="36" spans="1:8" s="74" customFormat="1">
      <c r="A36" s="228">
        <v>2013</v>
      </c>
      <c r="B36" s="229">
        <v>0.75087000000000004</v>
      </c>
      <c r="C36" s="230">
        <v>0.57733999999999996</v>
      </c>
      <c r="D36" s="230">
        <v>0.43822</v>
      </c>
      <c r="E36" s="231">
        <v>0.20710000000000001</v>
      </c>
      <c r="F36" s="230">
        <v>0.2636</v>
      </c>
      <c r="G36" s="230" t="s">
        <v>44</v>
      </c>
      <c r="H36" s="232">
        <v>0.45590999999999998</v>
      </c>
    </row>
    <row r="37" spans="1:8">
      <c r="A37" s="233" t="s">
        <v>193</v>
      </c>
      <c r="B37" s="233"/>
      <c r="C37" s="233"/>
      <c r="D37" s="233"/>
      <c r="E37" s="23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zoomScaleNormal="100" workbookViewId="0"/>
  </sheetViews>
  <sheetFormatPr defaultRowHeight="15"/>
  <cols>
    <col min="1" max="1" width="18.28515625" style="10" customWidth="1"/>
    <col min="2" max="6" width="10.140625" style="10" customWidth="1"/>
    <col min="7" max="7" width="7.5703125" style="10" bestFit="1" customWidth="1"/>
    <col min="8" max="16384" width="9.140625" style="10"/>
  </cols>
  <sheetData>
    <row r="1" spans="1:6">
      <c r="A1" s="80" t="s">
        <v>328</v>
      </c>
      <c r="B1" s="69"/>
      <c r="C1" s="70"/>
      <c r="D1" s="70"/>
      <c r="E1" s="69"/>
      <c r="F1" s="69"/>
    </row>
    <row r="2" spans="1:6">
      <c r="A2" s="80"/>
      <c r="B2" s="69"/>
      <c r="C2" s="70"/>
      <c r="D2" s="70"/>
      <c r="E2" s="69"/>
      <c r="F2" s="69"/>
    </row>
    <row r="3" spans="1:6">
      <c r="A3" s="154"/>
      <c r="B3" s="72" t="s">
        <v>194</v>
      </c>
      <c r="C3" s="72" t="s">
        <v>195</v>
      </c>
      <c r="D3" s="72" t="s">
        <v>196</v>
      </c>
      <c r="E3" s="72" t="s">
        <v>197</v>
      </c>
      <c r="F3" s="72" t="s">
        <v>198</v>
      </c>
    </row>
    <row r="4" spans="1:6">
      <c r="A4" s="10" t="s">
        <v>199</v>
      </c>
      <c r="B4" s="234" t="s">
        <v>44</v>
      </c>
      <c r="C4" s="235">
        <v>3.3300000000000003E-2</v>
      </c>
      <c r="D4" s="235">
        <v>3.3300000000000003E-2</v>
      </c>
      <c r="E4" s="235">
        <v>0.61880000000000002</v>
      </c>
      <c r="F4" s="235">
        <v>0.75580000000000003</v>
      </c>
    </row>
    <row r="5" spans="1:6">
      <c r="A5" s="10" t="s">
        <v>2</v>
      </c>
      <c r="B5" s="236">
        <v>0.37240000000000001</v>
      </c>
      <c r="C5" s="236">
        <v>0.39019999999999999</v>
      </c>
      <c r="D5" s="236">
        <v>0.38080000000000003</v>
      </c>
      <c r="E5" s="236">
        <v>0.4395</v>
      </c>
      <c r="F5" s="236">
        <v>0.42270000000000002</v>
      </c>
    </row>
    <row r="6" spans="1:6">
      <c r="A6" s="10" t="s">
        <v>3</v>
      </c>
      <c r="B6" s="236">
        <v>0.31769999999999998</v>
      </c>
      <c r="C6" s="236">
        <v>0.42680000000000001</v>
      </c>
      <c r="D6" s="236">
        <v>0.44490000000000002</v>
      </c>
      <c r="E6" s="236">
        <v>0.43919999999999998</v>
      </c>
      <c r="F6" s="236">
        <v>0.44290000000000002</v>
      </c>
    </row>
    <row r="7" spans="1:6">
      <c r="A7" s="10" t="s">
        <v>4</v>
      </c>
      <c r="B7" s="236">
        <v>0.40039999999999998</v>
      </c>
      <c r="C7" s="236">
        <v>0.41439999999999999</v>
      </c>
      <c r="D7" s="236">
        <v>0.42109999999999997</v>
      </c>
      <c r="E7" s="236">
        <v>0.4274</v>
      </c>
      <c r="F7" s="236">
        <v>0.42899999999999999</v>
      </c>
    </row>
    <row r="8" spans="1:6">
      <c r="A8" s="10" t="s">
        <v>5</v>
      </c>
      <c r="B8" s="236">
        <v>0.45700000000000002</v>
      </c>
      <c r="C8" s="236">
        <v>0.44230000000000003</v>
      </c>
      <c r="D8" s="236">
        <v>0.4325</v>
      </c>
      <c r="E8" s="236">
        <v>0.42530000000000001</v>
      </c>
      <c r="F8" s="236">
        <v>0.42099999999999999</v>
      </c>
    </row>
    <row r="9" spans="1:6">
      <c r="A9" s="10" t="s">
        <v>6</v>
      </c>
      <c r="B9" s="236">
        <v>0.38190000000000002</v>
      </c>
      <c r="C9" s="236">
        <v>0.37259999999999999</v>
      </c>
      <c r="D9" s="236">
        <v>0.374</v>
      </c>
      <c r="E9" s="236">
        <v>0.37690000000000001</v>
      </c>
      <c r="F9" s="236">
        <v>0.38329999999999997</v>
      </c>
    </row>
    <row r="10" spans="1:6">
      <c r="A10" s="10" t="s">
        <v>71</v>
      </c>
      <c r="B10" s="236">
        <v>0.36899999999999999</v>
      </c>
      <c r="C10" s="236">
        <v>0.36930000000000002</v>
      </c>
      <c r="D10" s="236">
        <v>0.36699999999999999</v>
      </c>
      <c r="E10" s="236">
        <v>0.36880000000000002</v>
      </c>
      <c r="F10" s="236">
        <v>0.36870000000000003</v>
      </c>
    </row>
    <row r="11" spans="1:6">
      <c r="A11" s="10" t="s">
        <v>173</v>
      </c>
      <c r="B11" s="236">
        <v>0.38069999999999998</v>
      </c>
      <c r="C11" s="236">
        <v>0.41460000000000002</v>
      </c>
      <c r="D11" s="236">
        <v>0.42599999999999999</v>
      </c>
      <c r="E11" s="236">
        <v>0.43280000000000002</v>
      </c>
      <c r="F11" s="236">
        <v>0.43640000000000001</v>
      </c>
    </row>
    <row r="12" spans="1:6">
      <c r="A12" s="10" t="s">
        <v>174</v>
      </c>
      <c r="B12" s="236">
        <v>0.37990000000000002</v>
      </c>
      <c r="C12" s="236">
        <v>0.37790000000000001</v>
      </c>
      <c r="D12" s="236">
        <v>0.37809999999999999</v>
      </c>
      <c r="E12" s="236">
        <v>0.38059999999999999</v>
      </c>
      <c r="F12" s="236">
        <v>0.38400000000000001</v>
      </c>
    </row>
    <row r="13" spans="1:6">
      <c r="A13" s="160" t="s">
        <v>104</v>
      </c>
      <c r="B13" s="237">
        <v>0.37990000000000002</v>
      </c>
      <c r="C13" s="237">
        <v>0.38040000000000002</v>
      </c>
      <c r="D13" s="237">
        <v>0.38229999999999997</v>
      </c>
      <c r="E13" s="237">
        <v>0.38600000000000001</v>
      </c>
      <c r="F13" s="237">
        <v>0.39019999999999999</v>
      </c>
    </row>
    <row r="14" spans="1:6">
      <c r="A14" s="69" t="s">
        <v>192</v>
      </c>
      <c r="B14" s="69"/>
      <c r="C14" s="69"/>
      <c r="D14" s="69"/>
      <c r="E14" s="69"/>
    </row>
    <row r="15" spans="1:6">
      <c r="A15" s="10" t="s">
        <v>200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heetViews>
  <sheetFormatPr defaultRowHeight="15"/>
  <cols>
    <col min="1" max="1" width="19.28515625" style="10" customWidth="1"/>
    <col min="2" max="16384" width="9.140625" style="10"/>
  </cols>
  <sheetData>
    <row r="1" spans="1:6">
      <c r="A1" s="104" t="s">
        <v>329</v>
      </c>
    </row>
    <row r="2" spans="1:6">
      <c r="A2" s="104"/>
    </row>
    <row r="3" spans="1:6">
      <c r="A3" s="242"/>
      <c r="B3" s="243" t="s">
        <v>194</v>
      </c>
      <c r="C3" s="243" t="s">
        <v>195</v>
      </c>
      <c r="D3" s="243" t="s">
        <v>196</v>
      </c>
      <c r="E3" s="243" t="s">
        <v>197</v>
      </c>
      <c r="F3" s="243" t="s">
        <v>198</v>
      </c>
    </row>
    <row r="4" spans="1:6">
      <c r="A4" s="244" t="s">
        <v>1</v>
      </c>
      <c r="B4" s="73">
        <v>0</v>
      </c>
      <c r="C4" s="73">
        <v>1.4999999999999999E-4</v>
      </c>
      <c r="D4" s="73">
        <v>1.4999999999999999E-4</v>
      </c>
      <c r="E4" s="73">
        <v>1.8000000000000001E-4</v>
      </c>
      <c r="F4" s="73">
        <v>3.2000000000000003E-4</v>
      </c>
    </row>
    <row r="5" spans="1:6">
      <c r="A5" s="244" t="s">
        <v>2</v>
      </c>
      <c r="B5" s="73">
        <v>1.4999999999999999E-4</v>
      </c>
      <c r="C5" s="73">
        <v>4.6000000000000001E-4</v>
      </c>
      <c r="D5" s="73">
        <v>9.3999999999999997E-4</v>
      </c>
      <c r="E5" s="73">
        <v>1.6000000000000001E-3</v>
      </c>
      <c r="F5" s="73">
        <v>2.5699999999999998E-3</v>
      </c>
    </row>
    <row r="6" spans="1:6">
      <c r="A6" s="244" t="s">
        <v>3</v>
      </c>
      <c r="B6" s="73">
        <v>4.8000000000000001E-4</v>
      </c>
      <c r="C6" s="73">
        <v>1.2899999999999999E-3</v>
      </c>
      <c r="D6" s="73">
        <v>2.7399999999999998E-3</v>
      </c>
      <c r="E6" s="73">
        <v>4.3499999999999997E-3</v>
      </c>
      <c r="F6" s="73">
        <v>6.1000000000000004E-3</v>
      </c>
    </row>
    <row r="7" spans="1:6">
      <c r="A7" s="244" t="s">
        <v>4</v>
      </c>
      <c r="B7" s="73">
        <v>1.14E-3</v>
      </c>
      <c r="C7" s="73">
        <v>3.1900000000000001E-3</v>
      </c>
      <c r="D7" s="73">
        <v>5.5599999999999998E-3</v>
      </c>
      <c r="E7" s="73">
        <v>8.2299999999999995E-3</v>
      </c>
      <c r="F7" s="73">
        <v>1.11E-2</v>
      </c>
    </row>
    <row r="8" spans="1:6">
      <c r="A8" s="244" t="s">
        <v>5</v>
      </c>
      <c r="B8" s="73">
        <v>6.2500000000000003E-3</v>
      </c>
      <c r="C8" s="73">
        <v>1.83E-2</v>
      </c>
      <c r="D8" s="73">
        <v>3.3239999999999999E-2</v>
      </c>
      <c r="E8" s="73">
        <v>4.9750000000000003E-2</v>
      </c>
      <c r="F8" s="73">
        <v>6.3930000000000001E-2</v>
      </c>
    </row>
    <row r="9" spans="1:6">
      <c r="A9" s="244" t="s">
        <v>6</v>
      </c>
      <c r="B9" s="73">
        <v>2.4080000000000001E-2</v>
      </c>
      <c r="C9" s="73">
        <v>5.8529999999999999E-2</v>
      </c>
      <c r="D9" s="73">
        <v>9.2939999999999995E-2</v>
      </c>
      <c r="E9" s="73">
        <v>0.12273000000000001</v>
      </c>
      <c r="F9" s="73">
        <v>0.14873</v>
      </c>
    </row>
    <row r="10" spans="1:6">
      <c r="A10" s="244" t="s">
        <v>71</v>
      </c>
      <c r="B10" s="73">
        <v>9.9989999999999996E-2</v>
      </c>
      <c r="C10" s="73">
        <v>0.17005999999999999</v>
      </c>
      <c r="D10" s="73">
        <v>0.22672999999999999</v>
      </c>
      <c r="E10" s="73">
        <v>0.27095999999999998</v>
      </c>
      <c r="F10" s="73">
        <v>0.30982999999999999</v>
      </c>
    </row>
    <row r="11" spans="1:6">
      <c r="A11" s="244" t="s">
        <v>173</v>
      </c>
      <c r="B11" s="73">
        <v>6.0999999999999997E-4</v>
      </c>
      <c r="C11" s="73">
        <v>1.72E-3</v>
      </c>
      <c r="D11" s="73">
        <v>3.2000000000000002E-3</v>
      </c>
      <c r="E11" s="73">
        <v>4.8500000000000001E-3</v>
      </c>
      <c r="F11" s="73">
        <v>6.6899999999999998E-3</v>
      </c>
    </row>
    <row r="12" spans="1:6">
      <c r="A12" s="244" t="s">
        <v>174</v>
      </c>
      <c r="B12" s="73">
        <v>2.8920000000000001E-2</v>
      </c>
      <c r="C12" s="73">
        <v>5.9979999999999999E-2</v>
      </c>
      <c r="D12" s="73">
        <v>8.9719999999999994E-2</v>
      </c>
      <c r="E12" s="73">
        <v>0.11565</v>
      </c>
      <c r="F12" s="73">
        <v>0.13768</v>
      </c>
    </row>
    <row r="13" spans="1:6">
      <c r="A13" s="245" t="s">
        <v>104</v>
      </c>
      <c r="B13" s="246">
        <v>1.1429999999999999E-2</v>
      </c>
      <c r="C13" s="246">
        <v>2.3369999999999998E-2</v>
      </c>
      <c r="D13" s="246">
        <v>3.4450000000000001E-2</v>
      </c>
      <c r="E13" s="246">
        <v>4.3799999999999999E-2</v>
      </c>
      <c r="F13" s="246">
        <v>5.1569999999999998E-2</v>
      </c>
    </row>
    <row r="14" spans="1:6">
      <c r="A14" s="10" t="s">
        <v>201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workbookViewId="0"/>
  </sheetViews>
  <sheetFormatPr defaultRowHeight="15"/>
  <cols>
    <col min="1" max="1" width="8.140625" style="74" customWidth="1"/>
    <col min="2" max="8" width="8.140625" style="10" customWidth="1"/>
    <col min="9" max="9" width="9.7109375" style="10" bestFit="1" customWidth="1"/>
    <col min="10" max="10" width="11.140625" style="10" bestFit="1" customWidth="1"/>
    <col min="11" max="11" width="9" style="10" bestFit="1" customWidth="1"/>
    <col min="12" max="16384" width="9.140625" style="10"/>
  </cols>
  <sheetData>
    <row r="1" spans="1:11">
      <c r="A1" s="127" t="s">
        <v>337</v>
      </c>
    </row>
    <row r="2" spans="1:11">
      <c r="A2" s="127"/>
    </row>
    <row r="3" spans="1:11">
      <c r="A3" s="249" t="s">
        <v>40</v>
      </c>
      <c r="B3" s="72" t="s">
        <v>1</v>
      </c>
      <c r="C3" s="72" t="s">
        <v>2</v>
      </c>
      <c r="D3" s="72" t="s">
        <v>3</v>
      </c>
      <c r="E3" s="72" t="s">
        <v>4</v>
      </c>
      <c r="F3" s="72" t="s">
        <v>5</v>
      </c>
      <c r="G3" s="72" t="s">
        <v>6</v>
      </c>
      <c r="H3" s="72" t="s">
        <v>71</v>
      </c>
      <c r="I3" s="72" t="s">
        <v>65</v>
      </c>
      <c r="J3" s="72" t="s">
        <v>66</v>
      </c>
      <c r="K3" s="72" t="s">
        <v>104</v>
      </c>
    </row>
    <row r="4" spans="1:11">
      <c r="A4" s="126">
        <v>1982</v>
      </c>
      <c r="B4" s="236">
        <v>0</v>
      </c>
      <c r="C4" s="236">
        <v>0</v>
      </c>
      <c r="D4" s="236">
        <v>1.6299999999999999E-3</v>
      </c>
      <c r="E4" s="236">
        <v>2.1099999999999999E-3</v>
      </c>
      <c r="F4" s="236">
        <v>1.7829999999999999E-2</v>
      </c>
      <c r="G4" s="236">
        <v>1.427E-2</v>
      </c>
      <c r="H4" s="236">
        <v>0.14817</v>
      </c>
      <c r="I4" s="236">
        <v>1.3600000000000001E-3</v>
      </c>
      <c r="J4" s="236">
        <v>2.2749999999999999E-2</v>
      </c>
      <c r="K4" s="236">
        <v>6.6299999999999996E-3</v>
      </c>
    </row>
    <row r="5" spans="1:11">
      <c r="A5" s="126">
        <v>1983</v>
      </c>
      <c r="B5" s="236">
        <v>0</v>
      </c>
      <c r="C5" s="236">
        <v>0</v>
      </c>
      <c r="D5" s="236">
        <v>0</v>
      </c>
      <c r="E5" s="236">
        <v>0</v>
      </c>
      <c r="F5" s="236">
        <v>4.2599999999999999E-3</v>
      </c>
      <c r="G5" s="236">
        <v>3.0200000000000001E-2</v>
      </c>
      <c r="H5" s="236">
        <v>0.19702</v>
      </c>
      <c r="I5" s="236">
        <v>0</v>
      </c>
      <c r="J5" s="236">
        <v>1.8120000000000001E-2</v>
      </c>
      <c r="K5" s="236">
        <v>4.5599999999999998E-3</v>
      </c>
    </row>
    <row r="6" spans="1:11">
      <c r="A6" s="126">
        <v>1984</v>
      </c>
      <c r="B6" s="236">
        <v>0</v>
      </c>
      <c r="C6" s="236">
        <v>0</v>
      </c>
      <c r="D6" s="236">
        <v>0</v>
      </c>
      <c r="E6" s="236">
        <v>1.8500000000000001E-3</v>
      </c>
      <c r="F6" s="236">
        <v>4.2399999999999998E-3</v>
      </c>
      <c r="G6" s="236">
        <v>3.449E-2</v>
      </c>
      <c r="H6" s="236">
        <v>0.50593999999999995</v>
      </c>
      <c r="I6" s="236">
        <v>4.8999999999999998E-4</v>
      </c>
      <c r="J6" s="236">
        <v>1.7010000000000001E-2</v>
      </c>
      <c r="K6" s="236">
        <v>4.7299999999999998E-3</v>
      </c>
    </row>
    <row r="7" spans="1:11">
      <c r="A7" s="126">
        <v>1985</v>
      </c>
      <c r="B7" s="236">
        <v>0</v>
      </c>
      <c r="C7" s="236">
        <v>0</v>
      </c>
      <c r="D7" s="236">
        <v>0</v>
      </c>
      <c r="E7" s="236">
        <v>0</v>
      </c>
      <c r="F7" s="236">
        <v>5.6299999999999996E-3</v>
      </c>
      <c r="G7" s="236">
        <v>3.0169999999999999E-2</v>
      </c>
      <c r="H7" s="236">
        <v>0</v>
      </c>
      <c r="I7" s="236">
        <v>0</v>
      </c>
      <c r="J7" s="236">
        <v>1.383E-2</v>
      </c>
      <c r="K7" s="236">
        <v>3.82E-3</v>
      </c>
    </row>
    <row r="8" spans="1:11">
      <c r="A8" s="126">
        <v>1986</v>
      </c>
      <c r="B8" s="236">
        <v>0</v>
      </c>
      <c r="C8" s="236">
        <v>0</v>
      </c>
      <c r="D8" s="236">
        <v>0</v>
      </c>
      <c r="E8" s="236">
        <v>5.0800000000000003E-3</v>
      </c>
      <c r="F8" s="236">
        <v>1.021E-2</v>
      </c>
      <c r="G8" s="236">
        <v>5.6570000000000002E-2</v>
      </c>
      <c r="H8" s="236">
        <v>0.10867</v>
      </c>
      <c r="I8" s="236">
        <v>1.1999999999999999E-3</v>
      </c>
      <c r="J8" s="236">
        <v>2.7709999999999999E-2</v>
      </c>
      <c r="K8" s="236">
        <v>9.1699999999999993E-3</v>
      </c>
    </row>
    <row r="9" spans="1:11">
      <c r="A9" s="126">
        <v>1987</v>
      </c>
      <c r="B9" s="236">
        <v>0</v>
      </c>
      <c r="C9" s="236">
        <v>0</v>
      </c>
      <c r="D9" s="236">
        <v>0</v>
      </c>
      <c r="E9" s="236">
        <v>0</v>
      </c>
      <c r="F9" s="236">
        <v>1.008E-2</v>
      </c>
      <c r="G9" s="236">
        <v>2.3650000000000001E-2</v>
      </c>
      <c r="H9" s="236">
        <v>7.2499999999999995E-2</v>
      </c>
      <c r="I9" s="236">
        <v>0</v>
      </c>
      <c r="J9" s="236">
        <v>1.601E-2</v>
      </c>
      <c r="K9" s="236">
        <v>5.7600000000000004E-3</v>
      </c>
    </row>
    <row r="10" spans="1:11">
      <c r="A10" s="126">
        <v>1988</v>
      </c>
      <c r="B10" s="236">
        <v>0</v>
      </c>
      <c r="C10" s="236">
        <v>0</v>
      </c>
      <c r="D10" s="236">
        <v>0</v>
      </c>
      <c r="E10" s="236">
        <v>0</v>
      </c>
      <c r="F10" s="236">
        <v>6.8500000000000002E-3</v>
      </c>
      <c r="G10" s="236">
        <v>3.3759999999999998E-2</v>
      </c>
      <c r="H10" s="236">
        <v>0.14935000000000001</v>
      </c>
      <c r="I10" s="236">
        <v>0</v>
      </c>
      <c r="J10" s="236">
        <v>1.9439999999999999E-2</v>
      </c>
      <c r="K10" s="236">
        <v>7.5100000000000002E-3</v>
      </c>
    </row>
    <row r="11" spans="1:11">
      <c r="A11" s="126">
        <v>1989</v>
      </c>
      <c r="B11" s="236">
        <v>0</v>
      </c>
      <c r="C11" s="236">
        <v>3.62E-3</v>
      </c>
      <c r="D11" s="236">
        <v>0</v>
      </c>
      <c r="E11" s="236">
        <v>3.5400000000000002E-3</v>
      </c>
      <c r="F11" s="236">
        <v>1.7670000000000002E-2</v>
      </c>
      <c r="G11" s="236">
        <v>4.8329999999999998E-2</v>
      </c>
      <c r="H11" s="236">
        <v>0.14108000000000001</v>
      </c>
      <c r="I11" s="236">
        <v>1.7099999999999999E-3</v>
      </c>
      <c r="J11" s="236">
        <v>3.2590000000000001E-2</v>
      </c>
      <c r="K11" s="236">
        <v>1.346E-2</v>
      </c>
    </row>
    <row r="12" spans="1:11">
      <c r="A12" s="126">
        <v>1990</v>
      </c>
      <c r="B12" s="236">
        <v>0</v>
      </c>
      <c r="C12" s="236">
        <v>0</v>
      </c>
      <c r="D12" s="236">
        <v>0</v>
      </c>
      <c r="E12" s="236">
        <v>0</v>
      </c>
      <c r="F12" s="236">
        <v>2.129E-2</v>
      </c>
      <c r="G12" s="236">
        <v>9.8570000000000005E-2</v>
      </c>
      <c r="H12" s="236">
        <v>0.37790000000000001</v>
      </c>
      <c r="I12" s="236">
        <v>0</v>
      </c>
      <c r="J12" s="236">
        <v>6.3420000000000004E-2</v>
      </c>
      <c r="K12" s="236">
        <v>2.3189999999999999E-2</v>
      </c>
    </row>
    <row r="13" spans="1:11">
      <c r="A13" s="126">
        <v>1991</v>
      </c>
      <c r="B13" s="236">
        <v>0</v>
      </c>
      <c r="C13" s="236">
        <v>0</v>
      </c>
      <c r="D13" s="236">
        <v>0</v>
      </c>
      <c r="E13" s="236">
        <v>1.8400000000000001E-3</v>
      </c>
      <c r="F13" s="236">
        <v>3.1449999999999999E-2</v>
      </c>
      <c r="G13" s="236">
        <v>7.7310000000000004E-2</v>
      </c>
      <c r="H13" s="236">
        <v>0.28500999999999999</v>
      </c>
      <c r="I13" s="236">
        <v>4.4000000000000002E-4</v>
      </c>
      <c r="J13" s="236">
        <v>5.985E-2</v>
      </c>
      <c r="K13" s="236">
        <v>1.958E-2</v>
      </c>
    </row>
    <row r="14" spans="1:11">
      <c r="A14" s="126">
        <v>1992</v>
      </c>
      <c r="B14" s="236">
        <v>0</v>
      </c>
      <c r="C14" s="236">
        <v>0</v>
      </c>
      <c r="D14" s="236">
        <v>0</v>
      </c>
      <c r="E14" s="236">
        <v>0</v>
      </c>
      <c r="F14" s="236">
        <v>1.6900000000000001E-3</v>
      </c>
      <c r="G14" s="236">
        <v>4.6739999999999997E-2</v>
      </c>
      <c r="H14" s="236">
        <v>0.15007000000000001</v>
      </c>
      <c r="I14" s="236">
        <v>0</v>
      </c>
      <c r="J14" s="236">
        <v>2.6499999999999999E-2</v>
      </c>
      <c r="K14" s="236">
        <v>7.62E-3</v>
      </c>
    </row>
    <row r="15" spans="1:11">
      <c r="A15" s="126">
        <v>1993</v>
      </c>
      <c r="B15" s="236">
        <v>0</v>
      </c>
      <c r="C15" s="236">
        <v>0</v>
      </c>
      <c r="D15" s="236">
        <v>0</v>
      </c>
      <c r="E15" s="236">
        <v>0</v>
      </c>
      <c r="F15" s="236">
        <v>3.8E-3</v>
      </c>
      <c r="G15" s="236">
        <v>2.9180000000000001E-2</v>
      </c>
      <c r="H15" s="236">
        <v>0.17324000000000001</v>
      </c>
      <c r="I15" s="236">
        <v>0</v>
      </c>
      <c r="J15" s="236">
        <v>1.9810000000000001E-2</v>
      </c>
      <c r="K15" s="236">
        <v>5.5900000000000004E-3</v>
      </c>
    </row>
    <row r="16" spans="1:11">
      <c r="A16" s="126">
        <v>1994</v>
      </c>
      <c r="B16" s="236">
        <v>0</v>
      </c>
      <c r="C16" s="236">
        <v>0</v>
      </c>
      <c r="D16" s="236">
        <v>0</v>
      </c>
      <c r="E16" s="236">
        <v>0</v>
      </c>
      <c r="F16" s="236">
        <v>1.23E-3</v>
      </c>
      <c r="G16" s="236">
        <v>1.9019999999999999E-2</v>
      </c>
      <c r="H16" s="236">
        <v>2.5010000000000001E-2</v>
      </c>
      <c r="I16" s="236">
        <v>0</v>
      </c>
      <c r="J16" s="236">
        <v>9.92E-3</v>
      </c>
      <c r="K16" s="236">
        <v>3.0699999999999998E-3</v>
      </c>
    </row>
    <row r="17" spans="1:11">
      <c r="A17" s="126">
        <v>1995</v>
      </c>
      <c r="B17" s="236">
        <v>0</v>
      </c>
      <c r="C17" s="236">
        <v>0</v>
      </c>
      <c r="D17" s="236">
        <v>0</v>
      </c>
      <c r="E17" s="236">
        <v>0</v>
      </c>
      <c r="F17" s="236">
        <v>4.0499999999999998E-3</v>
      </c>
      <c r="G17" s="236">
        <v>2.29E-2</v>
      </c>
      <c r="H17" s="236">
        <v>4.8239999999999998E-2</v>
      </c>
      <c r="I17" s="236">
        <v>0</v>
      </c>
      <c r="J17" s="236">
        <v>1.6039999999999999E-2</v>
      </c>
      <c r="K17" s="236">
        <v>5.4000000000000003E-3</v>
      </c>
    </row>
    <row r="18" spans="1:11">
      <c r="A18" s="126">
        <v>1996</v>
      </c>
      <c r="B18" s="236">
        <v>0</v>
      </c>
      <c r="C18" s="236">
        <v>0</v>
      </c>
      <c r="D18" s="236">
        <v>0</v>
      </c>
      <c r="E18" s="236">
        <v>0</v>
      </c>
      <c r="F18" s="236">
        <v>0</v>
      </c>
      <c r="G18" s="236">
        <v>5.3899999999999998E-3</v>
      </c>
      <c r="H18" s="236">
        <v>5.3400000000000003E-2</v>
      </c>
      <c r="I18" s="236">
        <v>0</v>
      </c>
      <c r="J18" s="236">
        <v>6.4000000000000003E-3</v>
      </c>
      <c r="K18" s="236">
        <v>2.1900000000000001E-3</v>
      </c>
    </row>
    <row r="19" spans="1:11">
      <c r="A19" s="126">
        <v>1997</v>
      </c>
      <c r="B19" s="236">
        <v>0</v>
      </c>
      <c r="C19" s="236">
        <v>0</v>
      </c>
      <c r="D19" s="236">
        <v>0</v>
      </c>
      <c r="E19" s="236">
        <v>0</v>
      </c>
      <c r="F19" s="236">
        <v>8.5999999999999998E-4</v>
      </c>
      <c r="G19" s="236">
        <v>9.0200000000000002E-3</v>
      </c>
      <c r="H19" s="236">
        <v>6.5979999999999997E-2</v>
      </c>
      <c r="I19" s="236">
        <v>0</v>
      </c>
      <c r="J19" s="236">
        <v>9.4199999999999996E-3</v>
      </c>
      <c r="K19" s="236">
        <v>3.3600000000000001E-3</v>
      </c>
    </row>
    <row r="20" spans="1:11">
      <c r="A20" s="126">
        <v>1998</v>
      </c>
      <c r="B20" s="236">
        <v>0</v>
      </c>
      <c r="C20" s="236">
        <v>0</v>
      </c>
      <c r="D20" s="236">
        <v>0</v>
      </c>
      <c r="E20" s="236">
        <v>8.0000000000000004E-4</v>
      </c>
      <c r="F20" s="236">
        <v>5.4099999999999999E-3</v>
      </c>
      <c r="G20" s="236">
        <v>2.4299999999999999E-2</v>
      </c>
      <c r="H20" s="236">
        <v>6.2440000000000002E-2</v>
      </c>
      <c r="I20" s="236">
        <v>2.7E-4</v>
      </c>
      <c r="J20" s="236">
        <v>1.9939999999999999E-2</v>
      </c>
      <c r="K20" s="236">
        <v>7.9600000000000001E-3</v>
      </c>
    </row>
    <row r="21" spans="1:11">
      <c r="A21" s="126">
        <v>1999</v>
      </c>
      <c r="B21" s="236">
        <v>0</v>
      </c>
      <c r="C21" s="236">
        <v>0</v>
      </c>
      <c r="D21" s="236">
        <v>0</v>
      </c>
      <c r="E21" s="236">
        <v>6.9999999999999999E-4</v>
      </c>
      <c r="F21" s="236">
        <v>8.8000000000000005E-3</v>
      </c>
      <c r="G21" s="236">
        <v>3.1850000000000003E-2</v>
      </c>
      <c r="H21" s="236">
        <v>0.11491999999999999</v>
      </c>
      <c r="I21" s="236">
        <v>2.5000000000000001E-4</v>
      </c>
      <c r="J21" s="236">
        <v>3.5290000000000002E-2</v>
      </c>
      <c r="K21" s="236">
        <v>1.4930000000000001E-2</v>
      </c>
    </row>
    <row r="22" spans="1:11">
      <c r="A22" s="126">
        <v>2000</v>
      </c>
      <c r="B22" s="236">
        <v>0</v>
      </c>
      <c r="C22" s="236">
        <v>0</v>
      </c>
      <c r="D22" s="236">
        <v>0</v>
      </c>
      <c r="E22" s="236">
        <v>3.1900000000000001E-3</v>
      </c>
      <c r="F22" s="236">
        <v>6.0099999999999997E-3</v>
      </c>
      <c r="G22" s="236">
        <v>4.7419999999999997E-2</v>
      </c>
      <c r="H22" s="236">
        <v>0.14945</v>
      </c>
      <c r="I22" s="236">
        <v>1.1900000000000001E-3</v>
      </c>
      <c r="J22" s="236">
        <v>5.0700000000000002E-2</v>
      </c>
      <c r="K22" s="236">
        <v>2.163E-2</v>
      </c>
    </row>
    <row r="23" spans="1:11">
      <c r="A23" s="126">
        <v>2001</v>
      </c>
      <c r="B23" s="236">
        <v>0</v>
      </c>
      <c r="C23" s="236">
        <v>0</v>
      </c>
      <c r="D23" s="236">
        <v>1.49E-3</v>
      </c>
      <c r="E23" s="236">
        <v>1.7099999999999999E-3</v>
      </c>
      <c r="F23" s="236">
        <v>1.189E-2</v>
      </c>
      <c r="G23" s="236">
        <v>7.8390000000000001E-2</v>
      </c>
      <c r="H23" s="236">
        <v>0.25178</v>
      </c>
      <c r="I23" s="236">
        <v>1.1999999999999999E-3</v>
      </c>
      <c r="J23" s="236">
        <v>8.5300000000000001E-2</v>
      </c>
      <c r="K23" s="236">
        <v>3.422E-2</v>
      </c>
    </row>
    <row r="24" spans="1:11">
      <c r="A24" s="126">
        <v>2002</v>
      </c>
      <c r="B24" s="236">
        <v>0</v>
      </c>
      <c r="C24" s="236">
        <v>0</v>
      </c>
      <c r="D24" s="236">
        <v>1.3799999999999999E-3</v>
      </c>
      <c r="E24" s="236">
        <v>7.8600000000000007E-3</v>
      </c>
      <c r="F24" s="236">
        <v>1.068E-2</v>
      </c>
      <c r="G24" s="236">
        <v>3.2899999999999999E-2</v>
      </c>
      <c r="H24" s="236">
        <v>0.20791000000000001</v>
      </c>
      <c r="I24" s="236">
        <v>3.47E-3</v>
      </c>
      <c r="J24" s="236">
        <v>5.8999999999999997E-2</v>
      </c>
      <c r="K24" s="236">
        <v>2.3390000000000001E-2</v>
      </c>
    </row>
    <row r="25" spans="1:11">
      <c r="A25" s="126">
        <v>2003</v>
      </c>
      <c r="B25" s="236">
        <v>0</v>
      </c>
      <c r="C25" s="236">
        <v>0</v>
      </c>
      <c r="D25" s="236">
        <v>0</v>
      </c>
      <c r="E25" s="236">
        <v>0</v>
      </c>
      <c r="F25" s="236">
        <v>6.11E-3</v>
      </c>
      <c r="G25" s="236">
        <v>1.273E-2</v>
      </c>
      <c r="H25" s="236">
        <v>0.13325000000000001</v>
      </c>
      <c r="I25" s="236">
        <v>0</v>
      </c>
      <c r="J25" s="236">
        <v>3.2129999999999999E-2</v>
      </c>
      <c r="K25" s="236">
        <v>1.1730000000000001E-2</v>
      </c>
    </row>
    <row r="26" spans="1:11">
      <c r="A26" s="126">
        <v>2004</v>
      </c>
      <c r="B26" s="236">
        <v>0</v>
      </c>
      <c r="C26" s="236">
        <v>0</v>
      </c>
      <c r="D26" s="236">
        <v>0</v>
      </c>
      <c r="E26" s="236">
        <v>0</v>
      </c>
      <c r="F26" s="236">
        <v>2.16E-3</v>
      </c>
      <c r="G26" s="236">
        <v>4.2100000000000002E-3</v>
      </c>
      <c r="H26" s="236">
        <v>6.0650000000000003E-2</v>
      </c>
      <c r="I26" s="236">
        <v>0</v>
      </c>
      <c r="J26" s="236">
        <v>1.225E-2</v>
      </c>
      <c r="K26" s="236">
        <v>4.4999999999999997E-3</v>
      </c>
    </row>
    <row r="27" spans="1:11">
      <c r="A27" s="126">
        <v>2005</v>
      </c>
      <c r="B27" s="236">
        <v>0</v>
      </c>
      <c r="C27" s="236">
        <v>0</v>
      </c>
      <c r="D27" s="236">
        <v>0</v>
      </c>
      <c r="E27" s="236">
        <v>8.8999999999999995E-4</v>
      </c>
      <c r="F27" s="236">
        <v>0</v>
      </c>
      <c r="G27" s="236">
        <v>4.7299999999999998E-3</v>
      </c>
      <c r="H27" s="236">
        <v>3.1809999999999998E-2</v>
      </c>
      <c r="I27" s="236">
        <v>3.5E-4</v>
      </c>
      <c r="J27" s="236">
        <v>8.4600000000000005E-3</v>
      </c>
      <c r="K27" s="236">
        <v>3.4299999999999999E-3</v>
      </c>
    </row>
    <row r="28" spans="1:11">
      <c r="A28" s="126">
        <v>2006</v>
      </c>
      <c r="B28" s="236">
        <v>0</v>
      </c>
      <c r="C28" s="236">
        <v>0</v>
      </c>
      <c r="D28" s="236">
        <v>0</v>
      </c>
      <c r="E28" s="236">
        <v>0</v>
      </c>
      <c r="F28" s="236">
        <v>9.7999999999999997E-4</v>
      </c>
      <c r="G28" s="236">
        <v>5.4599999999999996E-3</v>
      </c>
      <c r="H28" s="236">
        <v>2.8209999999999999E-2</v>
      </c>
      <c r="I28" s="236">
        <v>0</v>
      </c>
      <c r="J28" s="236">
        <v>8.3599999999999994E-3</v>
      </c>
      <c r="K28" s="236">
        <v>3.2399999999999998E-3</v>
      </c>
    </row>
    <row r="29" spans="1:11">
      <c r="A29" s="126">
        <v>2007</v>
      </c>
      <c r="B29" s="236">
        <v>0</v>
      </c>
      <c r="C29" s="236">
        <v>0</v>
      </c>
      <c r="D29" s="236">
        <v>0</v>
      </c>
      <c r="E29" s="236">
        <v>0</v>
      </c>
      <c r="F29" s="236">
        <v>0</v>
      </c>
      <c r="G29" s="236">
        <v>0</v>
      </c>
      <c r="H29" s="236">
        <v>2.8129999999999999E-2</v>
      </c>
      <c r="I29" s="236">
        <v>0</v>
      </c>
      <c r="J29" s="236">
        <v>4.5500000000000002E-3</v>
      </c>
      <c r="K29" s="236">
        <v>1.8600000000000001E-3</v>
      </c>
    </row>
    <row r="30" spans="1:11">
      <c r="A30" s="126">
        <v>2008</v>
      </c>
      <c r="B30" s="236">
        <v>0</v>
      </c>
      <c r="C30" s="236">
        <v>4.7800000000000004E-3</v>
      </c>
      <c r="D30" s="236">
        <v>3.63E-3</v>
      </c>
      <c r="E30" s="236">
        <v>3.49E-3</v>
      </c>
      <c r="F30" s="236">
        <v>8.1399999999999997E-3</v>
      </c>
      <c r="G30" s="236">
        <v>1.4330000000000001E-2</v>
      </c>
      <c r="H30" s="236">
        <v>0.10084</v>
      </c>
      <c r="I30" s="236">
        <v>3.64E-3</v>
      </c>
      <c r="J30" s="236">
        <v>3.0040000000000001E-2</v>
      </c>
      <c r="K30" s="236">
        <v>1.5049999999999999E-2</v>
      </c>
    </row>
    <row r="31" spans="1:11">
      <c r="A31" s="126">
        <v>2009</v>
      </c>
      <c r="B31" s="236">
        <v>0</v>
      </c>
      <c r="C31" s="236">
        <v>0</v>
      </c>
      <c r="D31" s="236">
        <v>1.39E-3</v>
      </c>
      <c r="E31" s="236">
        <v>5.9199999999999999E-3</v>
      </c>
      <c r="F31" s="236">
        <v>1.468E-2</v>
      </c>
      <c r="G31" s="236">
        <v>4.7539999999999999E-2</v>
      </c>
      <c r="H31" s="236">
        <v>0.21955</v>
      </c>
      <c r="I31" s="236">
        <v>2.7899999999999999E-3</v>
      </c>
      <c r="J31" s="236">
        <v>8.4099999999999994E-2</v>
      </c>
      <c r="K31" s="236">
        <v>3.7900000000000003E-2</v>
      </c>
    </row>
    <row r="32" spans="1:11">
      <c r="A32" s="126">
        <v>2010</v>
      </c>
      <c r="B32" s="236">
        <v>0</v>
      </c>
      <c r="C32" s="236">
        <v>0</v>
      </c>
      <c r="D32" s="236">
        <v>1.1100000000000001E-3</v>
      </c>
      <c r="E32" s="236">
        <v>0</v>
      </c>
      <c r="F32" s="236">
        <v>0</v>
      </c>
      <c r="G32" s="236">
        <v>2.47E-3</v>
      </c>
      <c r="H32" s="236">
        <v>5.8099999999999999E-2</v>
      </c>
      <c r="I32" s="236">
        <v>4.0999999999999999E-4</v>
      </c>
      <c r="J32" s="236">
        <v>1.6039999999999999E-2</v>
      </c>
      <c r="K32" s="236">
        <v>6.8399999999999997E-3</v>
      </c>
    </row>
    <row r="33" spans="1:11">
      <c r="A33" s="250">
        <v>2011</v>
      </c>
      <c r="B33" s="247">
        <v>0</v>
      </c>
      <c r="C33" s="247">
        <v>0</v>
      </c>
      <c r="D33" s="247">
        <v>0</v>
      </c>
      <c r="E33" s="247">
        <v>5.2999999999999998E-4</v>
      </c>
      <c r="F33" s="247">
        <v>1.16E-3</v>
      </c>
      <c r="G33" s="247">
        <v>6.6E-4</v>
      </c>
      <c r="H33" s="247">
        <v>5.0639999999999998E-2</v>
      </c>
      <c r="I33" s="247">
        <v>2.4000000000000001E-4</v>
      </c>
      <c r="J33" s="247">
        <v>1.18E-2</v>
      </c>
      <c r="K33" s="247">
        <v>5.2199999999999998E-3</v>
      </c>
    </row>
    <row r="34" spans="1:11">
      <c r="A34" s="250">
        <v>2012</v>
      </c>
      <c r="B34" s="247">
        <v>0</v>
      </c>
      <c r="C34" s="247">
        <v>0</v>
      </c>
      <c r="D34" s="247">
        <v>0</v>
      </c>
      <c r="E34" s="247">
        <v>4.8000000000000001E-4</v>
      </c>
      <c r="F34" s="247">
        <v>9.7000000000000005E-4</v>
      </c>
      <c r="G34" s="247">
        <v>2.7699999999999999E-3</v>
      </c>
      <c r="H34" s="247">
        <v>6.6409999999999997E-2</v>
      </c>
      <c r="I34" s="247">
        <v>2.4000000000000001E-4</v>
      </c>
      <c r="J34" s="247">
        <v>1.661E-2</v>
      </c>
      <c r="K34" s="247">
        <v>7.8700000000000003E-3</v>
      </c>
    </row>
    <row r="35" spans="1:11">
      <c r="A35" s="250">
        <v>2013</v>
      </c>
      <c r="B35" s="247">
        <v>0</v>
      </c>
      <c r="C35" s="247">
        <v>0</v>
      </c>
      <c r="D35" s="247">
        <v>0</v>
      </c>
      <c r="E35" s="247">
        <v>4.0999999999999999E-4</v>
      </c>
      <c r="F35" s="247">
        <v>2.9199999999999999E-3</v>
      </c>
      <c r="G35" s="247">
        <v>5.0099999999999997E-3</v>
      </c>
      <c r="H35" s="247">
        <v>5.3519999999999998E-2</v>
      </c>
      <c r="I35" s="247">
        <v>2.3000000000000001E-4</v>
      </c>
      <c r="J35" s="247">
        <v>1.6199999999999999E-2</v>
      </c>
      <c r="K35" s="247">
        <v>7.7600000000000004E-3</v>
      </c>
    </row>
    <row r="36" spans="1:11">
      <c r="A36" s="251" t="s">
        <v>202</v>
      </c>
      <c r="B36" s="248">
        <f>AVERAGE(B4:B35)</f>
        <v>0</v>
      </c>
      <c r="C36" s="248">
        <f t="shared" ref="C36:K36" si="0">AVERAGE(C4:C35)</f>
        <v>2.6250000000000004E-4</v>
      </c>
      <c r="D36" s="248">
        <f t="shared" si="0"/>
        <v>3.3218750000000002E-4</v>
      </c>
      <c r="E36" s="248">
        <f t="shared" si="0"/>
        <v>1.2625000000000004E-3</v>
      </c>
      <c r="F36" s="248">
        <f t="shared" si="0"/>
        <v>6.9078125000000008E-3</v>
      </c>
      <c r="G36" s="248">
        <f t="shared" si="0"/>
        <v>2.7948125000000008E-2</v>
      </c>
      <c r="H36" s="248">
        <f t="shared" si="0"/>
        <v>0.12872468749999999</v>
      </c>
      <c r="I36" s="248">
        <f t="shared" si="0"/>
        <v>6.0875000000000013E-4</v>
      </c>
      <c r="J36" s="248">
        <f t="shared" si="0"/>
        <v>2.7174687500000003E-2</v>
      </c>
      <c r="K36" s="248">
        <f t="shared" si="0"/>
        <v>1.0411562499999999E-2</v>
      </c>
    </row>
    <row r="37" spans="1:11">
      <c r="A37" s="250" t="s">
        <v>49</v>
      </c>
      <c r="B37" s="247">
        <f>MAX(B4:B35)</f>
        <v>0</v>
      </c>
      <c r="C37" s="247">
        <f t="shared" ref="C37:K37" si="1">MAX(C4:C35)</f>
        <v>4.7800000000000004E-3</v>
      </c>
      <c r="D37" s="247">
        <f t="shared" si="1"/>
        <v>3.63E-3</v>
      </c>
      <c r="E37" s="247">
        <f t="shared" si="1"/>
        <v>7.8600000000000007E-3</v>
      </c>
      <c r="F37" s="247">
        <f t="shared" si="1"/>
        <v>3.1449999999999999E-2</v>
      </c>
      <c r="G37" s="247">
        <f t="shared" si="1"/>
        <v>9.8570000000000005E-2</v>
      </c>
      <c r="H37" s="247">
        <f t="shared" si="1"/>
        <v>0.50593999999999995</v>
      </c>
      <c r="I37" s="247">
        <f t="shared" si="1"/>
        <v>3.64E-3</v>
      </c>
      <c r="J37" s="247">
        <f t="shared" si="1"/>
        <v>8.5300000000000001E-2</v>
      </c>
      <c r="K37" s="247">
        <f t="shared" si="1"/>
        <v>3.7900000000000003E-2</v>
      </c>
    </row>
    <row r="38" spans="1:11">
      <c r="A38" s="252" t="s">
        <v>48</v>
      </c>
      <c r="B38" s="237">
        <f>MIN(B4:B35)</f>
        <v>0</v>
      </c>
      <c r="C38" s="237">
        <f t="shared" ref="C38:K38" si="2">MIN(C4:C35)</f>
        <v>0</v>
      </c>
      <c r="D38" s="237">
        <f t="shared" si="2"/>
        <v>0</v>
      </c>
      <c r="E38" s="237">
        <f t="shared" si="2"/>
        <v>0</v>
      </c>
      <c r="F38" s="237">
        <f t="shared" si="2"/>
        <v>0</v>
      </c>
      <c r="G38" s="237">
        <f t="shared" si="2"/>
        <v>0</v>
      </c>
      <c r="H38" s="237">
        <f t="shared" si="2"/>
        <v>0</v>
      </c>
      <c r="I38" s="237">
        <f t="shared" si="2"/>
        <v>0</v>
      </c>
      <c r="J38" s="237">
        <f t="shared" si="2"/>
        <v>4.5500000000000002E-3</v>
      </c>
      <c r="K38" s="237">
        <f t="shared" si="2"/>
        <v>1.8600000000000001E-3</v>
      </c>
    </row>
    <row r="39" spans="1:11">
      <c r="A39" s="251" t="s">
        <v>203</v>
      </c>
      <c r="B39" s="233"/>
      <c r="C39" s="233"/>
      <c r="D39" s="233"/>
      <c r="E39" s="233"/>
      <c r="F39" s="233"/>
      <c r="G39" s="233"/>
      <c r="H39" s="233"/>
      <c r="I39" s="233"/>
      <c r="J39" s="233"/>
      <c r="K39" s="23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zoomScaleNormal="100" workbookViewId="0"/>
  </sheetViews>
  <sheetFormatPr defaultRowHeight="15"/>
  <cols>
    <col min="1" max="11" width="9.28515625" style="10" customWidth="1"/>
    <col min="12" max="16384" width="9.140625" style="10"/>
  </cols>
  <sheetData>
    <row r="1" spans="1:11">
      <c r="A1" s="79" t="s">
        <v>215</v>
      </c>
      <c r="C1" s="74"/>
      <c r="D1" s="74"/>
      <c r="G1" s="75"/>
    </row>
    <row r="2" spans="1:11">
      <c r="A2" s="79"/>
      <c r="C2" s="74"/>
      <c r="D2" s="74"/>
      <c r="G2" s="75"/>
    </row>
    <row r="3" spans="1:11">
      <c r="A3" s="253" t="s">
        <v>34</v>
      </c>
      <c r="B3" s="254" t="s">
        <v>1</v>
      </c>
      <c r="C3" s="254" t="s">
        <v>2</v>
      </c>
      <c r="D3" s="254" t="s">
        <v>3</v>
      </c>
      <c r="E3" s="254" t="s">
        <v>4</v>
      </c>
      <c r="F3" s="254" t="s">
        <v>5</v>
      </c>
      <c r="G3" s="254" t="s">
        <v>6</v>
      </c>
      <c r="H3" s="254" t="s">
        <v>30</v>
      </c>
      <c r="I3" s="254" t="s">
        <v>38</v>
      </c>
      <c r="J3" s="254" t="s">
        <v>20</v>
      </c>
      <c r="K3" s="254" t="s">
        <v>35</v>
      </c>
    </row>
    <row r="4" spans="1:11">
      <c r="A4" s="255" t="s">
        <v>1</v>
      </c>
      <c r="B4" s="256">
        <v>0.94118000000000002</v>
      </c>
      <c r="C4" s="256">
        <v>3.9219999999999998E-2</v>
      </c>
      <c r="D4" s="256">
        <v>0</v>
      </c>
      <c r="E4" s="256">
        <v>0</v>
      </c>
      <c r="F4" s="256">
        <v>0</v>
      </c>
      <c r="G4" s="256">
        <v>0</v>
      </c>
      <c r="H4" s="256">
        <v>0</v>
      </c>
      <c r="I4" s="256">
        <v>0</v>
      </c>
      <c r="J4" s="256">
        <v>1.9609999999999999E-2</v>
      </c>
      <c r="K4" s="256">
        <v>0</v>
      </c>
    </row>
    <row r="5" spans="1:11">
      <c r="A5" s="255" t="s">
        <v>36</v>
      </c>
      <c r="B5" s="256">
        <v>0</v>
      </c>
      <c r="C5" s="256">
        <v>0.89958000000000005</v>
      </c>
      <c r="D5" s="256">
        <v>5.4390000000000001E-2</v>
      </c>
      <c r="E5" s="256">
        <v>0</v>
      </c>
      <c r="F5" s="256">
        <v>0</v>
      </c>
      <c r="G5" s="256">
        <v>0</v>
      </c>
      <c r="H5" s="256">
        <v>0</v>
      </c>
      <c r="I5" s="256">
        <v>0</v>
      </c>
      <c r="J5" s="256">
        <v>4.6030000000000001E-2</v>
      </c>
      <c r="K5" s="256">
        <v>0</v>
      </c>
    </row>
    <row r="6" spans="1:11">
      <c r="A6" s="255" t="s">
        <v>3</v>
      </c>
      <c r="B6" s="256">
        <v>0</v>
      </c>
      <c r="C6" s="256">
        <v>4.7099999999999998E-3</v>
      </c>
      <c r="D6" s="256">
        <v>0.89753000000000005</v>
      </c>
      <c r="E6" s="256">
        <v>6.0069999999999998E-2</v>
      </c>
      <c r="F6" s="256">
        <v>0</v>
      </c>
      <c r="G6" s="256">
        <v>1.1800000000000001E-3</v>
      </c>
      <c r="H6" s="256">
        <v>0</v>
      </c>
      <c r="I6" s="256">
        <v>0</v>
      </c>
      <c r="J6" s="256">
        <v>3.6510000000000001E-2</v>
      </c>
      <c r="K6" s="256">
        <v>0</v>
      </c>
    </row>
    <row r="7" spans="1:11">
      <c r="A7" s="255" t="s">
        <v>4</v>
      </c>
      <c r="B7" s="256">
        <v>0</v>
      </c>
      <c r="C7" s="256">
        <v>6.9999999999999999E-4</v>
      </c>
      <c r="D7" s="256">
        <v>2.0959999999999999E-2</v>
      </c>
      <c r="E7" s="256">
        <v>0.90985000000000005</v>
      </c>
      <c r="F7" s="256">
        <v>2.7949999999999999E-2</v>
      </c>
      <c r="G7" s="256">
        <v>3.49E-3</v>
      </c>
      <c r="H7" s="256">
        <v>6.9999999999999999E-4</v>
      </c>
      <c r="I7" s="256">
        <v>0</v>
      </c>
      <c r="J7" s="256">
        <v>3.5639999999999998E-2</v>
      </c>
      <c r="K7" s="256">
        <v>6.9999999999999999E-4</v>
      </c>
    </row>
    <row r="8" spans="1:11">
      <c r="A8" s="255" t="s">
        <v>37</v>
      </c>
      <c r="B8" s="256">
        <v>0</v>
      </c>
      <c r="C8" s="256">
        <v>0</v>
      </c>
      <c r="D8" s="256">
        <v>1.66E-3</v>
      </c>
      <c r="E8" s="256">
        <v>5.1319999999999998E-2</v>
      </c>
      <c r="F8" s="256">
        <v>0.75992999999999999</v>
      </c>
      <c r="G8" s="256">
        <v>8.609E-2</v>
      </c>
      <c r="H8" s="256">
        <v>1.66E-3</v>
      </c>
      <c r="I8" s="256">
        <v>0</v>
      </c>
      <c r="J8" s="256">
        <v>9.4369999999999996E-2</v>
      </c>
      <c r="K8" s="256">
        <v>4.9699999999999996E-3</v>
      </c>
    </row>
    <row r="9" spans="1:11">
      <c r="A9" s="255" t="s">
        <v>6</v>
      </c>
      <c r="B9" s="256">
        <v>0</v>
      </c>
      <c r="C9" s="256">
        <v>0</v>
      </c>
      <c r="D9" s="256">
        <v>0</v>
      </c>
      <c r="E9" s="256">
        <v>3.3E-3</v>
      </c>
      <c r="F9" s="256">
        <v>3.551E-2</v>
      </c>
      <c r="G9" s="256">
        <v>0.74814000000000003</v>
      </c>
      <c r="H9" s="256">
        <v>8.3400000000000002E-2</v>
      </c>
      <c r="I9" s="256">
        <v>2.48E-3</v>
      </c>
      <c r="J9" s="256">
        <v>0.11891</v>
      </c>
      <c r="K9" s="256">
        <v>8.26E-3</v>
      </c>
    </row>
    <row r="10" spans="1:11">
      <c r="A10" s="255" t="s">
        <v>30</v>
      </c>
      <c r="B10" s="256">
        <v>0</v>
      </c>
      <c r="C10" s="256">
        <v>0</v>
      </c>
      <c r="D10" s="256">
        <v>0</v>
      </c>
      <c r="E10" s="256">
        <v>0</v>
      </c>
      <c r="F10" s="256">
        <v>5.4200000000000003E-3</v>
      </c>
      <c r="G10" s="256">
        <v>7.4010000000000006E-2</v>
      </c>
      <c r="H10" s="256">
        <v>0.72924</v>
      </c>
      <c r="I10" s="256">
        <v>1.6250000000000001E-2</v>
      </c>
      <c r="J10" s="256">
        <v>0.11913</v>
      </c>
      <c r="K10" s="256">
        <v>5.5960000000000003E-2</v>
      </c>
    </row>
    <row r="11" spans="1:11">
      <c r="A11" s="257" t="s">
        <v>38</v>
      </c>
      <c r="B11" s="258">
        <v>0</v>
      </c>
      <c r="C11" s="258">
        <v>0</v>
      </c>
      <c r="D11" s="258">
        <v>0</v>
      </c>
      <c r="E11" s="258">
        <v>0</v>
      </c>
      <c r="F11" s="258">
        <v>0</v>
      </c>
      <c r="G11" s="258">
        <v>0</v>
      </c>
      <c r="H11" s="258">
        <v>3.3329999999999999E-2</v>
      </c>
      <c r="I11" s="258">
        <v>0.16667000000000001</v>
      </c>
      <c r="J11" s="258">
        <v>0.1</v>
      </c>
      <c r="K11" s="258">
        <v>0.7</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zoomScaleNormal="100" workbookViewId="0"/>
  </sheetViews>
  <sheetFormatPr defaultRowHeight="15"/>
  <cols>
    <col min="1" max="11" width="9.28515625" style="10" customWidth="1"/>
    <col min="12" max="16384" width="9.140625" style="10"/>
  </cols>
  <sheetData>
    <row r="1" spans="1:11">
      <c r="A1" s="79" t="s">
        <v>216</v>
      </c>
      <c r="C1" s="74"/>
      <c r="D1" s="74"/>
      <c r="G1" s="75"/>
    </row>
    <row r="2" spans="1:11">
      <c r="A2" s="79"/>
      <c r="C2" s="74"/>
      <c r="D2" s="74"/>
      <c r="G2" s="75"/>
    </row>
    <row r="3" spans="1:11">
      <c r="A3" s="253" t="s">
        <v>34</v>
      </c>
      <c r="B3" s="254" t="s">
        <v>1</v>
      </c>
      <c r="C3" s="254" t="s">
        <v>2</v>
      </c>
      <c r="D3" s="254" t="s">
        <v>3</v>
      </c>
      <c r="E3" s="254" t="s">
        <v>4</v>
      </c>
      <c r="F3" s="254" t="s">
        <v>5</v>
      </c>
      <c r="G3" s="254" t="s">
        <v>6</v>
      </c>
      <c r="H3" s="254" t="s">
        <v>30</v>
      </c>
      <c r="I3" s="254" t="s">
        <v>38</v>
      </c>
      <c r="J3" s="254" t="s">
        <v>20</v>
      </c>
      <c r="K3" s="254" t="s">
        <v>35</v>
      </c>
    </row>
    <row r="4" spans="1:11">
      <c r="A4" s="255" t="s">
        <v>1</v>
      </c>
      <c r="B4" s="256">
        <v>0.86334</v>
      </c>
      <c r="C4" s="256">
        <v>8.0089999999999995E-2</v>
      </c>
      <c r="D4" s="256">
        <v>8.4600000000000005E-3</v>
      </c>
      <c r="E4" s="256">
        <v>1.58E-3</v>
      </c>
      <c r="F4" s="256">
        <v>3.3E-4</v>
      </c>
      <c r="G4" s="256">
        <v>1.0000000000000001E-5</v>
      </c>
      <c r="H4" s="256">
        <v>1.0000000000000001E-5</v>
      </c>
      <c r="I4" s="256">
        <v>0</v>
      </c>
      <c r="J4" s="256">
        <v>4.6170000000000003E-2</v>
      </c>
      <c r="K4" s="256">
        <v>0</v>
      </c>
    </row>
    <row r="5" spans="1:11">
      <c r="A5" s="255" t="s">
        <v>36</v>
      </c>
      <c r="B5" s="256">
        <v>1.1520000000000001E-2</v>
      </c>
      <c r="C5" s="256">
        <v>0.83484000000000003</v>
      </c>
      <c r="D5" s="256">
        <v>7.4990000000000001E-2</v>
      </c>
      <c r="E5" s="256">
        <v>8.43E-3</v>
      </c>
      <c r="F5" s="256">
        <v>1.83E-3</v>
      </c>
      <c r="G5" s="256">
        <v>4.0000000000000002E-4</v>
      </c>
      <c r="H5" s="256">
        <v>6.0000000000000002E-5</v>
      </c>
      <c r="I5" s="256">
        <v>5.0000000000000002E-5</v>
      </c>
      <c r="J5" s="256">
        <v>6.7169999999999994E-2</v>
      </c>
      <c r="K5" s="256">
        <v>6.9999999999999999E-4</v>
      </c>
    </row>
    <row r="6" spans="1:11">
      <c r="A6" s="255" t="s">
        <v>3</v>
      </c>
      <c r="B6" s="256">
        <v>7.2000000000000005E-4</v>
      </c>
      <c r="C6" s="256">
        <v>2.734E-2</v>
      </c>
      <c r="D6" s="256">
        <v>0.84113000000000004</v>
      </c>
      <c r="E6" s="256">
        <v>5.7419999999999999E-2</v>
      </c>
      <c r="F6" s="256">
        <v>7.2700000000000004E-3</v>
      </c>
      <c r="G6" s="256">
        <v>1.2099999999999999E-3</v>
      </c>
      <c r="H6" s="256">
        <v>2.9E-4</v>
      </c>
      <c r="I6" s="256">
        <v>8.0000000000000007E-5</v>
      </c>
      <c r="J6" s="256">
        <v>6.3579999999999998E-2</v>
      </c>
      <c r="K6" s="256">
        <v>9.6000000000000002E-4</v>
      </c>
    </row>
    <row r="7" spans="1:11">
      <c r="A7" s="255" t="s">
        <v>4</v>
      </c>
      <c r="B7" s="256">
        <v>3.8000000000000002E-4</v>
      </c>
      <c r="C7" s="256">
        <v>2.6900000000000001E-3</v>
      </c>
      <c r="D7" s="256">
        <v>4.1209999999999997E-2</v>
      </c>
      <c r="E7" s="256">
        <v>0.81857999999999997</v>
      </c>
      <c r="F7" s="256">
        <v>4.8399999999999999E-2</v>
      </c>
      <c r="G7" s="256">
        <v>7.62E-3</v>
      </c>
      <c r="H7" s="256">
        <v>1.2099999999999999E-3</v>
      </c>
      <c r="I7" s="256">
        <v>1.3999999999999999E-4</v>
      </c>
      <c r="J7" s="256">
        <v>7.7049999999999993E-2</v>
      </c>
      <c r="K7" s="256">
        <v>2.7200000000000002E-3</v>
      </c>
    </row>
    <row r="8" spans="1:11">
      <c r="A8" s="255" t="s">
        <v>37</v>
      </c>
      <c r="B8" s="256">
        <v>6.9999999999999994E-5</v>
      </c>
      <c r="C8" s="256">
        <v>8.0000000000000004E-4</v>
      </c>
      <c r="D8" s="256">
        <v>4.5100000000000001E-3</v>
      </c>
      <c r="E8" s="256">
        <v>5.8889999999999998E-2</v>
      </c>
      <c r="F8" s="256">
        <v>0.73465999999999998</v>
      </c>
      <c r="G8" s="256">
        <v>6.8769999999999998E-2</v>
      </c>
      <c r="H8" s="256">
        <v>6.0200000000000002E-3</v>
      </c>
      <c r="I8" s="256">
        <v>5.9999999999999995E-4</v>
      </c>
      <c r="J8" s="256">
        <v>0.11304</v>
      </c>
      <c r="K8" s="256">
        <v>1.264E-2</v>
      </c>
    </row>
    <row r="9" spans="1:11">
      <c r="A9" s="255" t="s">
        <v>6</v>
      </c>
      <c r="B9" s="256">
        <v>6.0000000000000002E-5</v>
      </c>
      <c r="C9" s="256">
        <v>4.4000000000000002E-4</v>
      </c>
      <c r="D9" s="256">
        <v>1.41E-3</v>
      </c>
      <c r="E9" s="256">
        <v>5.4799999999999996E-3</v>
      </c>
      <c r="F9" s="256">
        <v>5.5079999999999997E-2</v>
      </c>
      <c r="G9" s="256">
        <v>0.71499000000000001</v>
      </c>
      <c r="H9" s="256">
        <v>5.6809999999999999E-2</v>
      </c>
      <c r="I9" s="256">
        <v>4.8700000000000002E-3</v>
      </c>
      <c r="J9" s="256">
        <v>0.12604000000000001</v>
      </c>
      <c r="K9" s="256">
        <v>3.483E-2</v>
      </c>
    </row>
    <row r="10" spans="1:11">
      <c r="A10" s="255" t="s">
        <v>30</v>
      </c>
      <c r="B10" s="256">
        <v>0</v>
      </c>
      <c r="C10" s="256">
        <v>1.7000000000000001E-4</v>
      </c>
      <c r="D10" s="256">
        <v>2.4000000000000001E-4</v>
      </c>
      <c r="E10" s="256">
        <v>1.5499999999999999E-3</v>
      </c>
      <c r="F10" s="256">
        <v>6.8500000000000002E-3</v>
      </c>
      <c r="G10" s="256">
        <v>8.3129999999999996E-2</v>
      </c>
      <c r="H10" s="256">
        <v>0.63990000000000002</v>
      </c>
      <c r="I10" s="256">
        <v>3.5209999999999998E-2</v>
      </c>
      <c r="J10" s="256">
        <v>0.11828</v>
      </c>
      <c r="K10" s="256">
        <v>0.11466</v>
      </c>
    </row>
    <row r="11" spans="1:11">
      <c r="A11" s="257" t="s">
        <v>38</v>
      </c>
      <c r="B11" s="258">
        <v>0</v>
      </c>
      <c r="C11" s="258">
        <v>2.4000000000000001E-4</v>
      </c>
      <c r="D11" s="258">
        <v>1.3500000000000001E-3</v>
      </c>
      <c r="E11" s="258">
        <v>5.5000000000000003E-4</v>
      </c>
      <c r="F11" s="258">
        <v>4.7499999999999999E-3</v>
      </c>
      <c r="G11" s="258">
        <v>2.9870000000000001E-2</v>
      </c>
      <c r="H11" s="258">
        <v>7.843E-2</v>
      </c>
      <c r="I11" s="258">
        <v>0.50899000000000005</v>
      </c>
      <c r="J11" s="258">
        <v>0.11939</v>
      </c>
      <c r="K11" s="258">
        <v>0.25644</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zoomScaleNormal="100" workbookViewId="0"/>
  </sheetViews>
  <sheetFormatPr defaultRowHeight="15"/>
  <cols>
    <col min="1" max="11" width="9.28515625" style="10" customWidth="1"/>
    <col min="12" max="16384" width="9.140625" style="10"/>
  </cols>
  <sheetData>
    <row r="1" spans="1:11">
      <c r="A1" s="79" t="s">
        <v>217</v>
      </c>
      <c r="C1" s="74"/>
      <c r="D1" s="74"/>
      <c r="G1" s="75"/>
    </row>
    <row r="2" spans="1:11">
      <c r="A2" s="79"/>
      <c r="C2" s="74"/>
      <c r="D2" s="74"/>
      <c r="G2" s="75"/>
    </row>
    <row r="3" spans="1:11">
      <c r="A3" s="253" t="s">
        <v>34</v>
      </c>
      <c r="B3" s="254" t="s">
        <v>1</v>
      </c>
      <c r="C3" s="254" t="s">
        <v>2</v>
      </c>
      <c r="D3" s="254" t="s">
        <v>3</v>
      </c>
      <c r="E3" s="254" t="s">
        <v>4</v>
      </c>
      <c r="F3" s="254" t="s">
        <v>5</v>
      </c>
      <c r="G3" s="254" t="s">
        <v>6</v>
      </c>
      <c r="H3" s="254" t="s">
        <v>30</v>
      </c>
      <c r="I3" s="254" t="s">
        <v>38</v>
      </c>
      <c r="J3" s="254" t="s">
        <v>20</v>
      </c>
      <c r="K3" s="254" t="s">
        <v>35</v>
      </c>
    </row>
    <row r="4" spans="1:11">
      <c r="A4" s="255" t="s">
        <v>1</v>
      </c>
      <c r="B4" s="256">
        <v>0.87080999999999997</v>
      </c>
      <c r="C4" s="256">
        <v>8.3260000000000001E-2</v>
      </c>
      <c r="D4" s="256">
        <v>6.2500000000000003E-3</v>
      </c>
      <c r="E4" s="256">
        <v>0</v>
      </c>
      <c r="F4" s="256">
        <v>2.7999999999999998E-4</v>
      </c>
      <c r="G4" s="256">
        <v>2.0000000000000002E-5</v>
      </c>
      <c r="H4" s="256">
        <v>2.0000000000000002E-5</v>
      </c>
      <c r="I4" s="256">
        <v>0</v>
      </c>
      <c r="J4" s="256">
        <v>3.9359999999999999E-2</v>
      </c>
      <c r="K4" s="256">
        <v>0</v>
      </c>
    </row>
    <row r="5" spans="1:11">
      <c r="A5" s="255" t="s">
        <v>36</v>
      </c>
      <c r="B5" s="256">
        <v>9.0100000000000006E-3</v>
      </c>
      <c r="C5" s="256">
        <v>0.84501999999999999</v>
      </c>
      <c r="D5" s="256">
        <v>8.4599999999999995E-2</v>
      </c>
      <c r="E5" s="256">
        <v>5.1000000000000004E-3</v>
      </c>
      <c r="F5" s="256">
        <v>6.7000000000000002E-4</v>
      </c>
      <c r="G5" s="256">
        <v>2.1000000000000001E-4</v>
      </c>
      <c r="H5" s="256">
        <v>8.0000000000000007E-5</v>
      </c>
      <c r="I5" s="256">
        <v>1.0000000000000001E-5</v>
      </c>
      <c r="J5" s="256">
        <v>5.509E-2</v>
      </c>
      <c r="K5" s="256">
        <v>2.1000000000000001E-4</v>
      </c>
    </row>
    <row r="6" spans="1:11">
      <c r="A6" s="255" t="s">
        <v>3</v>
      </c>
      <c r="B6" s="256">
        <v>5.1999999999999995E-4</v>
      </c>
      <c r="C6" s="256">
        <v>2.4279999999999999E-2</v>
      </c>
      <c r="D6" s="256">
        <v>0.86055999999999999</v>
      </c>
      <c r="E6" s="256">
        <v>5.5579999999999997E-2</v>
      </c>
      <c r="F6" s="256">
        <v>5.5100000000000001E-3</v>
      </c>
      <c r="G6" s="256">
        <v>1.09E-3</v>
      </c>
      <c r="H6" s="256">
        <v>3.2000000000000003E-4</v>
      </c>
      <c r="I6" s="256">
        <v>4.0000000000000003E-5</v>
      </c>
      <c r="J6" s="256">
        <v>5.1490000000000001E-2</v>
      </c>
      <c r="K6" s="256">
        <v>5.9999999999999995E-4</v>
      </c>
    </row>
    <row r="7" spans="1:11">
      <c r="A7" s="255" t="s">
        <v>4</v>
      </c>
      <c r="B7" s="256">
        <v>3.6999999999999999E-4</v>
      </c>
      <c r="C7" s="256">
        <v>1.67E-3</v>
      </c>
      <c r="D7" s="256">
        <v>3.9620000000000002E-2</v>
      </c>
      <c r="E7" s="256">
        <v>0.85179000000000005</v>
      </c>
      <c r="F7" s="256">
        <v>3.9390000000000001E-2</v>
      </c>
      <c r="G7" s="256">
        <v>7.3299999999999997E-3</v>
      </c>
      <c r="H7" s="256">
        <v>1.5399999999999999E-3</v>
      </c>
      <c r="I7" s="256">
        <v>1.6000000000000001E-4</v>
      </c>
      <c r="J7" s="256">
        <v>5.6439999999999997E-2</v>
      </c>
      <c r="K7" s="256">
        <v>1.6900000000000001E-3</v>
      </c>
    </row>
    <row r="8" spans="1:11">
      <c r="A8" s="255" t="s">
        <v>37</v>
      </c>
      <c r="B8" s="256">
        <v>6.9999999999999994E-5</v>
      </c>
      <c r="C8" s="256">
        <v>5.1999999999999995E-4</v>
      </c>
      <c r="D8" s="256">
        <v>3.3400000000000001E-3</v>
      </c>
      <c r="E8" s="256">
        <v>5.5960000000000003E-2</v>
      </c>
      <c r="F8" s="256">
        <v>0.75719000000000003</v>
      </c>
      <c r="G8" s="256">
        <v>7.3080000000000006E-2</v>
      </c>
      <c r="H8" s="256">
        <v>5.9100000000000003E-3</v>
      </c>
      <c r="I8" s="256">
        <v>6.4000000000000005E-4</v>
      </c>
      <c r="J8" s="256">
        <v>9.2740000000000003E-2</v>
      </c>
      <c r="K8" s="256">
        <v>1.055E-2</v>
      </c>
    </row>
    <row r="9" spans="1:11">
      <c r="A9" s="255" t="s">
        <v>6</v>
      </c>
      <c r="B9" s="256">
        <v>9.0000000000000006E-5</v>
      </c>
      <c r="C9" s="256">
        <v>2.7E-4</v>
      </c>
      <c r="D9" s="256">
        <v>1.1000000000000001E-3</v>
      </c>
      <c r="E9" s="256">
        <v>3.0400000000000002E-3</v>
      </c>
      <c r="F9" s="256">
        <v>4.5010000000000001E-2</v>
      </c>
      <c r="G9" s="256">
        <v>0.73516999999999999</v>
      </c>
      <c r="H9" s="256">
        <v>5.935E-2</v>
      </c>
      <c r="I9" s="256">
        <v>5.7299999999999999E-3</v>
      </c>
      <c r="J9" s="256">
        <v>0.11319</v>
      </c>
      <c r="K9" s="256">
        <v>3.7060000000000003E-2</v>
      </c>
    </row>
    <row r="10" spans="1:11">
      <c r="A10" s="255" t="s">
        <v>30</v>
      </c>
      <c r="B10" s="256">
        <v>0</v>
      </c>
      <c r="C10" s="256">
        <v>1.6000000000000001E-4</v>
      </c>
      <c r="D10" s="256">
        <v>1.6000000000000001E-4</v>
      </c>
      <c r="E10" s="256">
        <v>1.06E-3</v>
      </c>
      <c r="F10" s="256">
        <v>3.7299999999999998E-3</v>
      </c>
      <c r="G10" s="256">
        <v>8.5779999999999995E-2</v>
      </c>
      <c r="H10" s="256">
        <v>0.62583</v>
      </c>
      <c r="I10" s="256">
        <v>3.5749999999999997E-2</v>
      </c>
      <c r="J10" s="256">
        <v>0.11940000000000001</v>
      </c>
      <c r="K10" s="256">
        <v>0.12812999999999999</v>
      </c>
    </row>
    <row r="11" spans="1:11">
      <c r="A11" s="257" t="s">
        <v>38</v>
      </c>
      <c r="B11" s="258">
        <v>0</v>
      </c>
      <c r="C11" s="258">
        <v>0</v>
      </c>
      <c r="D11" s="258">
        <v>5.9000000000000003E-4</v>
      </c>
      <c r="E11" s="258">
        <v>0</v>
      </c>
      <c r="F11" s="258">
        <v>3.6600000000000001E-3</v>
      </c>
      <c r="G11" s="258">
        <v>2.034E-2</v>
      </c>
      <c r="H11" s="258">
        <v>9.0999999999999998E-2</v>
      </c>
      <c r="I11" s="258">
        <v>0.36415999999999998</v>
      </c>
      <c r="J11" s="258">
        <v>0.14030999999999999</v>
      </c>
      <c r="K11" s="258">
        <v>0.37996000000000002</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zoomScaleNormal="100" workbookViewId="0"/>
  </sheetViews>
  <sheetFormatPr defaultRowHeight="15"/>
  <cols>
    <col min="1" max="11" width="9.28515625" style="10" customWidth="1"/>
    <col min="12" max="16384" width="9.140625" style="10"/>
  </cols>
  <sheetData>
    <row r="1" spans="1:11">
      <c r="A1" s="79" t="s">
        <v>218</v>
      </c>
      <c r="C1" s="74"/>
      <c r="D1" s="74"/>
      <c r="G1" s="75"/>
    </row>
    <row r="2" spans="1:11">
      <c r="A2" s="79"/>
      <c r="C2" s="74"/>
      <c r="D2" s="74"/>
      <c r="G2" s="75"/>
    </row>
    <row r="3" spans="1:11">
      <c r="A3" s="253" t="s">
        <v>34</v>
      </c>
      <c r="B3" s="254" t="s">
        <v>1</v>
      </c>
      <c r="C3" s="254" t="s">
        <v>2</v>
      </c>
      <c r="D3" s="254" t="s">
        <v>3</v>
      </c>
      <c r="E3" s="254" t="s">
        <v>4</v>
      </c>
      <c r="F3" s="254" t="s">
        <v>5</v>
      </c>
      <c r="G3" s="254" t="s">
        <v>6</v>
      </c>
      <c r="H3" s="254" t="s">
        <v>30</v>
      </c>
      <c r="I3" s="254" t="s">
        <v>38</v>
      </c>
      <c r="J3" s="254" t="s">
        <v>20</v>
      </c>
      <c r="K3" s="254" t="s">
        <v>35</v>
      </c>
    </row>
    <row r="4" spans="1:11">
      <c r="A4" s="255" t="s">
        <v>1</v>
      </c>
      <c r="B4" s="256">
        <v>0.51312000000000002</v>
      </c>
      <c r="C4" s="256">
        <v>0.23591000000000001</v>
      </c>
      <c r="D4" s="256">
        <v>5.2269999999999997E-2</v>
      </c>
      <c r="E4" s="256">
        <v>3.65E-3</v>
      </c>
      <c r="F4" s="256">
        <v>3.31E-3</v>
      </c>
      <c r="G4" s="256">
        <v>3.6000000000000002E-4</v>
      </c>
      <c r="H4" s="256">
        <v>3.6000000000000002E-4</v>
      </c>
      <c r="I4" s="256">
        <v>0</v>
      </c>
      <c r="J4" s="256">
        <v>0.19012999999999999</v>
      </c>
      <c r="K4" s="256">
        <v>8.9999999999999998E-4</v>
      </c>
    </row>
    <row r="5" spans="1:11">
      <c r="A5" s="255" t="s">
        <v>36</v>
      </c>
      <c r="B5" s="256">
        <v>2.734E-2</v>
      </c>
      <c r="C5" s="256">
        <v>0.44850000000000001</v>
      </c>
      <c r="D5" s="256">
        <v>0.21271999999999999</v>
      </c>
      <c r="E5" s="256">
        <v>4.0939999999999997E-2</v>
      </c>
      <c r="F5" s="256">
        <v>7.45E-3</v>
      </c>
      <c r="G5" s="256">
        <v>2.6800000000000001E-3</v>
      </c>
      <c r="H5" s="256">
        <v>9.3999999999999997E-4</v>
      </c>
      <c r="I5" s="256">
        <v>1.2E-4</v>
      </c>
      <c r="J5" s="256">
        <v>0.25591000000000003</v>
      </c>
      <c r="K5" s="256">
        <v>3.3899999999999998E-3</v>
      </c>
    </row>
    <row r="6" spans="1:11">
      <c r="A6" s="255" t="s">
        <v>3</v>
      </c>
      <c r="B6" s="256">
        <v>1.8699999999999999E-3</v>
      </c>
      <c r="C6" s="256">
        <v>7.4139999999999998E-2</v>
      </c>
      <c r="D6" s="256">
        <v>0.49893999999999999</v>
      </c>
      <c r="E6" s="256">
        <v>0.14494000000000001</v>
      </c>
      <c r="F6" s="256">
        <v>2.6200000000000001E-2</v>
      </c>
      <c r="G6" s="256">
        <v>8.4700000000000001E-3</v>
      </c>
      <c r="H6" s="256">
        <v>1.8500000000000001E-3</v>
      </c>
      <c r="I6" s="256">
        <v>6.0000000000000002E-5</v>
      </c>
      <c r="J6" s="256">
        <v>0.23604</v>
      </c>
      <c r="K6" s="256">
        <v>7.4999999999999997E-3</v>
      </c>
    </row>
    <row r="7" spans="1:11">
      <c r="A7" s="255" t="s">
        <v>4</v>
      </c>
      <c r="B7" s="256">
        <v>1.7600000000000001E-3</v>
      </c>
      <c r="C7" s="256">
        <v>1.0120000000000001E-2</v>
      </c>
      <c r="D7" s="256">
        <v>0.11738999999999999</v>
      </c>
      <c r="E7" s="256">
        <v>0.47378999999999999</v>
      </c>
      <c r="F7" s="256">
        <v>8.4370000000000001E-2</v>
      </c>
      <c r="G7" s="256">
        <v>2.7150000000000001E-2</v>
      </c>
      <c r="H7" s="256">
        <v>5.3800000000000002E-3</v>
      </c>
      <c r="I7" s="256">
        <v>6.8000000000000005E-4</v>
      </c>
      <c r="J7" s="256">
        <v>0.26318999999999998</v>
      </c>
      <c r="K7" s="256">
        <v>1.617E-2</v>
      </c>
    </row>
    <row r="8" spans="1:11">
      <c r="A8" s="255" t="s">
        <v>37</v>
      </c>
      <c r="B8" s="256">
        <v>4.0000000000000002E-4</v>
      </c>
      <c r="C8" s="256">
        <v>1.6000000000000001E-3</v>
      </c>
      <c r="D8" s="256">
        <v>1.9900000000000001E-2</v>
      </c>
      <c r="E8" s="256">
        <v>0.11806999999999999</v>
      </c>
      <c r="F8" s="256">
        <v>0.26539000000000001</v>
      </c>
      <c r="G8" s="256">
        <v>0.10929999999999999</v>
      </c>
      <c r="H8" s="256">
        <v>1.4449999999999999E-2</v>
      </c>
      <c r="I8" s="256">
        <v>1.1199999999999999E-3</v>
      </c>
      <c r="J8" s="256">
        <v>0.38995000000000002</v>
      </c>
      <c r="K8" s="256">
        <v>7.9829999999999998E-2</v>
      </c>
    </row>
    <row r="9" spans="1:11">
      <c r="A9" s="255" t="s">
        <v>6</v>
      </c>
      <c r="B9" s="256">
        <v>2.9999999999999997E-4</v>
      </c>
      <c r="C9" s="256">
        <v>4.2999999999999999E-4</v>
      </c>
      <c r="D9" s="256">
        <v>2.47E-3</v>
      </c>
      <c r="E9" s="256">
        <v>1.6310000000000002E-2</v>
      </c>
      <c r="F9" s="256">
        <v>6.3820000000000002E-2</v>
      </c>
      <c r="G9" s="256">
        <v>0.21904000000000001</v>
      </c>
      <c r="H9" s="256">
        <v>5.2850000000000001E-2</v>
      </c>
      <c r="I9" s="256">
        <v>6.1199999999999996E-3</v>
      </c>
      <c r="J9" s="256">
        <v>0.44763999999999998</v>
      </c>
      <c r="K9" s="256">
        <v>0.19103000000000001</v>
      </c>
    </row>
    <row r="10" spans="1:11">
      <c r="A10" s="255" t="s">
        <v>30</v>
      </c>
      <c r="B10" s="256">
        <v>0</v>
      </c>
      <c r="C10" s="256">
        <v>0</v>
      </c>
      <c r="D10" s="256">
        <v>1.9000000000000001E-4</v>
      </c>
      <c r="E10" s="256">
        <v>5.4000000000000003E-3</v>
      </c>
      <c r="F10" s="256">
        <v>1.519E-2</v>
      </c>
      <c r="G10" s="256">
        <v>7.6300000000000007E-2</v>
      </c>
      <c r="H10" s="256">
        <v>9.6390000000000003E-2</v>
      </c>
      <c r="I10" s="256">
        <v>1.0200000000000001E-2</v>
      </c>
      <c r="J10" s="256">
        <v>0.42054999999999998</v>
      </c>
      <c r="K10" s="256">
        <v>0.37580000000000002</v>
      </c>
    </row>
    <row r="11" spans="1:11">
      <c r="A11" s="257" t="s">
        <v>38</v>
      </c>
      <c r="B11" s="258">
        <v>0</v>
      </c>
      <c r="C11" s="258">
        <v>0</v>
      </c>
      <c r="D11" s="258">
        <v>0</v>
      </c>
      <c r="E11" s="258">
        <v>0</v>
      </c>
      <c r="F11" s="258">
        <v>0</v>
      </c>
      <c r="G11" s="258">
        <v>3.1220000000000001E-2</v>
      </c>
      <c r="H11" s="258">
        <v>1.6990000000000002E-2</v>
      </c>
      <c r="I11" s="258">
        <v>4.367E-2</v>
      </c>
      <c r="J11" s="258">
        <v>0.38490000000000002</v>
      </c>
      <c r="K11" s="258">
        <v>0.52322000000000002</v>
      </c>
    </row>
    <row r="12" spans="1:11">
      <c r="A12" s="10" t="s">
        <v>373</v>
      </c>
      <c r="B12" s="259"/>
      <c r="C12" s="259"/>
      <c r="D12" s="259"/>
      <c r="E12" s="259"/>
      <c r="F12" s="259"/>
      <c r="G12" s="259"/>
      <c r="H12" s="259"/>
      <c r="I12" s="259"/>
      <c r="J12" s="259"/>
      <c r="K12" s="259"/>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4"/>
  <sheetViews>
    <sheetView zoomScaleNormal="100" workbookViewId="0"/>
  </sheetViews>
  <sheetFormatPr defaultRowHeight="15"/>
  <cols>
    <col min="1" max="23" width="8.85546875" style="10" customWidth="1"/>
    <col min="24" max="16384" width="9.140625" style="10"/>
  </cols>
  <sheetData>
    <row r="1" spans="1:23">
      <c r="A1" s="79" t="s">
        <v>219</v>
      </c>
      <c r="C1" s="74"/>
      <c r="D1" s="74"/>
      <c r="G1" s="75"/>
    </row>
    <row r="2" spans="1:23">
      <c r="A2" s="79"/>
      <c r="C2" s="74"/>
      <c r="D2" s="74"/>
      <c r="G2" s="75"/>
    </row>
    <row r="3" spans="1:23">
      <c r="A3" s="260" t="s">
        <v>330</v>
      </c>
      <c r="B3" s="261" t="s">
        <v>1</v>
      </c>
      <c r="C3" s="261" t="s">
        <v>29</v>
      </c>
      <c r="D3" s="261" t="s">
        <v>28</v>
      </c>
      <c r="E3" s="261" t="s">
        <v>24</v>
      </c>
      <c r="F3" s="261" t="s">
        <v>23</v>
      </c>
      <c r="G3" s="261" t="s">
        <v>25</v>
      </c>
      <c r="H3" s="261" t="s">
        <v>27</v>
      </c>
      <c r="I3" s="261" t="s">
        <v>15</v>
      </c>
      <c r="J3" s="261" t="s">
        <v>21</v>
      </c>
      <c r="K3" s="261" t="s">
        <v>26</v>
      </c>
      <c r="L3" s="261" t="s">
        <v>18</v>
      </c>
      <c r="M3" s="261" t="s">
        <v>22</v>
      </c>
      <c r="N3" s="261" t="s">
        <v>16</v>
      </c>
      <c r="O3" s="261" t="s">
        <v>14</v>
      </c>
      <c r="P3" s="261" t="s">
        <v>13</v>
      </c>
      <c r="Q3" s="261" t="s">
        <v>11</v>
      </c>
      <c r="R3" s="261" t="s">
        <v>19</v>
      </c>
      <c r="S3" s="261" t="s">
        <v>17</v>
      </c>
      <c r="T3" s="261" t="s">
        <v>12</v>
      </c>
      <c r="U3" s="261" t="s">
        <v>38</v>
      </c>
      <c r="V3" s="261" t="s">
        <v>20</v>
      </c>
      <c r="W3" s="261" t="s">
        <v>35</v>
      </c>
    </row>
    <row r="4" spans="1:23">
      <c r="A4" s="262" t="s">
        <v>1</v>
      </c>
      <c r="B4" s="263">
        <v>94.117999999999995</v>
      </c>
      <c r="C4" s="263">
        <v>3.9220000000000002</v>
      </c>
      <c r="D4" s="263">
        <v>0</v>
      </c>
      <c r="E4" s="263">
        <v>0</v>
      </c>
      <c r="F4" s="263">
        <v>0</v>
      </c>
      <c r="G4" s="263">
        <v>0</v>
      </c>
      <c r="H4" s="263">
        <v>0</v>
      </c>
      <c r="I4" s="263">
        <v>0</v>
      </c>
      <c r="J4" s="263">
        <v>0</v>
      </c>
      <c r="K4" s="263">
        <v>0</v>
      </c>
      <c r="L4" s="263">
        <v>0</v>
      </c>
      <c r="M4" s="263">
        <v>0</v>
      </c>
      <c r="N4" s="263">
        <v>0</v>
      </c>
      <c r="O4" s="263">
        <v>0</v>
      </c>
      <c r="P4" s="263">
        <v>0</v>
      </c>
      <c r="Q4" s="263">
        <v>0</v>
      </c>
      <c r="R4" s="263">
        <v>0</v>
      </c>
      <c r="S4" s="263">
        <v>0</v>
      </c>
      <c r="T4" s="263">
        <v>0</v>
      </c>
      <c r="U4" s="263">
        <v>0</v>
      </c>
      <c r="V4" s="263">
        <v>1.9610000000000001</v>
      </c>
      <c r="W4" s="263">
        <v>0</v>
      </c>
    </row>
    <row r="5" spans="1:23">
      <c r="A5" s="262" t="s">
        <v>29</v>
      </c>
      <c r="B5" s="263">
        <v>0</v>
      </c>
      <c r="C5" s="263">
        <v>77.778000000000006</v>
      </c>
      <c r="D5" s="263">
        <v>16.667000000000002</v>
      </c>
      <c r="E5" s="263">
        <v>0</v>
      </c>
      <c r="F5" s="263">
        <v>0</v>
      </c>
      <c r="G5" s="263">
        <v>0</v>
      </c>
      <c r="H5" s="263">
        <v>0</v>
      </c>
      <c r="I5" s="263">
        <v>0</v>
      </c>
      <c r="J5" s="263">
        <v>0</v>
      </c>
      <c r="K5" s="263">
        <v>0</v>
      </c>
      <c r="L5" s="263">
        <v>0</v>
      </c>
      <c r="M5" s="263">
        <v>0</v>
      </c>
      <c r="N5" s="263">
        <v>0</v>
      </c>
      <c r="O5" s="263">
        <v>0</v>
      </c>
      <c r="P5" s="263">
        <v>0</v>
      </c>
      <c r="Q5" s="263">
        <v>0</v>
      </c>
      <c r="R5" s="263">
        <v>0</v>
      </c>
      <c r="S5" s="263">
        <v>0</v>
      </c>
      <c r="T5" s="263">
        <v>0</v>
      </c>
      <c r="U5" s="263">
        <v>0</v>
      </c>
      <c r="V5" s="263">
        <v>5.556</v>
      </c>
      <c r="W5" s="263">
        <v>0</v>
      </c>
    </row>
    <row r="6" spans="1:23">
      <c r="A6" s="262" t="s">
        <v>28</v>
      </c>
      <c r="B6" s="263">
        <v>0</v>
      </c>
      <c r="C6" s="263">
        <v>0</v>
      </c>
      <c r="D6" s="263">
        <v>67.924999999999997</v>
      </c>
      <c r="E6" s="263">
        <v>24.527999999999999</v>
      </c>
      <c r="F6" s="263">
        <v>0</v>
      </c>
      <c r="G6" s="263">
        <v>1.887</v>
      </c>
      <c r="H6" s="263">
        <v>0</v>
      </c>
      <c r="I6" s="263">
        <v>0</v>
      </c>
      <c r="J6" s="263">
        <v>0</v>
      </c>
      <c r="K6" s="263">
        <v>0</v>
      </c>
      <c r="L6" s="263">
        <v>0</v>
      </c>
      <c r="M6" s="263">
        <v>0</v>
      </c>
      <c r="N6" s="263">
        <v>0</v>
      </c>
      <c r="O6" s="263">
        <v>0</v>
      </c>
      <c r="P6" s="263">
        <v>0</v>
      </c>
      <c r="Q6" s="263">
        <v>0</v>
      </c>
      <c r="R6" s="263">
        <v>0</v>
      </c>
      <c r="S6" s="263">
        <v>0</v>
      </c>
      <c r="T6" s="263">
        <v>0</v>
      </c>
      <c r="U6" s="263">
        <v>0</v>
      </c>
      <c r="V6" s="263">
        <v>5.66</v>
      </c>
      <c r="W6" s="263">
        <v>0</v>
      </c>
    </row>
    <row r="7" spans="1:23">
      <c r="A7" s="262" t="s">
        <v>24</v>
      </c>
      <c r="B7" s="263">
        <v>0</v>
      </c>
      <c r="C7" s="263">
        <v>0</v>
      </c>
      <c r="D7" s="263">
        <v>0</v>
      </c>
      <c r="E7" s="263">
        <v>87.120999999999995</v>
      </c>
      <c r="F7" s="263">
        <v>9.0909999999999993</v>
      </c>
      <c r="G7" s="263">
        <v>0</v>
      </c>
      <c r="H7" s="263">
        <v>0</v>
      </c>
      <c r="I7" s="263">
        <v>0</v>
      </c>
      <c r="J7" s="263">
        <v>0</v>
      </c>
      <c r="K7" s="263">
        <v>0</v>
      </c>
      <c r="L7" s="263">
        <v>0</v>
      </c>
      <c r="M7" s="263">
        <v>0</v>
      </c>
      <c r="N7" s="263">
        <v>0</v>
      </c>
      <c r="O7" s="263">
        <v>0</v>
      </c>
      <c r="P7" s="263">
        <v>0</v>
      </c>
      <c r="Q7" s="263">
        <v>0</v>
      </c>
      <c r="R7" s="263">
        <v>0</v>
      </c>
      <c r="S7" s="263">
        <v>0</v>
      </c>
      <c r="T7" s="263">
        <v>0</v>
      </c>
      <c r="U7" s="263">
        <v>0</v>
      </c>
      <c r="V7" s="263">
        <v>3.7879999999999998</v>
      </c>
      <c r="W7" s="263">
        <v>0</v>
      </c>
    </row>
    <row r="8" spans="1:23">
      <c r="A8" s="262" t="s">
        <v>23</v>
      </c>
      <c r="B8" s="263">
        <v>0</v>
      </c>
      <c r="C8" s="263">
        <v>0</v>
      </c>
      <c r="D8" s="263">
        <v>0</v>
      </c>
      <c r="E8" s="263">
        <v>1.9139999999999999</v>
      </c>
      <c r="F8" s="263">
        <v>86.602999999999994</v>
      </c>
      <c r="G8" s="263">
        <v>7.6559999999999997</v>
      </c>
      <c r="H8" s="263">
        <v>2.3919999999999999</v>
      </c>
      <c r="I8" s="263">
        <v>0</v>
      </c>
      <c r="J8" s="263">
        <v>0</v>
      </c>
      <c r="K8" s="263">
        <v>0</v>
      </c>
      <c r="L8" s="263">
        <v>0</v>
      </c>
      <c r="M8" s="263">
        <v>0</v>
      </c>
      <c r="N8" s="263">
        <v>0</v>
      </c>
      <c r="O8" s="263">
        <v>0</v>
      </c>
      <c r="P8" s="263">
        <v>0</v>
      </c>
      <c r="Q8" s="263">
        <v>0</v>
      </c>
      <c r="R8" s="263">
        <v>0</v>
      </c>
      <c r="S8" s="263">
        <v>0</v>
      </c>
      <c r="T8" s="263">
        <v>0</v>
      </c>
      <c r="U8" s="263">
        <v>0</v>
      </c>
      <c r="V8" s="263">
        <v>1.4350000000000001</v>
      </c>
      <c r="W8" s="263">
        <v>0</v>
      </c>
    </row>
    <row r="9" spans="1:23">
      <c r="A9" s="262" t="s">
        <v>25</v>
      </c>
      <c r="B9" s="263">
        <v>0</v>
      </c>
      <c r="C9" s="263">
        <v>0</v>
      </c>
      <c r="D9" s="263">
        <v>0</v>
      </c>
      <c r="E9" s="263">
        <v>0</v>
      </c>
      <c r="F9" s="263">
        <v>2.1579999999999999</v>
      </c>
      <c r="G9" s="263">
        <v>86.691000000000003</v>
      </c>
      <c r="H9" s="263">
        <v>5.3959999999999999</v>
      </c>
      <c r="I9" s="263">
        <v>2.1579999999999999</v>
      </c>
      <c r="J9" s="263">
        <v>0</v>
      </c>
      <c r="K9" s="263">
        <v>0</v>
      </c>
      <c r="L9" s="263">
        <v>0</v>
      </c>
      <c r="M9" s="263">
        <v>0</v>
      </c>
      <c r="N9" s="263">
        <v>0</v>
      </c>
      <c r="O9" s="263">
        <v>0.36</v>
      </c>
      <c r="P9" s="263">
        <v>0</v>
      </c>
      <c r="Q9" s="263">
        <v>0</v>
      </c>
      <c r="R9" s="263">
        <v>0</v>
      </c>
      <c r="S9" s="263">
        <v>0</v>
      </c>
      <c r="T9" s="263">
        <v>0</v>
      </c>
      <c r="U9" s="263">
        <v>0</v>
      </c>
      <c r="V9" s="263">
        <v>3.2370000000000001</v>
      </c>
      <c r="W9" s="263">
        <v>0</v>
      </c>
    </row>
    <row r="10" spans="1:23">
      <c r="A10" s="262" t="s">
        <v>27</v>
      </c>
      <c r="B10" s="263">
        <v>0</v>
      </c>
      <c r="C10" s="263">
        <v>0</v>
      </c>
      <c r="D10" s="263">
        <v>0</v>
      </c>
      <c r="E10" s="263">
        <v>0</v>
      </c>
      <c r="F10" s="263">
        <v>0</v>
      </c>
      <c r="G10" s="263">
        <v>3.0390000000000001</v>
      </c>
      <c r="H10" s="263">
        <v>79.281999999999996</v>
      </c>
      <c r="I10" s="263">
        <v>9.3919999999999995</v>
      </c>
      <c r="J10" s="263">
        <v>2.762</v>
      </c>
      <c r="K10" s="263">
        <v>0.27600000000000002</v>
      </c>
      <c r="L10" s="263">
        <v>0</v>
      </c>
      <c r="M10" s="263">
        <v>0</v>
      </c>
      <c r="N10" s="263">
        <v>0</v>
      </c>
      <c r="O10" s="263">
        <v>0</v>
      </c>
      <c r="P10" s="263">
        <v>0</v>
      </c>
      <c r="Q10" s="263">
        <v>0</v>
      </c>
      <c r="R10" s="263">
        <v>0</v>
      </c>
      <c r="S10" s="263">
        <v>0</v>
      </c>
      <c r="T10" s="263">
        <v>0</v>
      </c>
      <c r="U10" s="263">
        <v>0</v>
      </c>
      <c r="V10" s="263">
        <v>5.2489999999999997</v>
      </c>
      <c r="W10" s="263">
        <v>0</v>
      </c>
    </row>
    <row r="11" spans="1:23">
      <c r="A11" s="262" t="s">
        <v>15</v>
      </c>
      <c r="B11" s="263">
        <v>0</v>
      </c>
      <c r="C11" s="263">
        <v>0</v>
      </c>
      <c r="D11" s="263">
        <v>0</v>
      </c>
      <c r="E11" s="263">
        <v>0</v>
      </c>
      <c r="F11" s="263">
        <v>0</v>
      </c>
      <c r="G11" s="263">
        <v>0.23499999999999999</v>
      </c>
      <c r="H11" s="263">
        <v>6.3380000000000001</v>
      </c>
      <c r="I11" s="263">
        <v>79.343000000000004</v>
      </c>
      <c r="J11" s="263">
        <v>10.563000000000001</v>
      </c>
      <c r="K11" s="263">
        <v>0.70399999999999996</v>
      </c>
      <c r="L11" s="263">
        <v>0</v>
      </c>
      <c r="M11" s="263">
        <v>0</v>
      </c>
      <c r="N11" s="263">
        <v>0</v>
      </c>
      <c r="O11" s="263">
        <v>0</v>
      </c>
      <c r="P11" s="263">
        <v>0</v>
      </c>
      <c r="Q11" s="263">
        <v>0</v>
      </c>
      <c r="R11" s="263">
        <v>0</v>
      </c>
      <c r="S11" s="263">
        <v>0</v>
      </c>
      <c r="T11" s="263">
        <v>0</v>
      </c>
      <c r="U11" s="263">
        <v>0</v>
      </c>
      <c r="V11" s="263">
        <v>2.5819999999999999</v>
      </c>
      <c r="W11" s="263">
        <v>0.23499999999999999</v>
      </c>
    </row>
    <row r="12" spans="1:23">
      <c r="A12" s="262" t="s">
        <v>21</v>
      </c>
      <c r="B12" s="263">
        <v>0</v>
      </c>
      <c r="C12" s="263">
        <v>0</v>
      </c>
      <c r="D12" s="263">
        <v>0</v>
      </c>
      <c r="E12" s="263">
        <v>0</v>
      </c>
      <c r="F12" s="263">
        <v>0</v>
      </c>
      <c r="G12" s="263">
        <v>0</v>
      </c>
      <c r="H12" s="263">
        <v>0.36</v>
      </c>
      <c r="I12" s="263">
        <v>5.5759999999999996</v>
      </c>
      <c r="J12" s="263">
        <v>82.733999999999995</v>
      </c>
      <c r="K12" s="263">
        <v>5.3959999999999999</v>
      </c>
      <c r="L12" s="263">
        <v>0.71899999999999997</v>
      </c>
      <c r="M12" s="263">
        <v>0.18</v>
      </c>
      <c r="N12" s="263">
        <v>0</v>
      </c>
      <c r="O12" s="263">
        <v>0.18</v>
      </c>
      <c r="P12" s="263">
        <v>0.54</v>
      </c>
      <c r="Q12" s="263">
        <v>0</v>
      </c>
      <c r="R12" s="263">
        <v>0.18</v>
      </c>
      <c r="S12" s="263">
        <v>0</v>
      </c>
      <c r="T12" s="263">
        <v>0</v>
      </c>
      <c r="U12" s="263">
        <v>0</v>
      </c>
      <c r="V12" s="263">
        <v>4.1369999999999996</v>
      </c>
      <c r="W12" s="263">
        <v>0</v>
      </c>
    </row>
    <row r="13" spans="1:23">
      <c r="A13" s="262" t="s">
        <v>26</v>
      </c>
      <c r="B13" s="263">
        <v>0</v>
      </c>
      <c r="C13" s="263">
        <v>0</v>
      </c>
      <c r="D13" s="263">
        <v>0</v>
      </c>
      <c r="E13" s="263">
        <v>0.223</v>
      </c>
      <c r="F13" s="263">
        <v>0</v>
      </c>
      <c r="G13" s="263">
        <v>0</v>
      </c>
      <c r="H13" s="263">
        <v>0</v>
      </c>
      <c r="I13" s="263">
        <v>0.44500000000000001</v>
      </c>
      <c r="J13" s="263">
        <v>5.3449999999999998</v>
      </c>
      <c r="K13" s="263">
        <v>82.183000000000007</v>
      </c>
      <c r="L13" s="263">
        <v>6.4589999999999996</v>
      </c>
      <c r="M13" s="263">
        <v>0.89100000000000001</v>
      </c>
      <c r="N13" s="263">
        <v>0.44500000000000001</v>
      </c>
      <c r="O13" s="263">
        <v>0.223</v>
      </c>
      <c r="P13" s="263">
        <v>0</v>
      </c>
      <c r="Q13" s="263">
        <v>0</v>
      </c>
      <c r="R13" s="263">
        <v>0</v>
      </c>
      <c r="S13" s="263">
        <v>0</v>
      </c>
      <c r="T13" s="263">
        <v>0</v>
      </c>
      <c r="U13" s="263">
        <v>0</v>
      </c>
      <c r="V13" s="263">
        <v>3.786</v>
      </c>
      <c r="W13" s="263">
        <v>0</v>
      </c>
    </row>
    <row r="14" spans="1:23">
      <c r="A14" s="262" t="s">
        <v>18</v>
      </c>
      <c r="B14" s="263">
        <v>0</v>
      </c>
      <c r="C14" s="263">
        <v>0</v>
      </c>
      <c r="D14" s="263">
        <v>0</v>
      </c>
      <c r="E14" s="263">
        <v>0</v>
      </c>
      <c r="F14" s="263">
        <v>0</v>
      </c>
      <c r="G14" s="263">
        <v>0</v>
      </c>
      <c r="H14" s="263">
        <v>0</v>
      </c>
      <c r="I14" s="263">
        <v>0</v>
      </c>
      <c r="J14" s="263">
        <v>0</v>
      </c>
      <c r="K14" s="263">
        <v>10.494</v>
      </c>
      <c r="L14" s="263">
        <v>69.753</v>
      </c>
      <c r="M14" s="263">
        <v>8.0250000000000004</v>
      </c>
      <c r="N14" s="263">
        <v>2.4689999999999999</v>
      </c>
      <c r="O14" s="263">
        <v>0</v>
      </c>
      <c r="P14" s="263">
        <v>1.8520000000000001</v>
      </c>
      <c r="Q14" s="263">
        <v>0</v>
      </c>
      <c r="R14" s="263">
        <v>0</v>
      </c>
      <c r="S14" s="263">
        <v>0</v>
      </c>
      <c r="T14" s="263">
        <v>0</v>
      </c>
      <c r="U14" s="263">
        <v>0</v>
      </c>
      <c r="V14" s="263">
        <v>7.407</v>
      </c>
      <c r="W14" s="263">
        <v>0</v>
      </c>
    </row>
    <row r="15" spans="1:23">
      <c r="A15" s="262" t="s">
        <v>22</v>
      </c>
      <c r="B15" s="263">
        <v>0</v>
      </c>
      <c r="C15" s="263">
        <v>0</v>
      </c>
      <c r="D15" s="263">
        <v>0</v>
      </c>
      <c r="E15" s="263">
        <v>0</v>
      </c>
      <c r="F15" s="263">
        <v>0</v>
      </c>
      <c r="G15" s="263">
        <v>0</v>
      </c>
      <c r="H15" s="263">
        <v>0</v>
      </c>
      <c r="I15" s="263">
        <v>0</v>
      </c>
      <c r="J15" s="263">
        <v>0.48499999999999999</v>
      </c>
      <c r="K15" s="263">
        <v>5.8250000000000002</v>
      </c>
      <c r="L15" s="263">
        <v>6.7960000000000003</v>
      </c>
      <c r="M15" s="263">
        <v>61.164999999999999</v>
      </c>
      <c r="N15" s="263">
        <v>9.2230000000000008</v>
      </c>
      <c r="O15" s="263">
        <v>5.8250000000000002</v>
      </c>
      <c r="P15" s="263">
        <v>0.97099999999999997</v>
      </c>
      <c r="Q15" s="263">
        <v>0.97099999999999997</v>
      </c>
      <c r="R15" s="263">
        <v>0</v>
      </c>
      <c r="S15" s="263">
        <v>0</v>
      </c>
      <c r="T15" s="263">
        <v>0</v>
      </c>
      <c r="U15" s="263">
        <v>0</v>
      </c>
      <c r="V15" s="263">
        <v>8.7379999999999995</v>
      </c>
      <c r="W15" s="263">
        <v>0</v>
      </c>
    </row>
    <row r="16" spans="1:23">
      <c r="A16" s="262" t="s">
        <v>16</v>
      </c>
      <c r="B16" s="263">
        <v>0</v>
      </c>
      <c r="C16" s="263">
        <v>0</v>
      </c>
      <c r="D16" s="263">
        <v>0</v>
      </c>
      <c r="E16" s="263">
        <v>0</v>
      </c>
      <c r="F16" s="263">
        <v>0</v>
      </c>
      <c r="G16" s="263">
        <v>0.42399999999999999</v>
      </c>
      <c r="H16" s="263">
        <v>0</v>
      </c>
      <c r="I16" s="263">
        <v>0</v>
      </c>
      <c r="J16" s="263">
        <v>0.42399999999999999</v>
      </c>
      <c r="K16" s="263">
        <v>0</v>
      </c>
      <c r="L16" s="263">
        <v>0.84699999999999998</v>
      </c>
      <c r="M16" s="263">
        <v>6.3559999999999999</v>
      </c>
      <c r="N16" s="263">
        <v>64.831000000000003</v>
      </c>
      <c r="O16" s="263">
        <v>8.0510000000000002</v>
      </c>
      <c r="P16" s="263">
        <v>5.085</v>
      </c>
      <c r="Q16" s="263">
        <v>0.84699999999999998</v>
      </c>
      <c r="R16" s="263">
        <v>0.42399999999999999</v>
      </c>
      <c r="S16" s="263">
        <v>0</v>
      </c>
      <c r="T16" s="263">
        <v>0</v>
      </c>
      <c r="U16" s="263">
        <v>0</v>
      </c>
      <c r="V16" s="263">
        <v>11.441000000000001</v>
      </c>
      <c r="W16" s="263">
        <v>1.2709999999999999</v>
      </c>
    </row>
    <row r="17" spans="1:23">
      <c r="A17" s="262" t="s">
        <v>14</v>
      </c>
      <c r="B17" s="263">
        <v>0</v>
      </c>
      <c r="C17" s="263">
        <v>0</v>
      </c>
      <c r="D17" s="263">
        <v>0</v>
      </c>
      <c r="E17" s="263">
        <v>0</v>
      </c>
      <c r="F17" s="263">
        <v>0</v>
      </c>
      <c r="G17" s="263">
        <v>0</v>
      </c>
      <c r="H17" s="263">
        <v>0</v>
      </c>
      <c r="I17" s="263">
        <v>0</v>
      </c>
      <c r="J17" s="263">
        <v>0.33600000000000002</v>
      </c>
      <c r="K17" s="263">
        <v>1.0069999999999999</v>
      </c>
      <c r="L17" s="263">
        <v>0</v>
      </c>
      <c r="M17" s="263">
        <v>1.0069999999999999</v>
      </c>
      <c r="N17" s="263">
        <v>11.744999999999999</v>
      </c>
      <c r="O17" s="263">
        <v>63.758000000000003</v>
      </c>
      <c r="P17" s="263">
        <v>9.3960000000000008</v>
      </c>
      <c r="Q17" s="263">
        <v>2.3490000000000002</v>
      </c>
      <c r="R17" s="263">
        <v>0.33600000000000002</v>
      </c>
      <c r="S17" s="263">
        <v>1.0069999999999999</v>
      </c>
      <c r="T17" s="263">
        <v>0</v>
      </c>
      <c r="U17" s="263">
        <v>0</v>
      </c>
      <c r="V17" s="263">
        <v>9.06</v>
      </c>
      <c r="W17" s="263">
        <v>0</v>
      </c>
    </row>
    <row r="18" spans="1:23">
      <c r="A18" s="262" t="s">
        <v>13</v>
      </c>
      <c r="B18" s="263">
        <v>0</v>
      </c>
      <c r="C18" s="263">
        <v>0</v>
      </c>
      <c r="D18" s="263">
        <v>0</v>
      </c>
      <c r="E18" s="263">
        <v>0</v>
      </c>
      <c r="F18" s="263">
        <v>0</v>
      </c>
      <c r="G18" s="263">
        <v>0</v>
      </c>
      <c r="H18" s="263">
        <v>0</v>
      </c>
      <c r="I18" s="263">
        <v>0</v>
      </c>
      <c r="J18" s="263">
        <v>0</v>
      </c>
      <c r="K18" s="263">
        <v>0</v>
      </c>
      <c r="L18" s="263">
        <v>0</v>
      </c>
      <c r="M18" s="263">
        <v>0.29099999999999998</v>
      </c>
      <c r="N18" s="263">
        <v>0.872</v>
      </c>
      <c r="O18" s="263">
        <v>8.7210000000000001</v>
      </c>
      <c r="P18" s="263">
        <v>61.628</v>
      </c>
      <c r="Q18" s="263">
        <v>13.081</v>
      </c>
      <c r="R18" s="263">
        <v>2.0350000000000001</v>
      </c>
      <c r="S18" s="263">
        <v>0.29099999999999998</v>
      </c>
      <c r="T18" s="263">
        <v>0.872</v>
      </c>
      <c r="U18" s="263">
        <v>0.29099999999999998</v>
      </c>
      <c r="V18" s="263">
        <v>10.756</v>
      </c>
      <c r="W18" s="263">
        <v>1.163</v>
      </c>
    </row>
    <row r="19" spans="1:23">
      <c r="A19" s="262" t="s">
        <v>11</v>
      </c>
      <c r="B19" s="263">
        <v>0</v>
      </c>
      <c r="C19" s="263">
        <v>0</v>
      </c>
      <c r="D19" s="263">
        <v>0</v>
      </c>
      <c r="E19" s="263">
        <v>0</v>
      </c>
      <c r="F19" s="263">
        <v>0</v>
      </c>
      <c r="G19" s="263">
        <v>0</v>
      </c>
      <c r="H19" s="263">
        <v>0</v>
      </c>
      <c r="I19" s="263">
        <v>0</v>
      </c>
      <c r="J19" s="263">
        <v>0</v>
      </c>
      <c r="K19" s="263">
        <v>0</v>
      </c>
      <c r="L19" s="263">
        <v>0</v>
      </c>
      <c r="M19" s="263">
        <v>0.17599999999999999</v>
      </c>
      <c r="N19" s="263">
        <v>0</v>
      </c>
      <c r="O19" s="263">
        <v>0.52700000000000002</v>
      </c>
      <c r="P19" s="263">
        <v>7.3810000000000002</v>
      </c>
      <c r="Q19" s="263">
        <v>61.335999999999999</v>
      </c>
      <c r="R19" s="263">
        <v>11.951000000000001</v>
      </c>
      <c r="S19" s="263">
        <v>2.6360000000000001</v>
      </c>
      <c r="T19" s="263">
        <v>0.52700000000000002</v>
      </c>
      <c r="U19" s="263">
        <v>0.35099999999999998</v>
      </c>
      <c r="V19" s="263">
        <v>14.06</v>
      </c>
      <c r="W19" s="263">
        <v>1.054</v>
      </c>
    </row>
    <row r="20" spans="1:23">
      <c r="A20" s="262" t="s">
        <v>19</v>
      </c>
      <c r="B20" s="263">
        <v>0</v>
      </c>
      <c r="C20" s="263">
        <v>0</v>
      </c>
      <c r="D20" s="263">
        <v>0</v>
      </c>
      <c r="E20" s="263">
        <v>0</v>
      </c>
      <c r="F20" s="263">
        <v>0</v>
      </c>
      <c r="G20" s="263">
        <v>0</v>
      </c>
      <c r="H20" s="263">
        <v>0</v>
      </c>
      <c r="I20" s="263">
        <v>0</v>
      </c>
      <c r="J20" s="263">
        <v>0</v>
      </c>
      <c r="K20" s="263">
        <v>0</v>
      </c>
      <c r="L20" s="263">
        <v>0</v>
      </c>
      <c r="M20" s="263">
        <v>0.27200000000000002</v>
      </c>
      <c r="N20" s="263">
        <v>0.27200000000000002</v>
      </c>
      <c r="O20" s="263">
        <v>0.27200000000000002</v>
      </c>
      <c r="P20" s="263">
        <v>1.087</v>
      </c>
      <c r="Q20" s="263">
        <v>8.4239999999999995</v>
      </c>
      <c r="R20" s="263">
        <v>61.685000000000002</v>
      </c>
      <c r="S20" s="263">
        <v>12.228</v>
      </c>
      <c r="T20" s="263">
        <v>2.7170000000000001</v>
      </c>
      <c r="U20" s="263">
        <v>0.54300000000000004</v>
      </c>
      <c r="V20" s="263">
        <v>11.413</v>
      </c>
      <c r="W20" s="263">
        <v>1.087</v>
      </c>
    </row>
    <row r="21" spans="1:23">
      <c r="A21" s="262" t="s">
        <v>17</v>
      </c>
      <c r="B21" s="263">
        <v>0</v>
      </c>
      <c r="C21" s="263">
        <v>0</v>
      </c>
      <c r="D21" s="263">
        <v>0</v>
      </c>
      <c r="E21" s="263">
        <v>0</v>
      </c>
      <c r="F21" s="263">
        <v>0</v>
      </c>
      <c r="G21" s="263">
        <v>0</v>
      </c>
      <c r="H21" s="263">
        <v>0</v>
      </c>
      <c r="I21" s="263">
        <v>0</v>
      </c>
      <c r="J21" s="263">
        <v>0</v>
      </c>
      <c r="K21" s="263">
        <v>0</v>
      </c>
      <c r="L21" s="263">
        <v>0</v>
      </c>
      <c r="M21" s="263">
        <v>0</v>
      </c>
      <c r="N21" s="263">
        <v>0</v>
      </c>
      <c r="O21" s="263">
        <v>0</v>
      </c>
      <c r="P21" s="263">
        <v>0.69</v>
      </c>
      <c r="Q21" s="263">
        <v>0.69</v>
      </c>
      <c r="R21" s="263">
        <v>14.483000000000001</v>
      </c>
      <c r="S21" s="263">
        <v>52.414000000000001</v>
      </c>
      <c r="T21" s="263">
        <v>6.8970000000000002</v>
      </c>
      <c r="U21" s="263">
        <v>2.069</v>
      </c>
      <c r="V21" s="263">
        <v>13.792999999999999</v>
      </c>
      <c r="W21" s="263">
        <v>8.9659999999999993</v>
      </c>
    </row>
    <row r="22" spans="1:23">
      <c r="A22" s="262" t="s">
        <v>12</v>
      </c>
      <c r="B22" s="263">
        <v>0</v>
      </c>
      <c r="C22" s="263">
        <v>0</v>
      </c>
      <c r="D22" s="263">
        <v>0</v>
      </c>
      <c r="E22" s="263">
        <v>0</v>
      </c>
      <c r="F22" s="263">
        <v>0</v>
      </c>
      <c r="G22" s="263">
        <v>0</v>
      </c>
      <c r="H22" s="263">
        <v>0</v>
      </c>
      <c r="I22" s="263">
        <v>0</v>
      </c>
      <c r="J22" s="263">
        <v>0</v>
      </c>
      <c r="K22" s="263">
        <v>0</v>
      </c>
      <c r="L22" s="263">
        <v>2.4390000000000001</v>
      </c>
      <c r="M22" s="263">
        <v>0</v>
      </c>
      <c r="N22" s="263">
        <v>0</v>
      </c>
      <c r="O22" s="263">
        <v>0</v>
      </c>
      <c r="P22" s="263">
        <v>0</v>
      </c>
      <c r="Q22" s="263">
        <v>7.3170000000000002</v>
      </c>
      <c r="R22" s="263">
        <v>2.4390000000000001</v>
      </c>
      <c r="S22" s="263">
        <v>9.7560000000000002</v>
      </c>
      <c r="T22" s="263">
        <v>24.39</v>
      </c>
      <c r="U22" s="263">
        <v>9.7560000000000002</v>
      </c>
      <c r="V22" s="263">
        <v>9.7560000000000002</v>
      </c>
      <c r="W22" s="263">
        <v>34.146000000000001</v>
      </c>
    </row>
    <row r="23" spans="1:23">
      <c r="A23" s="264" t="s">
        <v>38</v>
      </c>
      <c r="B23" s="265">
        <v>0</v>
      </c>
      <c r="C23" s="265">
        <v>0</v>
      </c>
      <c r="D23" s="265">
        <v>0</v>
      </c>
      <c r="E23" s="265">
        <v>0</v>
      </c>
      <c r="F23" s="265">
        <v>0</v>
      </c>
      <c r="G23" s="265">
        <v>0</v>
      </c>
      <c r="H23" s="265">
        <v>0</v>
      </c>
      <c r="I23" s="265">
        <v>0</v>
      </c>
      <c r="J23" s="265">
        <v>0</v>
      </c>
      <c r="K23" s="265">
        <v>0</v>
      </c>
      <c r="L23" s="265">
        <v>0</v>
      </c>
      <c r="M23" s="265">
        <v>0</v>
      </c>
      <c r="N23" s="265">
        <v>0</v>
      </c>
      <c r="O23" s="265">
        <v>0</v>
      </c>
      <c r="P23" s="265">
        <v>0</v>
      </c>
      <c r="Q23" s="265">
        <v>0</v>
      </c>
      <c r="R23" s="265">
        <v>3.3330000000000002</v>
      </c>
      <c r="S23" s="265">
        <v>0</v>
      </c>
      <c r="T23" s="265">
        <v>0</v>
      </c>
      <c r="U23" s="265">
        <v>16.667000000000002</v>
      </c>
      <c r="V23" s="265">
        <v>10</v>
      </c>
      <c r="W23" s="265">
        <v>70</v>
      </c>
    </row>
    <row r="24" spans="1:23">
      <c r="A24" s="266" t="s">
        <v>39</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4"/>
  <sheetViews>
    <sheetView tabSelected="1" zoomScaleNormal="100" workbookViewId="0"/>
  </sheetViews>
  <sheetFormatPr defaultRowHeight="15"/>
  <cols>
    <col min="1" max="23" width="8.7109375" style="10" customWidth="1"/>
    <col min="24" max="16384" width="9.140625" style="10"/>
  </cols>
  <sheetData>
    <row r="1" spans="1:44">
      <c r="A1" s="79" t="s">
        <v>220</v>
      </c>
      <c r="C1" s="74"/>
      <c r="D1" s="74"/>
      <c r="G1" s="75"/>
    </row>
    <row r="2" spans="1:44">
      <c r="A2" s="79"/>
      <c r="C2" s="74"/>
      <c r="D2" s="74"/>
      <c r="G2" s="75"/>
    </row>
    <row r="3" spans="1:44">
      <c r="A3" s="269" t="s">
        <v>330</v>
      </c>
      <c r="B3" s="270" t="s">
        <v>1</v>
      </c>
      <c r="C3" s="270" t="s">
        <v>29</v>
      </c>
      <c r="D3" s="270" t="s">
        <v>28</v>
      </c>
      <c r="E3" s="270" t="s">
        <v>24</v>
      </c>
      <c r="F3" s="270" t="s">
        <v>23</v>
      </c>
      <c r="G3" s="270" t="s">
        <v>25</v>
      </c>
      <c r="H3" s="270" t="s">
        <v>27</v>
      </c>
      <c r="I3" s="270" t="s">
        <v>15</v>
      </c>
      <c r="J3" s="270" t="s">
        <v>21</v>
      </c>
      <c r="K3" s="270" t="s">
        <v>26</v>
      </c>
      <c r="L3" s="270" t="s">
        <v>18</v>
      </c>
      <c r="M3" s="270" t="s">
        <v>22</v>
      </c>
      <c r="N3" s="270" t="s">
        <v>16</v>
      </c>
      <c r="O3" s="270" t="s">
        <v>14</v>
      </c>
      <c r="P3" s="270" t="s">
        <v>13</v>
      </c>
      <c r="Q3" s="270" t="s">
        <v>11</v>
      </c>
      <c r="R3" s="270" t="s">
        <v>19</v>
      </c>
      <c r="S3" s="270" t="s">
        <v>17</v>
      </c>
      <c r="T3" s="270" t="s">
        <v>12</v>
      </c>
      <c r="U3" s="270" t="s">
        <v>38</v>
      </c>
      <c r="V3" s="270" t="s">
        <v>20</v>
      </c>
      <c r="W3" s="270" t="s">
        <v>35</v>
      </c>
    </row>
    <row r="4" spans="1:44">
      <c r="A4" s="271" t="s">
        <v>1</v>
      </c>
      <c r="B4" s="76">
        <v>85.81</v>
      </c>
      <c r="C4" s="76">
        <v>5.7690000000000001</v>
      </c>
      <c r="D4" s="76">
        <v>2.67</v>
      </c>
      <c r="E4" s="76">
        <v>0.498</v>
      </c>
      <c r="F4" s="76">
        <v>0.32</v>
      </c>
      <c r="G4" s="76">
        <v>0.13100000000000001</v>
      </c>
      <c r="H4" s="76">
        <v>2.1999999999999999E-2</v>
      </c>
      <c r="I4" s="76">
        <v>0</v>
      </c>
      <c r="J4" s="76">
        <v>0</v>
      </c>
      <c r="K4" s="76">
        <v>0</v>
      </c>
      <c r="L4" s="76">
        <v>1.7000000000000001E-2</v>
      </c>
      <c r="M4" s="76">
        <v>1.7000000000000001E-2</v>
      </c>
      <c r="N4" s="76">
        <v>0</v>
      </c>
      <c r="O4" s="76">
        <v>2E-3</v>
      </c>
      <c r="P4" s="76">
        <v>0</v>
      </c>
      <c r="Q4" s="76">
        <v>0</v>
      </c>
      <c r="R4" s="76">
        <v>0</v>
      </c>
      <c r="S4" s="76">
        <v>2E-3</v>
      </c>
      <c r="T4" s="76">
        <v>0</v>
      </c>
      <c r="U4" s="76">
        <v>0</v>
      </c>
      <c r="V4" s="76">
        <v>4.7409999999999997</v>
      </c>
      <c r="W4" s="76">
        <v>0</v>
      </c>
      <c r="AL4" s="81"/>
      <c r="AP4" s="81"/>
    </row>
    <row r="5" spans="1:44">
      <c r="A5" s="271" t="s">
        <v>29</v>
      </c>
      <c r="B5" s="76">
        <v>2.0649999999999999</v>
      </c>
      <c r="C5" s="76">
        <v>73.831000000000003</v>
      </c>
      <c r="D5" s="76">
        <v>8.7040000000000006</v>
      </c>
      <c r="E5" s="76">
        <v>6.3680000000000003</v>
      </c>
      <c r="F5" s="76">
        <v>1.853</v>
      </c>
      <c r="G5" s="76">
        <v>0.72099999999999997</v>
      </c>
      <c r="H5" s="76">
        <v>0.107</v>
      </c>
      <c r="I5" s="76">
        <v>0.19900000000000001</v>
      </c>
      <c r="J5" s="76">
        <v>3.2000000000000001E-2</v>
      </c>
      <c r="K5" s="76">
        <v>6.0000000000000001E-3</v>
      </c>
      <c r="L5" s="76">
        <v>3.5000000000000003E-2</v>
      </c>
      <c r="M5" s="76">
        <v>0</v>
      </c>
      <c r="N5" s="76">
        <v>3.0000000000000001E-3</v>
      </c>
      <c r="O5" s="76">
        <v>0</v>
      </c>
      <c r="P5" s="76">
        <v>0</v>
      </c>
      <c r="Q5" s="76">
        <v>0</v>
      </c>
      <c r="R5" s="76">
        <v>0</v>
      </c>
      <c r="S5" s="76">
        <v>0</v>
      </c>
      <c r="T5" s="76">
        <v>0</v>
      </c>
      <c r="U5" s="76">
        <v>0</v>
      </c>
      <c r="V5" s="76">
        <v>6.077</v>
      </c>
      <c r="W5" s="76">
        <v>0</v>
      </c>
      <c r="AH5" s="81"/>
      <c r="AK5" s="81"/>
    </row>
    <row r="6" spans="1:44">
      <c r="A6" s="271" t="s">
        <v>28</v>
      </c>
      <c r="B6" s="76">
        <v>1.012</v>
      </c>
      <c r="C6" s="76">
        <v>4.1909999999999998</v>
      </c>
      <c r="D6" s="76">
        <v>72.251999999999995</v>
      </c>
      <c r="E6" s="76">
        <v>10.15</v>
      </c>
      <c r="F6" s="76">
        <v>3.5859999999999999</v>
      </c>
      <c r="G6" s="76">
        <v>1.542</v>
      </c>
      <c r="H6" s="76">
        <v>0.52800000000000002</v>
      </c>
      <c r="I6" s="76">
        <v>0.111</v>
      </c>
      <c r="J6" s="76">
        <v>0.22900000000000001</v>
      </c>
      <c r="K6" s="76">
        <v>8.7999999999999995E-2</v>
      </c>
      <c r="L6" s="76">
        <v>3.4000000000000002E-2</v>
      </c>
      <c r="M6" s="76">
        <v>2.1000000000000001E-2</v>
      </c>
      <c r="N6" s="76">
        <v>0</v>
      </c>
      <c r="O6" s="76">
        <v>1.7000000000000001E-2</v>
      </c>
      <c r="P6" s="76">
        <v>8.9999999999999993E-3</v>
      </c>
      <c r="Q6" s="76">
        <v>6.0000000000000001E-3</v>
      </c>
      <c r="R6" s="76">
        <v>0</v>
      </c>
      <c r="S6" s="76">
        <v>2.5999999999999999E-2</v>
      </c>
      <c r="T6" s="76">
        <v>0</v>
      </c>
      <c r="U6" s="76">
        <v>4.0000000000000001E-3</v>
      </c>
      <c r="V6" s="76">
        <v>6.194</v>
      </c>
      <c r="W6" s="76">
        <v>0</v>
      </c>
      <c r="AM6" s="81"/>
      <c r="AN6" s="81"/>
      <c r="AR6" s="81"/>
    </row>
    <row r="7" spans="1:44">
      <c r="A7" s="271" t="s">
        <v>24</v>
      </c>
      <c r="B7" s="76">
        <v>0.13500000000000001</v>
      </c>
      <c r="C7" s="76">
        <v>1.2849999999999999</v>
      </c>
      <c r="D7" s="76">
        <v>4.0419999999999998</v>
      </c>
      <c r="E7" s="76">
        <v>74.177999999999997</v>
      </c>
      <c r="F7" s="76">
        <v>8.8070000000000004</v>
      </c>
      <c r="G7" s="76">
        <v>3.69</v>
      </c>
      <c r="H7" s="76">
        <v>0.96599999999999997</v>
      </c>
      <c r="I7" s="76">
        <v>0.28399999999999997</v>
      </c>
      <c r="J7" s="76">
        <v>0.33700000000000002</v>
      </c>
      <c r="K7" s="76">
        <v>0.158</v>
      </c>
      <c r="L7" s="76">
        <v>2.5000000000000001E-2</v>
      </c>
      <c r="M7" s="76">
        <v>2.7E-2</v>
      </c>
      <c r="N7" s="76">
        <v>0.03</v>
      </c>
      <c r="O7" s="76">
        <v>2.9000000000000001E-2</v>
      </c>
      <c r="P7" s="76">
        <v>0</v>
      </c>
      <c r="Q7" s="76">
        <v>0</v>
      </c>
      <c r="R7" s="76">
        <v>3.0000000000000001E-3</v>
      </c>
      <c r="S7" s="76">
        <v>0</v>
      </c>
      <c r="T7" s="76">
        <v>0</v>
      </c>
      <c r="U7" s="76">
        <v>0</v>
      </c>
      <c r="V7" s="76">
        <v>5.9539999999999997</v>
      </c>
      <c r="W7" s="76">
        <v>4.9000000000000002E-2</v>
      </c>
      <c r="AO7" s="81"/>
    </row>
    <row r="8" spans="1:44">
      <c r="A8" s="271" t="s">
        <v>23</v>
      </c>
      <c r="B8" s="76">
        <v>6.4000000000000001E-2</v>
      </c>
      <c r="C8" s="76">
        <v>0.11600000000000001</v>
      </c>
      <c r="D8" s="76">
        <v>1.1479999999999999</v>
      </c>
      <c r="E8" s="76">
        <v>5.0199999999999996</v>
      </c>
      <c r="F8" s="76">
        <v>74.620999999999995</v>
      </c>
      <c r="G8" s="76">
        <v>8.2829999999999995</v>
      </c>
      <c r="H8" s="76">
        <v>3.0640000000000001</v>
      </c>
      <c r="I8" s="76">
        <v>0.76700000000000002</v>
      </c>
      <c r="J8" s="76">
        <v>0.43099999999999999</v>
      </c>
      <c r="K8" s="76">
        <v>0.19400000000000001</v>
      </c>
      <c r="L8" s="76">
        <v>0.22700000000000001</v>
      </c>
      <c r="M8" s="76">
        <v>0.15</v>
      </c>
      <c r="N8" s="76">
        <v>5.1999999999999998E-2</v>
      </c>
      <c r="O8" s="76">
        <v>7.3999999999999996E-2</v>
      </c>
      <c r="P8" s="76">
        <v>2.9000000000000001E-2</v>
      </c>
      <c r="Q8" s="76">
        <v>0.01</v>
      </c>
      <c r="R8" s="76">
        <v>0</v>
      </c>
      <c r="S8" s="76">
        <v>7.0000000000000001E-3</v>
      </c>
      <c r="T8" s="76">
        <v>0</v>
      </c>
      <c r="U8" s="76">
        <v>0</v>
      </c>
      <c r="V8" s="76">
        <v>5.6639999999999997</v>
      </c>
      <c r="W8" s="76">
        <v>7.9000000000000001E-2</v>
      </c>
      <c r="AP8" s="81"/>
    </row>
    <row r="9" spans="1:44">
      <c r="A9" s="271" t="s">
        <v>25</v>
      </c>
      <c r="B9" s="76">
        <v>7.6999999999999999E-2</v>
      </c>
      <c r="C9" s="76">
        <v>1.6E-2</v>
      </c>
      <c r="D9" s="76">
        <v>0.161</v>
      </c>
      <c r="E9" s="76">
        <v>1.028</v>
      </c>
      <c r="F9" s="76">
        <v>4.8330000000000002</v>
      </c>
      <c r="G9" s="76">
        <v>75.028000000000006</v>
      </c>
      <c r="H9" s="76">
        <v>8.0909999999999993</v>
      </c>
      <c r="I9" s="76">
        <v>2.9870000000000001</v>
      </c>
      <c r="J9" s="76">
        <v>1.0529999999999999</v>
      </c>
      <c r="K9" s="76">
        <v>0.45400000000000001</v>
      </c>
      <c r="L9" s="76">
        <v>0.22</v>
      </c>
      <c r="M9" s="76">
        <v>0.128</v>
      </c>
      <c r="N9" s="76">
        <v>0.13400000000000001</v>
      </c>
      <c r="O9" s="76">
        <v>5.0999999999999997E-2</v>
      </c>
      <c r="P9" s="76">
        <v>2.8000000000000001E-2</v>
      </c>
      <c r="Q9" s="76">
        <v>1.2E-2</v>
      </c>
      <c r="R9" s="76">
        <v>3.4000000000000002E-2</v>
      </c>
      <c r="S9" s="76">
        <v>3.3000000000000002E-2</v>
      </c>
      <c r="T9" s="76">
        <v>7.0000000000000001E-3</v>
      </c>
      <c r="U9" s="76">
        <v>0</v>
      </c>
      <c r="V9" s="76">
        <v>5.5609999999999999</v>
      </c>
      <c r="W9" s="76">
        <v>6.6000000000000003E-2</v>
      </c>
      <c r="AQ9" s="81"/>
    </row>
    <row r="10" spans="1:44">
      <c r="A10" s="271" t="s">
        <v>27</v>
      </c>
      <c r="B10" s="76">
        <v>1.7000000000000001E-2</v>
      </c>
      <c r="C10" s="76">
        <v>6.4000000000000001E-2</v>
      </c>
      <c r="D10" s="76">
        <v>0.09</v>
      </c>
      <c r="E10" s="76">
        <v>0.20799999999999999</v>
      </c>
      <c r="F10" s="76">
        <v>1.5</v>
      </c>
      <c r="G10" s="76">
        <v>6.0620000000000003</v>
      </c>
      <c r="H10" s="76">
        <v>73.441999999999993</v>
      </c>
      <c r="I10" s="76">
        <v>6.9939999999999998</v>
      </c>
      <c r="J10" s="76">
        <v>3.1539999999999999</v>
      </c>
      <c r="K10" s="76">
        <v>1.085</v>
      </c>
      <c r="L10" s="76">
        <v>0.52500000000000002</v>
      </c>
      <c r="M10" s="76">
        <v>0.16700000000000001</v>
      </c>
      <c r="N10" s="76">
        <v>0.19900000000000001</v>
      </c>
      <c r="O10" s="76">
        <v>0.10199999999999999</v>
      </c>
      <c r="P10" s="76">
        <v>5.2999999999999999E-2</v>
      </c>
      <c r="Q10" s="76">
        <v>2.1999999999999999E-2</v>
      </c>
      <c r="R10" s="76">
        <v>6.0000000000000001E-3</v>
      </c>
      <c r="S10" s="76">
        <v>4.0000000000000001E-3</v>
      </c>
      <c r="T10" s="76">
        <v>7.0000000000000001E-3</v>
      </c>
      <c r="U10" s="76">
        <v>1.4E-2</v>
      </c>
      <c r="V10" s="76">
        <v>6.2270000000000003</v>
      </c>
      <c r="W10" s="76">
        <v>5.8000000000000003E-2</v>
      </c>
      <c r="AO10" s="81"/>
      <c r="AP10" s="81"/>
      <c r="AQ10" s="81"/>
    </row>
    <row r="11" spans="1:44">
      <c r="A11" s="271" t="s">
        <v>15</v>
      </c>
      <c r="B11" s="76">
        <v>2.4E-2</v>
      </c>
      <c r="C11" s="76">
        <v>3.7999999999999999E-2</v>
      </c>
      <c r="D11" s="76">
        <v>8.7999999999999995E-2</v>
      </c>
      <c r="E11" s="76">
        <v>0.115</v>
      </c>
      <c r="F11" s="76">
        <v>0.20399999999999999</v>
      </c>
      <c r="G11" s="76">
        <v>1.5620000000000001</v>
      </c>
      <c r="H11" s="76">
        <v>6.1459999999999999</v>
      </c>
      <c r="I11" s="76">
        <v>73.430000000000007</v>
      </c>
      <c r="J11" s="76">
        <v>7.6289999999999996</v>
      </c>
      <c r="K11" s="76">
        <v>2.6909999999999998</v>
      </c>
      <c r="L11" s="76">
        <v>0.75</v>
      </c>
      <c r="M11" s="76">
        <v>0.42799999999999999</v>
      </c>
      <c r="N11" s="76">
        <v>0.307</v>
      </c>
      <c r="O11" s="76">
        <v>0.31</v>
      </c>
      <c r="P11" s="76">
        <v>8.2000000000000003E-2</v>
      </c>
      <c r="Q11" s="76">
        <v>4.2999999999999997E-2</v>
      </c>
      <c r="R11" s="76">
        <v>5.0999999999999997E-2</v>
      </c>
      <c r="S11" s="76">
        <v>3.2000000000000001E-2</v>
      </c>
      <c r="T11" s="76">
        <v>7.0000000000000001E-3</v>
      </c>
      <c r="U11" s="76">
        <v>1.9E-2</v>
      </c>
      <c r="V11" s="76">
        <v>5.8970000000000002</v>
      </c>
      <c r="W11" s="76">
        <v>0.14799999999999999</v>
      </c>
      <c r="AQ11" s="81"/>
    </row>
    <row r="12" spans="1:44">
      <c r="A12" s="271" t="s">
        <v>21</v>
      </c>
      <c r="B12" s="76">
        <v>3.9E-2</v>
      </c>
      <c r="C12" s="76">
        <v>6.0999999999999999E-2</v>
      </c>
      <c r="D12" s="76">
        <v>3.6999999999999998E-2</v>
      </c>
      <c r="E12" s="76">
        <v>7.2999999999999995E-2</v>
      </c>
      <c r="F12" s="76">
        <v>0.154</v>
      </c>
      <c r="G12" s="76">
        <v>0.58399999999999996</v>
      </c>
      <c r="H12" s="76">
        <v>2.085</v>
      </c>
      <c r="I12" s="76">
        <v>5.9329999999999998</v>
      </c>
      <c r="J12" s="76">
        <v>74.903000000000006</v>
      </c>
      <c r="K12" s="76">
        <v>6.4240000000000004</v>
      </c>
      <c r="L12" s="76">
        <v>1.48</v>
      </c>
      <c r="M12" s="76">
        <v>0.58399999999999996</v>
      </c>
      <c r="N12" s="76">
        <v>0.51900000000000002</v>
      </c>
      <c r="O12" s="76">
        <v>0.4</v>
      </c>
      <c r="P12" s="76">
        <v>0.26600000000000001</v>
      </c>
      <c r="Q12" s="76">
        <v>0.10100000000000001</v>
      </c>
      <c r="R12" s="76">
        <v>0.104</v>
      </c>
      <c r="S12" s="76">
        <v>1.4999999999999999E-2</v>
      </c>
      <c r="T12" s="76">
        <v>1.4E-2</v>
      </c>
      <c r="U12" s="76">
        <v>5.0000000000000001E-3</v>
      </c>
      <c r="V12" s="76">
        <v>6.0519999999999996</v>
      </c>
      <c r="W12" s="76">
        <v>0.16600000000000001</v>
      </c>
      <c r="AR12" s="81"/>
    </row>
    <row r="13" spans="1:44">
      <c r="A13" s="271" t="s">
        <v>26</v>
      </c>
      <c r="B13" s="76">
        <v>4.2999999999999997E-2</v>
      </c>
      <c r="C13" s="76">
        <v>0.01</v>
      </c>
      <c r="D13" s="76">
        <v>3.2000000000000001E-2</v>
      </c>
      <c r="E13" s="76">
        <v>5.2999999999999999E-2</v>
      </c>
      <c r="F13" s="76">
        <v>9.7000000000000003E-2</v>
      </c>
      <c r="G13" s="76">
        <v>0.20899999999999999</v>
      </c>
      <c r="H13" s="76">
        <v>0.46400000000000002</v>
      </c>
      <c r="I13" s="76">
        <v>2.2149999999999999</v>
      </c>
      <c r="J13" s="76">
        <v>8.6980000000000004</v>
      </c>
      <c r="K13" s="76">
        <v>71.388999999999996</v>
      </c>
      <c r="L13" s="76">
        <v>4.7060000000000004</v>
      </c>
      <c r="M13" s="76">
        <v>2.419</v>
      </c>
      <c r="N13" s="76">
        <v>1.139</v>
      </c>
      <c r="O13" s="76">
        <v>0.76900000000000002</v>
      </c>
      <c r="P13" s="76">
        <v>0.33300000000000002</v>
      </c>
      <c r="Q13" s="76">
        <v>0.26800000000000002</v>
      </c>
      <c r="R13" s="76">
        <v>0.157</v>
      </c>
      <c r="S13" s="76">
        <v>0.08</v>
      </c>
      <c r="T13" s="76">
        <v>0.10100000000000001</v>
      </c>
      <c r="U13" s="76">
        <v>3.9E-2</v>
      </c>
      <c r="V13" s="76">
        <v>6.524</v>
      </c>
      <c r="W13" s="76">
        <v>0.253</v>
      </c>
    </row>
    <row r="14" spans="1:44">
      <c r="A14" s="271" t="s">
        <v>18</v>
      </c>
      <c r="B14" s="76">
        <v>2.5000000000000001E-2</v>
      </c>
      <c r="C14" s="76">
        <v>2E-3</v>
      </c>
      <c r="D14" s="76">
        <v>2.7E-2</v>
      </c>
      <c r="E14" s="76">
        <v>4.7E-2</v>
      </c>
      <c r="F14" s="76">
        <v>0.14299999999999999</v>
      </c>
      <c r="G14" s="76">
        <v>0.125</v>
      </c>
      <c r="H14" s="76">
        <v>0.315</v>
      </c>
      <c r="I14" s="76">
        <v>0.58599999999999997</v>
      </c>
      <c r="J14" s="76">
        <v>2.6659999999999999</v>
      </c>
      <c r="K14" s="76">
        <v>10.003</v>
      </c>
      <c r="L14" s="76">
        <v>63.384999999999998</v>
      </c>
      <c r="M14" s="76">
        <v>4.8869999999999996</v>
      </c>
      <c r="N14" s="76">
        <v>4.1109999999999998</v>
      </c>
      <c r="O14" s="76">
        <v>1.4690000000000001</v>
      </c>
      <c r="P14" s="76">
        <v>1.036</v>
      </c>
      <c r="Q14" s="76">
        <v>0.66</v>
      </c>
      <c r="R14" s="76">
        <v>0.125</v>
      </c>
      <c r="S14" s="76">
        <v>0.2</v>
      </c>
      <c r="T14" s="76">
        <v>6.7000000000000004E-2</v>
      </c>
      <c r="U14" s="76">
        <v>5.2999999999999999E-2</v>
      </c>
      <c r="V14" s="76">
        <v>9.4269999999999996</v>
      </c>
      <c r="W14" s="76">
        <v>0.64400000000000002</v>
      </c>
      <c r="Z14" s="81"/>
    </row>
    <row r="15" spans="1:44">
      <c r="A15" s="271" t="s">
        <v>22</v>
      </c>
      <c r="B15" s="76">
        <v>0</v>
      </c>
      <c r="C15" s="76">
        <v>0</v>
      </c>
      <c r="D15" s="76">
        <v>2.4E-2</v>
      </c>
      <c r="E15" s="76">
        <v>2.4E-2</v>
      </c>
      <c r="F15" s="76">
        <v>0.03</v>
      </c>
      <c r="G15" s="76">
        <v>8.8999999999999996E-2</v>
      </c>
      <c r="H15" s="76">
        <v>5.8999999999999997E-2</v>
      </c>
      <c r="I15" s="76">
        <v>0.28699999999999998</v>
      </c>
      <c r="J15" s="76">
        <v>0.66800000000000004</v>
      </c>
      <c r="K15" s="76">
        <v>3.5150000000000001</v>
      </c>
      <c r="L15" s="76">
        <v>8.0839999999999996</v>
      </c>
      <c r="M15" s="76">
        <v>62.868000000000002</v>
      </c>
      <c r="N15" s="76">
        <v>7.0110000000000001</v>
      </c>
      <c r="O15" s="76">
        <v>2.867</v>
      </c>
      <c r="P15" s="76">
        <v>2.032</v>
      </c>
      <c r="Q15" s="76">
        <v>0.96499999999999997</v>
      </c>
      <c r="R15" s="76">
        <v>0.22500000000000001</v>
      </c>
      <c r="S15" s="76">
        <v>0.19800000000000001</v>
      </c>
      <c r="T15" s="76">
        <v>0.107</v>
      </c>
      <c r="U15" s="76">
        <v>9.0999999999999998E-2</v>
      </c>
      <c r="V15" s="76">
        <v>10.135</v>
      </c>
      <c r="W15" s="76">
        <v>0.72</v>
      </c>
    </row>
    <row r="16" spans="1:44">
      <c r="A16" s="271" t="s">
        <v>16</v>
      </c>
      <c r="B16" s="76">
        <v>0</v>
      </c>
      <c r="C16" s="76">
        <v>1.7000000000000001E-2</v>
      </c>
      <c r="D16" s="76">
        <v>0.01</v>
      </c>
      <c r="E16" s="76">
        <v>8.9999999999999993E-3</v>
      </c>
      <c r="F16" s="76">
        <v>0.02</v>
      </c>
      <c r="G16" s="76">
        <v>0.14099999999999999</v>
      </c>
      <c r="H16" s="76">
        <v>0.107</v>
      </c>
      <c r="I16" s="76">
        <v>0.13800000000000001</v>
      </c>
      <c r="J16" s="76">
        <v>0.31</v>
      </c>
      <c r="K16" s="76">
        <v>0.73099999999999998</v>
      </c>
      <c r="L16" s="76">
        <v>2.2839999999999998</v>
      </c>
      <c r="M16" s="76">
        <v>6.6580000000000004</v>
      </c>
      <c r="N16" s="76">
        <v>63.460999999999999</v>
      </c>
      <c r="O16" s="76">
        <v>6.1829999999999998</v>
      </c>
      <c r="P16" s="76">
        <v>4.4969999999999999</v>
      </c>
      <c r="Q16" s="76">
        <v>2.0819999999999999</v>
      </c>
      <c r="R16" s="76">
        <v>0.51600000000000001</v>
      </c>
      <c r="S16" s="76">
        <v>0.36599999999999999</v>
      </c>
      <c r="T16" s="76">
        <v>8.1000000000000003E-2</v>
      </c>
      <c r="U16" s="76">
        <v>8.3000000000000004E-2</v>
      </c>
      <c r="V16" s="76">
        <v>10.683</v>
      </c>
      <c r="W16" s="76">
        <v>1.623</v>
      </c>
      <c r="AA16" s="81"/>
      <c r="AB16" s="81"/>
    </row>
    <row r="17" spans="1:34">
      <c r="A17" s="271" t="s">
        <v>14</v>
      </c>
      <c r="B17" s="76">
        <v>2.5999999999999999E-2</v>
      </c>
      <c r="C17" s="76">
        <v>1.2E-2</v>
      </c>
      <c r="D17" s="76">
        <v>1.4E-2</v>
      </c>
      <c r="E17" s="76">
        <v>7.0000000000000001E-3</v>
      </c>
      <c r="F17" s="76">
        <v>3.5000000000000003E-2</v>
      </c>
      <c r="G17" s="76">
        <v>7.5999999999999998E-2</v>
      </c>
      <c r="H17" s="76">
        <v>8.3000000000000004E-2</v>
      </c>
      <c r="I17" s="76">
        <v>5.8999999999999997E-2</v>
      </c>
      <c r="J17" s="76">
        <v>0.13900000000000001</v>
      </c>
      <c r="K17" s="76">
        <v>0.24399999999999999</v>
      </c>
      <c r="L17" s="76">
        <v>0.42699999999999999</v>
      </c>
      <c r="M17" s="76">
        <v>2.3620000000000001</v>
      </c>
      <c r="N17" s="76">
        <v>6.7480000000000002</v>
      </c>
      <c r="O17" s="76">
        <v>63.613999999999997</v>
      </c>
      <c r="P17" s="76">
        <v>6.665</v>
      </c>
      <c r="Q17" s="76">
        <v>3.9590000000000001</v>
      </c>
      <c r="R17" s="76">
        <v>1.1870000000000001</v>
      </c>
      <c r="S17" s="76">
        <v>0.54500000000000004</v>
      </c>
      <c r="T17" s="76">
        <v>0.216</v>
      </c>
      <c r="U17" s="76">
        <v>0.30299999999999999</v>
      </c>
      <c r="V17" s="76">
        <v>11.095000000000001</v>
      </c>
      <c r="W17" s="76">
        <v>2.1840000000000002</v>
      </c>
      <c r="AB17" s="81"/>
    </row>
    <row r="18" spans="1:34">
      <c r="A18" s="271" t="s">
        <v>13</v>
      </c>
      <c r="B18" s="76">
        <v>0</v>
      </c>
      <c r="C18" s="76">
        <v>0</v>
      </c>
      <c r="D18" s="76">
        <v>6.0000000000000001E-3</v>
      </c>
      <c r="E18" s="76">
        <v>7.0000000000000001E-3</v>
      </c>
      <c r="F18" s="76">
        <v>1.6E-2</v>
      </c>
      <c r="G18" s="76">
        <v>0</v>
      </c>
      <c r="H18" s="76">
        <v>0.04</v>
      </c>
      <c r="I18" s="76">
        <v>0.09</v>
      </c>
      <c r="J18" s="76">
        <v>8.1000000000000003E-2</v>
      </c>
      <c r="K18" s="76">
        <v>0.108</v>
      </c>
      <c r="L18" s="76">
        <v>0.20399999999999999</v>
      </c>
      <c r="M18" s="76">
        <v>0.57299999999999995</v>
      </c>
      <c r="N18" s="76">
        <v>1.851</v>
      </c>
      <c r="O18" s="76">
        <v>6.9950000000000001</v>
      </c>
      <c r="P18" s="76">
        <v>61.246000000000002</v>
      </c>
      <c r="Q18" s="76">
        <v>8.4659999999999993</v>
      </c>
      <c r="R18" s="76">
        <v>3.238</v>
      </c>
      <c r="S18" s="76">
        <v>1.506</v>
      </c>
      <c r="T18" s="76">
        <v>0.47299999999999998</v>
      </c>
      <c r="U18" s="76">
        <v>0.51400000000000001</v>
      </c>
      <c r="V18" s="76">
        <v>11.231999999999999</v>
      </c>
      <c r="W18" s="76">
        <v>3.3519999999999999</v>
      </c>
      <c r="AA18" s="81"/>
      <c r="AB18" s="81"/>
    </row>
    <row r="19" spans="1:34">
      <c r="A19" s="271" t="s">
        <v>11</v>
      </c>
      <c r="B19" s="76">
        <v>0</v>
      </c>
      <c r="C19" s="76">
        <v>4.0000000000000001E-3</v>
      </c>
      <c r="D19" s="76">
        <v>3.2000000000000001E-2</v>
      </c>
      <c r="E19" s="76">
        <v>0</v>
      </c>
      <c r="F19" s="76">
        <v>7.0000000000000001E-3</v>
      </c>
      <c r="G19" s="76">
        <v>1.6E-2</v>
      </c>
      <c r="H19" s="76">
        <v>5.3999999999999999E-2</v>
      </c>
      <c r="I19" s="76">
        <v>3.4000000000000002E-2</v>
      </c>
      <c r="J19" s="76">
        <v>5.2999999999999999E-2</v>
      </c>
      <c r="K19" s="76">
        <v>9.0999999999999998E-2</v>
      </c>
      <c r="L19" s="76">
        <v>6.0999999999999999E-2</v>
      </c>
      <c r="M19" s="76">
        <v>0.193</v>
      </c>
      <c r="N19" s="76">
        <v>0.50700000000000001</v>
      </c>
      <c r="O19" s="76">
        <v>2.109</v>
      </c>
      <c r="P19" s="76">
        <v>6.7990000000000004</v>
      </c>
      <c r="Q19" s="76">
        <v>59.656999999999996</v>
      </c>
      <c r="R19" s="76">
        <v>6.9349999999999996</v>
      </c>
      <c r="S19" s="76">
        <v>3.5350000000000001</v>
      </c>
      <c r="T19" s="76">
        <v>1.05</v>
      </c>
      <c r="U19" s="76">
        <v>0.95099999999999996</v>
      </c>
      <c r="V19" s="76">
        <v>12.185</v>
      </c>
      <c r="W19" s="76">
        <v>5.7279999999999998</v>
      </c>
      <c r="Z19" s="81"/>
      <c r="AC19" s="81"/>
    </row>
    <row r="20" spans="1:34">
      <c r="A20" s="271" t="s">
        <v>19</v>
      </c>
      <c r="B20" s="76">
        <v>0</v>
      </c>
      <c r="C20" s="76">
        <v>2.9000000000000001E-2</v>
      </c>
      <c r="D20" s="76">
        <v>0</v>
      </c>
      <c r="E20" s="76">
        <v>0</v>
      </c>
      <c r="F20" s="76">
        <v>0</v>
      </c>
      <c r="G20" s="76">
        <v>2.3E-2</v>
      </c>
      <c r="H20" s="76">
        <v>0</v>
      </c>
      <c r="I20" s="76">
        <v>4.5999999999999999E-2</v>
      </c>
      <c r="J20" s="76">
        <v>0</v>
      </c>
      <c r="K20" s="76">
        <v>3.0000000000000001E-3</v>
      </c>
      <c r="L20" s="76">
        <v>4.5999999999999999E-2</v>
      </c>
      <c r="M20" s="76">
        <v>0.04</v>
      </c>
      <c r="N20" s="76">
        <v>0.17899999999999999</v>
      </c>
      <c r="O20" s="76">
        <v>0.63600000000000001</v>
      </c>
      <c r="P20" s="76">
        <v>2.0649999999999999</v>
      </c>
      <c r="Q20" s="76">
        <v>9.4890000000000008</v>
      </c>
      <c r="R20" s="76">
        <v>54.052</v>
      </c>
      <c r="S20" s="76">
        <v>8.9239999999999995</v>
      </c>
      <c r="T20" s="76">
        <v>3.5249999999999999</v>
      </c>
      <c r="U20" s="76">
        <v>2.0910000000000002</v>
      </c>
      <c r="V20" s="76">
        <v>11.548</v>
      </c>
      <c r="W20" s="76">
        <v>7.306</v>
      </c>
      <c r="AH20" s="81"/>
    </row>
    <row r="21" spans="1:34">
      <c r="A21" s="271" t="s">
        <v>17</v>
      </c>
      <c r="B21" s="76">
        <v>0</v>
      </c>
      <c r="C21" s="76">
        <v>0</v>
      </c>
      <c r="D21" s="76">
        <v>0</v>
      </c>
      <c r="E21" s="76">
        <v>0</v>
      </c>
      <c r="F21" s="76">
        <v>0</v>
      </c>
      <c r="G21" s="76">
        <v>0.01</v>
      </c>
      <c r="H21" s="76">
        <v>0</v>
      </c>
      <c r="I21" s="76">
        <v>0.01</v>
      </c>
      <c r="J21" s="76">
        <v>4.8000000000000001E-2</v>
      </c>
      <c r="K21" s="76">
        <v>0.182</v>
      </c>
      <c r="L21" s="76">
        <v>8.1000000000000003E-2</v>
      </c>
      <c r="M21" s="76">
        <v>8.5999999999999993E-2</v>
      </c>
      <c r="N21" s="76">
        <v>0.35399999999999998</v>
      </c>
      <c r="O21" s="76">
        <v>0.48799999999999999</v>
      </c>
      <c r="P21" s="76">
        <v>1.101</v>
      </c>
      <c r="Q21" s="76">
        <v>3.419</v>
      </c>
      <c r="R21" s="76">
        <v>8.1920000000000002</v>
      </c>
      <c r="S21" s="76">
        <v>47.122</v>
      </c>
      <c r="T21" s="76">
        <v>5.4009999999999998</v>
      </c>
      <c r="U21" s="76">
        <v>4.7690000000000001</v>
      </c>
      <c r="V21" s="76">
        <v>11.989000000000001</v>
      </c>
      <c r="W21" s="76">
        <v>16.748000000000001</v>
      </c>
      <c r="AD21" s="81"/>
      <c r="AF21" s="81"/>
    </row>
    <row r="22" spans="1:34">
      <c r="A22" s="271" t="s">
        <v>12</v>
      </c>
      <c r="B22" s="76">
        <v>0</v>
      </c>
      <c r="C22" s="76">
        <v>0</v>
      </c>
      <c r="D22" s="76">
        <v>0</v>
      </c>
      <c r="E22" s="76">
        <v>0</v>
      </c>
      <c r="F22" s="76">
        <v>0</v>
      </c>
      <c r="G22" s="76">
        <v>0</v>
      </c>
      <c r="H22" s="76">
        <v>0</v>
      </c>
      <c r="I22" s="76">
        <v>0</v>
      </c>
      <c r="J22" s="76">
        <v>0</v>
      </c>
      <c r="K22" s="76">
        <v>0</v>
      </c>
      <c r="L22" s="76">
        <v>0.19500000000000001</v>
      </c>
      <c r="M22" s="76">
        <v>9.7000000000000003E-2</v>
      </c>
      <c r="N22" s="76">
        <v>1.4E-2</v>
      </c>
      <c r="O22" s="76">
        <v>0.13900000000000001</v>
      </c>
      <c r="P22" s="76">
        <v>0.27800000000000002</v>
      </c>
      <c r="Q22" s="76">
        <v>1.5009999999999999</v>
      </c>
      <c r="R22" s="76">
        <v>2.6829999999999998</v>
      </c>
      <c r="S22" s="76">
        <v>8.16</v>
      </c>
      <c r="T22" s="76">
        <v>37.948</v>
      </c>
      <c r="U22" s="76">
        <v>7.59</v>
      </c>
      <c r="V22" s="76">
        <v>14.554</v>
      </c>
      <c r="W22" s="76">
        <v>26.841999999999999</v>
      </c>
    </row>
    <row r="23" spans="1:34">
      <c r="A23" s="272" t="s">
        <v>38</v>
      </c>
      <c r="B23" s="273">
        <v>0</v>
      </c>
      <c r="C23" s="273">
        <v>0</v>
      </c>
      <c r="D23" s="273">
        <v>0</v>
      </c>
      <c r="E23" s="273">
        <v>0</v>
      </c>
      <c r="F23" s="273">
        <v>0</v>
      </c>
      <c r="G23" s="273">
        <v>0</v>
      </c>
      <c r="H23" s="273">
        <v>6.0999999999999999E-2</v>
      </c>
      <c r="I23" s="273">
        <v>0</v>
      </c>
      <c r="J23" s="273">
        <v>0</v>
      </c>
      <c r="K23" s="273">
        <v>0</v>
      </c>
      <c r="L23" s="273">
        <v>6.0999999999999999E-2</v>
      </c>
      <c r="M23" s="273">
        <v>0.13700000000000001</v>
      </c>
      <c r="N23" s="273">
        <v>0.182</v>
      </c>
      <c r="O23" s="273">
        <v>0.19700000000000001</v>
      </c>
      <c r="P23" s="273">
        <v>0.501</v>
      </c>
      <c r="Q23" s="273">
        <v>1.23</v>
      </c>
      <c r="R23" s="273">
        <v>1.5640000000000001</v>
      </c>
      <c r="S23" s="273">
        <v>3.5230000000000001</v>
      </c>
      <c r="T23" s="273">
        <v>4.3579999999999997</v>
      </c>
      <c r="U23" s="273">
        <v>34.74</v>
      </c>
      <c r="V23" s="273">
        <v>14.561</v>
      </c>
      <c r="W23" s="273">
        <v>38.886000000000003</v>
      </c>
    </row>
    <row r="24" spans="1:34">
      <c r="A24" s="266" t="s">
        <v>39</v>
      </c>
      <c r="B24" s="274"/>
      <c r="C24" s="274"/>
      <c r="D24" s="274"/>
      <c r="E24" s="274"/>
      <c r="F24" s="274"/>
      <c r="G24" s="274"/>
      <c r="H24" s="274"/>
      <c r="I24" s="274"/>
      <c r="J24" s="274"/>
      <c r="K24" s="274"/>
      <c r="L24" s="274"/>
      <c r="M24" s="274"/>
      <c r="N24" s="274"/>
      <c r="O24" s="274"/>
      <c r="P24" s="274"/>
      <c r="Q24" s="274"/>
      <c r="R24" s="274"/>
      <c r="S24" s="274"/>
      <c r="T24" s="274"/>
      <c r="U24" s="274"/>
      <c r="V24" s="274"/>
      <c r="W24" s="274"/>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zoomScaleNormal="100" workbookViewId="0"/>
  </sheetViews>
  <sheetFormatPr defaultRowHeight="15"/>
  <cols>
    <col min="1" max="8" width="7.42578125" style="74" customWidth="1"/>
    <col min="9" max="11" width="11.140625" style="74" customWidth="1"/>
    <col min="12" max="16384" width="9.140625" style="74"/>
  </cols>
  <sheetData>
    <row r="1" spans="1:11">
      <c r="A1" s="123" t="s">
        <v>221</v>
      </c>
      <c r="B1" s="70"/>
      <c r="C1" s="70"/>
      <c r="D1" s="70"/>
      <c r="E1" s="70"/>
      <c r="F1" s="70"/>
      <c r="G1" s="124"/>
      <c r="H1" s="70"/>
      <c r="I1" s="70"/>
      <c r="J1" s="70"/>
      <c r="K1" s="70"/>
    </row>
    <row r="2" spans="1:11">
      <c r="A2" s="123"/>
      <c r="B2" s="70"/>
      <c r="C2" s="70"/>
      <c r="D2" s="70"/>
      <c r="E2" s="70"/>
      <c r="F2" s="70"/>
      <c r="G2" s="124"/>
      <c r="H2" s="70"/>
      <c r="I2" s="70"/>
      <c r="J2" s="70"/>
      <c r="K2" s="70"/>
    </row>
    <row r="3" spans="1:11">
      <c r="A3" s="275" t="s">
        <v>40</v>
      </c>
      <c r="B3" s="276" t="s">
        <v>1</v>
      </c>
      <c r="C3" s="276" t="s">
        <v>2</v>
      </c>
      <c r="D3" s="276" t="s">
        <v>3</v>
      </c>
      <c r="E3" s="276" t="s">
        <v>4</v>
      </c>
      <c r="F3" s="276" t="s">
        <v>5</v>
      </c>
      <c r="G3" s="276" t="s">
        <v>6</v>
      </c>
      <c r="H3" s="276" t="s">
        <v>71</v>
      </c>
      <c r="I3" s="277" t="s">
        <v>41</v>
      </c>
      <c r="J3" s="277" t="s">
        <v>42</v>
      </c>
      <c r="K3" s="277" t="s">
        <v>43</v>
      </c>
    </row>
    <row r="4" spans="1:11">
      <c r="A4" s="278">
        <v>1920</v>
      </c>
      <c r="B4" s="279">
        <v>0</v>
      </c>
      <c r="C4" s="279">
        <v>0</v>
      </c>
      <c r="D4" s="279">
        <v>0.32300000000000001</v>
      </c>
      <c r="E4" s="279">
        <v>0.94099999999999995</v>
      </c>
      <c r="F4" s="279">
        <v>2.153</v>
      </c>
      <c r="G4" s="279">
        <v>4.3819999999999997</v>
      </c>
      <c r="H4" s="280">
        <v>0</v>
      </c>
      <c r="I4" s="279">
        <v>0.42699999999999999</v>
      </c>
      <c r="J4" s="279">
        <v>3.0089999999999999</v>
      </c>
      <c r="K4" s="279">
        <v>1.2330000000000001</v>
      </c>
    </row>
    <row r="5" spans="1:11">
      <c r="A5" s="278">
        <v>1921</v>
      </c>
      <c r="B5" s="279">
        <v>0</v>
      </c>
      <c r="C5" s="279">
        <v>0.189</v>
      </c>
      <c r="D5" s="279">
        <v>0.35299999999999998</v>
      </c>
      <c r="E5" s="279">
        <v>0.64700000000000002</v>
      </c>
      <c r="F5" s="279">
        <v>0.44400000000000001</v>
      </c>
      <c r="G5" s="279">
        <v>2.6829999999999998</v>
      </c>
      <c r="H5" s="279">
        <v>13.332000000000001</v>
      </c>
      <c r="I5" s="279">
        <v>0.38700000000000001</v>
      </c>
      <c r="J5" s="279">
        <v>2.15</v>
      </c>
      <c r="K5" s="279">
        <v>1.0680000000000001</v>
      </c>
    </row>
    <row r="6" spans="1:11">
      <c r="A6" s="278">
        <v>1922</v>
      </c>
      <c r="B6" s="279">
        <v>0</v>
      </c>
      <c r="C6" s="279">
        <v>0.185</v>
      </c>
      <c r="D6" s="279">
        <v>0.16500000000000001</v>
      </c>
      <c r="E6" s="279">
        <v>1.0980000000000001</v>
      </c>
      <c r="F6" s="279">
        <v>1.0780000000000001</v>
      </c>
      <c r="G6" s="279">
        <v>1.7050000000000001</v>
      </c>
      <c r="H6" s="279">
        <v>7.6289999999999996</v>
      </c>
      <c r="I6" s="279">
        <v>0.50600000000000001</v>
      </c>
      <c r="J6" s="279">
        <v>1.762</v>
      </c>
      <c r="K6" s="279">
        <v>1.0069999999999999</v>
      </c>
    </row>
    <row r="7" spans="1:11">
      <c r="A7" s="278">
        <v>1923</v>
      </c>
      <c r="B7" s="279">
        <v>0</v>
      </c>
      <c r="C7" s="279">
        <v>0</v>
      </c>
      <c r="D7" s="279">
        <v>0</v>
      </c>
      <c r="E7" s="279">
        <v>0.621</v>
      </c>
      <c r="F7" s="279">
        <v>0.92900000000000005</v>
      </c>
      <c r="G7" s="279">
        <v>2.27</v>
      </c>
      <c r="H7" s="279">
        <v>5.9320000000000004</v>
      </c>
      <c r="I7" s="279">
        <v>0.24399999999999999</v>
      </c>
      <c r="J7" s="279">
        <v>1.7050000000000001</v>
      </c>
      <c r="K7" s="279">
        <v>0.80400000000000005</v>
      </c>
    </row>
    <row r="8" spans="1:11">
      <c r="A8" s="278">
        <v>1924</v>
      </c>
      <c r="B8" s="279">
        <v>0</v>
      </c>
      <c r="C8" s="279">
        <v>0.36699999999999999</v>
      </c>
      <c r="D8" s="279">
        <v>0</v>
      </c>
      <c r="E8" s="279">
        <v>0.126</v>
      </c>
      <c r="F8" s="279">
        <v>2.0649999999999999</v>
      </c>
      <c r="G8" s="279">
        <v>2.7050000000000001</v>
      </c>
      <c r="H8" s="279">
        <v>12.835000000000001</v>
      </c>
      <c r="I8" s="279">
        <v>0.14000000000000001</v>
      </c>
      <c r="J8" s="279">
        <v>2.8519999999999999</v>
      </c>
      <c r="K8" s="279">
        <v>1.1519999999999999</v>
      </c>
    </row>
    <row r="9" spans="1:11">
      <c r="A9" s="278">
        <v>1925</v>
      </c>
      <c r="B9" s="279">
        <v>0</v>
      </c>
      <c r="C9" s="279">
        <v>0</v>
      </c>
      <c r="D9" s="279">
        <v>0.14099999999999999</v>
      </c>
      <c r="E9" s="279">
        <v>0.70699999999999996</v>
      </c>
      <c r="F9" s="279">
        <v>1.7450000000000001</v>
      </c>
      <c r="G9" s="279">
        <v>2.585</v>
      </c>
      <c r="H9" s="279">
        <v>14.397</v>
      </c>
      <c r="I9" s="279">
        <v>0.32</v>
      </c>
      <c r="J9" s="279">
        <v>2.5619999999999998</v>
      </c>
      <c r="K9" s="279">
        <v>1.17</v>
      </c>
    </row>
    <row r="10" spans="1:11">
      <c r="A10" s="278">
        <v>1926</v>
      </c>
      <c r="B10" s="279">
        <v>0</v>
      </c>
      <c r="C10" s="279">
        <v>0.39500000000000002</v>
      </c>
      <c r="D10" s="279">
        <v>0.14699999999999999</v>
      </c>
      <c r="E10" s="279">
        <v>0.113</v>
      </c>
      <c r="F10" s="279">
        <v>1.387</v>
      </c>
      <c r="G10" s="279">
        <v>2.9</v>
      </c>
      <c r="H10" s="279">
        <v>3.7040000000000002</v>
      </c>
      <c r="I10" s="279">
        <v>0.188</v>
      </c>
      <c r="J10" s="279">
        <v>1.909</v>
      </c>
      <c r="K10" s="279">
        <v>0.76800000000000002</v>
      </c>
    </row>
    <row r="11" spans="1:11">
      <c r="A11" s="278">
        <v>1927</v>
      </c>
      <c r="B11" s="279">
        <v>0</v>
      </c>
      <c r="C11" s="279">
        <v>0</v>
      </c>
      <c r="D11" s="279">
        <v>0.21199999999999999</v>
      </c>
      <c r="E11" s="279">
        <v>0</v>
      </c>
      <c r="F11" s="279">
        <v>1.3</v>
      </c>
      <c r="G11" s="279">
        <v>1.98</v>
      </c>
      <c r="H11" s="279">
        <v>12.842000000000001</v>
      </c>
      <c r="I11" s="279">
        <v>6.9000000000000006E-2</v>
      </c>
      <c r="J11" s="279">
        <v>1.831</v>
      </c>
      <c r="K11" s="279">
        <v>0.73599999999999999</v>
      </c>
    </row>
    <row r="12" spans="1:11">
      <c r="A12" s="278">
        <v>1928</v>
      </c>
      <c r="B12" s="279">
        <v>0</v>
      </c>
      <c r="C12" s="279">
        <v>0</v>
      </c>
      <c r="D12" s="279">
        <v>0</v>
      </c>
      <c r="E12" s="279">
        <v>0</v>
      </c>
      <c r="F12" s="279">
        <v>0.16400000000000001</v>
      </c>
      <c r="G12" s="279">
        <v>1.32</v>
      </c>
      <c r="H12" s="279">
        <v>10.477</v>
      </c>
      <c r="I12" s="279">
        <v>0</v>
      </c>
      <c r="J12" s="279">
        <v>0.877</v>
      </c>
      <c r="K12" s="279">
        <v>0.36299999999999999</v>
      </c>
    </row>
    <row r="13" spans="1:11">
      <c r="A13" s="278">
        <v>1929</v>
      </c>
      <c r="B13" s="279">
        <v>0</v>
      </c>
      <c r="C13" s="279">
        <v>0.29299999999999998</v>
      </c>
      <c r="D13" s="279">
        <v>0</v>
      </c>
      <c r="E13" s="279">
        <v>0.443</v>
      </c>
      <c r="F13" s="279">
        <v>0.82499999999999996</v>
      </c>
      <c r="G13" s="279">
        <v>0.91800000000000004</v>
      </c>
      <c r="H13" s="279">
        <v>9.7330000000000005</v>
      </c>
      <c r="I13" s="279">
        <v>0.24099999999999999</v>
      </c>
      <c r="J13" s="279">
        <v>1.401</v>
      </c>
      <c r="K13" s="279">
        <v>0.71399999999999997</v>
      </c>
    </row>
    <row r="14" spans="1:11">
      <c r="A14" s="278">
        <v>1930</v>
      </c>
      <c r="B14" s="279">
        <v>0</v>
      </c>
      <c r="C14" s="279">
        <v>0</v>
      </c>
      <c r="D14" s="279">
        <v>0</v>
      </c>
      <c r="E14" s="279">
        <v>0.4</v>
      </c>
      <c r="F14" s="279">
        <v>0.91500000000000004</v>
      </c>
      <c r="G14" s="279">
        <v>3.1629999999999998</v>
      </c>
      <c r="H14" s="279">
        <v>7.72</v>
      </c>
      <c r="I14" s="279">
        <v>0.151</v>
      </c>
      <c r="J14" s="279">
        <v>2.202</v>
      </c>
      <c r="K14" s="279">
        <v>1.0389999999999999</v>
      </c>
    </row>
    <row r="15" spans="1:11">
      <c r="A15" s="278">
        <v>1931</v>
      </c>
      <c r="B15" s="279">
        <v>0</v>
      </c>
      <c r="C15" s="279">
        <v>0</v>
      </c>
      <c r="D15" s="279">
        <v>0.26900000000000002</v>
      </c>
      <c r="E15" s="279">
        <v>1.08</v>
      </c>
      <c r="F15" s="279">
        <v>2.9990000000000001</v>
      </c>
      <c r="G15" s="279">
        <v>9.5229999999999997</v>
      </c>
      <c r="H15" s="279">
        <v>31.67</v>
      </c>
      <c r="I15" s="279">
        <v>0.501</v>
      </c>
      <c r="J15" s="279">
        <v>7.8890000000000002</v>
      </c>
      <c r="K15" s="279">
        <v>3.8</v>
      </c>
    </row>
    <row r="16" spans="1:11">
      <c r="A16" s="278">
        <v>1932</v>
      </c>
      <c r="B16" s="279">
        <v>0</v>
      </c>
      <c r="C16" s="279">
        <v>0.67</v>
      </c>
      <c r="D16" s="279">
        <v>1.099</v>
      </c>
      <c r="E16" s="279">
        <v>0.92500000000000004</v>
      </c>
      <c r="F16" s="279">
        <v>6.0839999999999996</v>
      </c>
      <c r="G16" s="279">
        <v>13.978</v>
      </c>
      <c r="H16" s="279">
        <v>24.062000000000001</v>
      </c>
      <c r="I16" s="279">
        <v>0.86</v>
      </c>
      <c r="J16" s="279">
        <v>10.978</v>
      </c>
      <c r="K16" s="279">
        <v>5.4950000000000001</v>
      </c>
    </row>
    <row r="17" spans="1:11">
      <c r="A17" s="278">
        <v>1933</v>
      </c>
      <c r="B17" s="279">
        <v>0</v>
      </c>
      <c r="C17" s="279">
        <v>0</v>
      </c>
      <c r="D17" s="279">
        <v>0.25800000000000001</v>
      </c>
      <c r="E17" s="279">
        <v>1.7709999999999999</v>
      </c>
      <c r="F17" s="279">
        <v>11.686999999999999</v>
      </c>
      <c r="G17" s="279">
        <v>16.146999999999998</v>
      </c>
      <c r="H17" s="279">
        <v>25.920999999999999</v>
      </c>
      <c r="I17" s="279">
        <v>0.79</v>
      </c>
      <c r="J17" s="279">
        <v>15.756</v>
      </c>
      <c r="K17" s="279">
        <v>8.5229999999999997</v>
      </c>
    </row>
    <row r="18" spans="1:11">
      <c r="A18" s="278">
        <v>1934</v>
      </c>
      <c r="B18" s="279">
        <v>0</v>
      </c>
      <c r="C18" s="279">
        <v>0.61699999999999999</v>
      </c>
      <c r="D18" s="279">
        <v>0.30599999999999999</v>
      </c>
      <c r="E18" s="279">
        <v>0.85699999999999998</v>
      </c>
      <c r="F18" s="279">
        <v>2.5169999999999999</v>
      </c>
      <c r="G18" s="279">
        <v>4.2240000000000002</v>
      </c>
      <c r="H18" s="279">
        <v>16.504000000000001</v>
      </c>
      <c r="I18" s="279">
        <v>0.58599999999999997</v>
      </c>
      <c r="J18" s="279">
        <v>5.8849999999999998</v>
      </c>
      <c r="K18" s="279">
        <v>3.4009999999999998</v>
      </c>
    </row>
    <row r="19" spans="1:11">
      <c r="A19" s="278">
        <v>1935</v>
      </c>
      <c r="B19" s="279">
        <v>0</v>
      </c>
      <c r="C19" s="279">
        <v>0</v>
      </c>
      <c r="D19" s="279">
        <v>1.429</v>
      </c>
      <c r="E19" s="279">
        <v>1.923</v>
      </c>
      <c r="F19" s="279">
        <v>5.1050000000000004</v>
      </c>
      <c r="G19" s="279">
        <v>4.2750000000000004</v>
      </c>
      <c r="H19" s="279">
        <v>13.023999999999999</v>
      </c>
      <c r="I19" s="279">
        <v>1.2849999999999999</v>
      </c>
      <c r="J19" s="279">
        <v>6.2380000000000004</v>
      </c>
      <c r="K19" s="279">
        <v>3.93</v>
      </c>
    </row>
    <row r="20" spans="1:11">
      <c r="A20" s="278">
        <v>1936</v>
      </c>
      <c r="B20" s="279">
        <v>0</v>
      </c>
      <c r="C20" s="279">
        <v>0.84699999999999998</v>
      </c>
      <c r="D20" s="279">
        <v>0.54300000000000004</v>
      </c>
      <c r="E20" s="279">
        <v>0.32700000000000001</v>
      </c>
      <c r="F20" s="279">
        <v>1.2230000000000001</v>
      </c>
      <c r="G20" s="279">
        <v>2.3849999999999998</v>
      </c>
      <c r="H20" s="279">
        <v>7.7949999999999999</v>
      </c>
      <c r="I20" s="279">
        <v>0.48199999999999998</v>
      </c>
      <c r="J20" s="279">
        <v>2.7090000000000001</v>
      </c>
      <c r="K20" s="279">
        <v>1.631</v>
      </c>
    </row>
    <row r="21" spans="1:11">
      <c r="A21" s="278">
        <v>1937</v>
      </c>
      <c r="B21" s="279">
        <v>0</v>
      </c>
      <c r="C21" s="279">
        <v>0</v>
      </c>
      <c r="D21" s="279">
        <v>0.505</v>
      </c>
      <c r="E21" s="279">
        <v>1.0429999999999999</v>
      </c>
      <c r="F21" s="279">
        <v>0.98799999999999999</v>
      </c>
      <c r="G21" s="279">
        <v>2.669</v>
      </c>
      <c r="H21" s="279">
        <v>9.0739999999999998</v>
      </c>
      <c r="I21" s="279">
        <v>0.61899999999999999</v>
      </c>
      <c r="J21" s="279">
        <v>2.7360000000000002</v>
      </c>
      <c r="K21" s="279">
        <v>1.7190000000000001</v>
      </c>
    </row>
    <row r="22" spans="1:11">
      <c r="A22" s="278">
        <v>1938</v>
      </c>
      <c r="B22" s="279">
        <v>0</v>
      </c>
      <c r="C22" s="279">
        <v>0.85499999999999998</v>
      </c>
      <c r="D22" s="279">
        <v>1.639</v>
      </c>
      <c r="E22" s="279">
        <v>1.99</v>
      </c>
      <c r="F22" s="279">
        <v>0.98499999999999999</v>
      </c>
      <c r="G22" s="279">
        <v>1.462</v>
      </c>
      <c r="H22" s="279">
        <v>12.808</v>
      </c>
      <c r="I22" s="279">
        <v>1.55</v>
      </c>
      <c r="J22" s="279">
        <v>2.5870000000000002</v>
      </c>
      <c r="K22" s="279">
        <v>2.105</v>
      </c>
    </row>
    <row r="23" spans="1:11">
      <c r="A23" s="278">
        <v>1939</v>
      </c>
      <c r="B23" s="279">
        <v>0</v>
      </c>
      <c r="C23" s="279">
        <v>0</v>
      </c>
      <c r="D23" s="279">
        <v>0</v>
      </c>
      <c r="E23" s="279">
        <v>0.995</v>
      </c>
      <c r="F23" s="279">
        <v>0.61899999999999999</v>
      </c>
      <c r="G23" s="279">
        <v>1.7390000000000001</v>
      </c>
      <c r="H23" s="279">
        <v>6.0730000000000004</v>
      </c>
      <c r="I23" s="279">
        <v>0.41199999999999998</v>
      </c>
      <c r="J23" s="279">
        <v>1.766</v>
      </c>
      <c r="K23" s="279">
        <v>1.2210000000000001</v>
      </c>
    </row>
    <row r="24" spans="1:11">
      <c r="A24" s="278">
        <v>1940</v>
      </c>
      <c r="B24" s="279">
        <v>0</v>
      </c>
      <c r="C24" s="279">
        <v>0</v>
      </c>
      <c r="D24" s="279">
        <v>0</v>
      </c>
      <c r="E24" s="279">
        <v>1.37</v>
      </c>
      <c r="F24" s="279">
        <v>0.43099999999999999</v>
      </c>
      <c r="G24" s="279">
        <v>3.2829999999999999</v>
      </c>
      <c r="H24" s="279">
        <v>11.829000000000001</v>
      </c>
      <c r="I24" s="279">
        <v>0.59199999999999997</v>
      </c>
      <c r="J24" s="279">
        <v>3.5449999999999999</v>
      </c>
      <c r="K24" s="279">
        <v>2.4649999999999999</v>
      </c>
    </row>
    <row r="25" spans="1:11">
      <c r="A25" s="278">
        <v>1941</v>
      </c>
      <c r="B25" s="279">
        <v>0</v>
      </c>
      <c r="C25" s="279">
        <v>0</v>
      </c>
      <c r="D25" s="279">
        <v>0</v>
      </c>
      <c r="E25" s="279">
        <v>0</v>
      </c>
      <c r="F25" s="279">
        <v>0.97299999999999998</v>
      </c>
      <c r="G25" s="279">
        <v>0.80600000000000005</v>
      </c>
      <c r="H25" s="279">
        <v>5.0279999999999996</v>
      </c>
      <c r="I25" s="279">
        <v>0</v>
      </c>
      <c r="J25" s="279">
        <v>1.704</v>
      </c>
      <c r="K25" s="279">
        <v>1.0820000000000001</v>
      </c>
    </row>
    <row r="26" spans="1:11">
      <c r="A26" s="278">
        <v>1942</v>
      </c>
      <c r="B26" s="279">
        <v>0</v>
      </c>
      <c r="C26" s="279">
        <v>0</v>
      </c>
      <c r="D26" s="279">
        <v>0</v>
      </c>
      <c r="E26" s="279">
        <v>0</v>
      </c>
      <c r="F26" s="279">
        <v>0</v>
      </c>
      <c r="G26" s="279">
        <v>0.78400000000000003</v>
      </c>
      <c r="H26" s="279">
        <v>1.984</v>
      </c>
      <c r="I26" s="279">
        <v>0</v>
      </c>
      <c r="J26" s="279">
        <v>0.73199999999999998</v>
      </c>
      <c r="K26" s="279">
        <v>0.45400000000000001</v>
      </c>
    </row>
    <row r="27" spans="1:11">
      <c r="A27" s="278">
        <v>1943</v>
      </c>
      <c r="B27" s="279">
        <v>0</v>
      </c>
      <c r="C27" s="279">
        <v>0</v>
      </c>
      <c r="D27" s="279">
        <v>0</v>
      </c>
      <c r="E27" s="279">
        <v>0</v>
      </c>
      <c r="F27" s="279">
        <v>0</v>
      </c>
      <c r="G27" s="279">
        <v>1.347</v>
      </c>
      <c r="H27" s="279">
        <v>0</v>
      </c>
      <c r="I27" s="279">
        <v>0</v>
      </c>
      <c r="J27" s="279">
        <v>0.61199999999999999</v>
      </c>
      <c r="K27" s="279">
        <v>0.36899999999999999</v>
      </c>
    </row>
    <row r="28" spans="1:11">
      <c r="A28" s="278">
        <v>1944</v>
      </c>
      <c r="B28" s="279">
        <v>0</v>
      </c>
      <c r="C28" s="279">
        <v>0</v>
      </c>
      <c r="D28" s="279">
        <v>0</v>
      </c>
      <c r="E28" s="279">
        <v>0</v>
      </c>
      <c r="F28" s="279">
        <v>0</v>
      </c>
      <c r="G28" s="279">
        <v>0.49</v>
      </c>
      <c r="H28" s="279">
        <v>2.5190000000000001</v>
      </c>
      <c r="I28" s="279">
        <v>0</v>
      </c>
      <c r="J28" s="279">
        <v>0.66200000000000003</v>
      </c>
      <c r="K28" s="279">
        <v>0.38700000000000001</v>
      </c>
    </row>
    <row r="29" spans="1:11">
      <c r="A29" s="278">
        <v>1945</v>
      </c>
      <c r="B29" s="279">
        <v>0</v>
      </c>
      <c r="C29" s="279">
        <v>0</v>
      </c>
      <c r="D29" s="279">
        <v>0</v>
      </c>
      <c r="E29" s="279">
        <v>0</v>
      </c>
      <c r="F29" s="279">
        <v>0</v>
      </c>
      <c r="G29" s="279">
        <v>0</v>
      </c>
      <c r="H29" s="279">
        <v>3.5089999999999999</v>
      </c>
      <c r="I29" s="279">
        <v>0</v>
      </c>
      <c r="J29" s="279">
        <v>0.56000000000000005</v>
      </c>
      <c r="K29" s="279">
        <v>0.30499999999999999</v>
      </c>
    </row>
    <row r="30" spans="1:11">
      <c r="A30" s="278">
        <v>1946</v>
      </c>
      <c r="B30" s="279">
        <v>0</v>
      </c>
      <c r="C30" s="279">
        <v>0</v>
      </c>
      <c r="D30" s="279">
        <v>0</v>
      </c>
      <c r="E30" s="279">
        <v>0</v>
      </c>
      <c r="F30" s="279">
        <v>0</v>
      </c>
      <c r="G30" s="279">
        <v>0</v>
      </c>
      <c r="H30" s="279">
        <v>0</v>
      </c>
      <c r="I30" s="279">
        <v>0</v>
      </c>
      <c r="J30" s="279">
        <v>0</v>
      </c>
      <c r="K30" s="279">
        <v>0</v>
      </c>
    </row>
    <row r="31" spans="1:11">
      <c r="A31" s="278">
        <v>1947</v>
      </c>
      <c r="B31" s="279">
        <v>0</v>
      </c>
      <c r="C31" s="279">
        <v>0</v>
      </c>
      <c r="D31" s="279">
        <v>0</v>
      </c>
      <c r="E31" s="279">
        <v>0</v>
      </c>
      <c r="F31" s="279">
        <v>0</v>
      </c>
      <c r="G31" s="279">
        <v>0.71399999999999997</v>
      </c>
      <c r="H31" s="279">
        <v>2.7029999999999998</v>
      </c>
      <c r="I31" s="279">
        <v>0</v>
      </c>
      <c r="J31" s="279">
        <v>0.63200000000000001</v>
      </c>
      <c r="K31" s="279">
        <v>0.314</v>
      </c>
    </row>
    <row r="32" spans="1:11">
      <c r="A32" s="278">
        <v>1948</v>
      </c>
      <c r="B32" s="279">
        <v>0</v>
      </c>
      <c r="C32" s="279">
        <v>0</v>
      </c>
      <c r="D32" s="279">
        <v>0</v>
      </c>
      <c r="E32" s="279">
        <v>0</v>
      </c>
      <c r="F32" s="279">
        <v>0</v>
      </c>
      <c r="G32" s="279">
        <v>0</v>
      </c>
      <c r="H32" s="279">
        <v>0</v>
      </c>
      <c r="I32" s="279">
        <v>0</v>
      </c>
      <c r="J32" s="279">
        <v>0</v>
      </c>
      <c r="K32" s="279">
        <v>0</v>
      </c>
    </row>
    <row r="33" spans="1:11">
      <c r="A33" s="278">
        <v>1949</v>
      </c>
      <c r="B33" s="279">
        <v>0</v>
      </c>
      <c r="C33" s="279">
        <v>0</v>
      </c>
      <c r="D33" s="279">
        <v>0</v>
      </c>
      <c r="E33" s="279">
        <v>0</v>
      </c>
      <c r="F33" s="279">
        <v>1.36</v>
      </c>
      <c r="G33" s="279">
        <v>1.02</v>
      </c>
      <c r="H33" s="279">
        <v>8.2170000000000005</v>
      </c>
      <c r="I33" s="279">
        <v>0</v>
      </c>
      <c r="J33" s="279">
        <v>1.9119999999999999</v>
      </c>
      <c r="K33" s="279">
        <v>0.83399999999999996</v>
      </c>
    </row>
    <row r="34" spans="1:11">
      <c r="A34" s="278">
        <v>1950</v>
      </c>
      <c r="B34" s="279">
        <v>0</v>
      </c>
      <c r="C34" s="279">
        <v>0</v>
      </c>
      <c r="D34" s="279">
        <v>0</v>
      </c>
      <c r="E34" s="279">
        <v>0</v>
      </c>
      <c r="F34" s="279">
        <v>0</v>
      </c>
      <c r="G34" s="279">
        <v>0</v>
      </c>
      <c r="H34" s="279">
        <v>0</v>
      </c>
      <c r="I34" s="279">
        <v>0</v>
      </c>
      <c r="J34" s="279">
        <v>0</v>
      </c>
      <c r="K34" s="279">
        <v>0</v>
      </c>
    </row>
    <row r="35" spans="1:11">
      <c r="A35" s="278">
        <v>1951</v>
      </c>
      <c r="B35" s="279">
        <v>0</v>
      </c>
      <c r="C35" s="279">
        <v>0</v>
      </c>
      <c r="D35" s="279">
        <v>0</v>
      </c>
      <c r="E35" s="279">
        <v>0</v>
      </c>
      <c r="F35" s="279">
        <v>0</v>
      </c>
      <c r="G35" s="279">
        <v>0</v>
      </c>
      <c r="H35" s="279">
        <v>4.5449999999999999</v>
      </c>
      <c r="I35" s="279">
        <v>0</v>
      </c>
      <c r="J35" s="279">
        <v>0.43099999999999999</v>
      </c>
      <c r="K35" s="279">
        <v>0.17599999999999999</v>
      </c>
    </row>
    <row r="36" spans="1:11">
      <c r="A36" s="278">
        <v>1952</v>
      </c>
      <c r="B36" s="279">
        <v>0</v>
      </c>
      <c r="C36" s="279">
        <v>0</v>
      </c>
      <c r="D36" s="279">
        <v>0</v>
      </c>
      <c r="E36" s="279">
        <v>0</v>
      </c>
      <c r="F36" s="279">
        <v>0</v>
      </c>
      <c r="G36" s="279">
        <v>0</v>
      </c>
      <c r="H36" s="279">
        <v>0</v>
      </c>
      <c r="I36" s="279">
        <v>0</v>
      </c>
      <c r="J36" s="279">
        <v>0</v>
      </c>
      <c r="K36" s="279">
        <v>0</v>
      </c>
    </row>
    <row r="37" spans="1:11">
      <c r="A37" s="278">
        <v>1953</v>
      </c>
      <c r="B37" s="279">
        <v>0</v>
      </c>
      <c r="C37" s="279">
        <v>0</v>
      </c>
      <c r="D37" s="279">
        <v>0</v>
      </c>
      <c r="E37" s="279">
        <v>0</v>
      </c>
      <c r="F37" s="279">
        <v>0</v>
      </c>
      <c r="G37" s="279">
        <v>0</v>
      </c>
      <c r="H37" s="279">
        <v>0</v>
      </c>
      <c r="I37" s="279">
        <v>0</v>
      </c>
      <c r="J37" s="279">
        <v>0</v>
      </c>
      <c r="K37" s="279">
        <v>0</v>
      </c>
    </row>
    <row r="38" spans="1:11">
      <c r="A38" s="278">
        <v>1954</v>
      </c>
      <c r="B38" s="279">
        <v>0</v>
      </c>
      <c r="C38" s="279">
        <v>0</v>
      </c>
      <c r="D38" s="279">
        <v>0</v>
      </c>
      <c r="E38" s="279">
        <v>0</v>
      </c>
      <c r="F38" s="279">
        <v>0</v>
      </c>
      <c r="G38" s="279">
        <v>0</v>
      </c>
      <c r="H38" s="279">
        <v>7.1429999999999998</v>
      </c>
      <c r="I38" s="279">
        <v>0</v>
      </c>
      <c r="J38" s="279">
        <v>0.46500000000000002</v>
      </c>
      <c r="K38" s="279">
        <v>0.16600000000000001</v>
      </c>
    </row>
    <row r="39" spans="1:11">
      <c r="A39" s="278">
        <v>1955</v>
      </c>
      <c r="B39" s="279">
        <v>0</v>
      </c>
      <c r="C39" s="279">
        <v>0</v>
      </c>
      <c r="D39" s="279">
        <v>0</v>
      </c>
      <c r="E39" s="279">
        <v>0</v>
      </c>
      <c r="F39" s="279">
        <v>0</v>
      </c>
      <c r="G39" s="279">
        <v>1.613</v>
      </c>
      <c r="H39" s="279">
        <v>0</v>
      </c>
      <c r="I39" s="279">
        <v>0</v>
      </c>
      <c r="J39" s="279">
        <v>0.51800000000000002</v>
      </c>
      <c r="K39" s="279">
        <v>0.16600000000000001</v>
      </c>
    </row>
    <row r="40" spans="1:11">
      <c r="A40" s="278">
        <v>1956</v>
      </c>
      <c r="B40" s="279">
        <v>0</v>
      </c>
      <c r="C40" s="279">
        <v>0</v>
      </c>
      <c r="D40" s="279">
        <v>0</v>
      </c>
      <c r="E40" s="279">
        <v>0</v>
      </c>
      <c r="F40" s="279">
        <v>0</v>
      </c>
      <c r="G40" s="279">
        <v>0</v>
      </c>
      <c r="H40" s="279">
        <v>0</v>
      </c>
      <c r="I40" s="279">
        <v>0</v>
      </c>
      <c r="J40" s="279">
        <v>0</v>
      </c>
      <c r="K40" s="279">
        <v>0</v>
      </c>
    </row>
    <row r="41" spans="1:11">
      <c r="A41" s="278">
        <v>1957</v>
      </c>
      <c r="B41" s="279">
        <v>0</v>
      </c>
      <c r="C41" s="279">
        <v>0</v>
      </c>
      <c r="D41" s="279">
        <v>0</v>
      </c>
      <c r="E41" s="279">
        <v>0</v>
      </c>
      <c r="F41" s="279">
        <v>0</v>
      </c>
      <c r="G41" s="279">
        <v>1.266</v>
      </c>
      <c r="H41" s="279">
        <v>0</v>
      </c>
      <c r="I41" s="279">
        <v>0</v>
      </c>
      <c r="J41" s="279">
        <v>0.44600000000000001</v>
      </c>
      <c r="K41" s="279">
        <v>0.14199999999999999</v>
      </c>
    </row>
    <row r="42" spans="1:11">
      <c r="A42" s="278">
        <v>1958</v>
      </c>
      <c r="B42" s="279">
        <v>0</v>
      </c>
      <c r="C42" s="279">
        <v>0</v>
      </c>
      <c r="D42" s="279">
        <v>0</v>
      </c>
      <c r="E42" s="279">
        <v>0</v>
      </c>
      <c r="F42" s="279">
        <v>0</v>
      </c>
      <c r="G42" s="279">
        <v>0</v>
      </c>
      <c r="H42" s="279">
        <v>0</v>
      </c>
      <c r="I42" s="279">
        <v>0</v>
      </c>
      <c r="J42" s="279">
        <v>0</v>
      </c>
      <c r="K42" s="279">
        <v>0</v>
      </c>
    </row>
    <row r="43" spans="1:11">
      <c r="A43" s="278">
        <v>1959</v>
      </c>
      <c r="B43" s="279">
        <v>0</v>
      </c>
      <c r="C43" s="279">
        <v>0</v>
      </c>
      <c r="D43" s="279">
        <v>0</v>
      </c>
      <c r="E43" s="279">
        <v>0</v>
      </c>
      <c r="F43" s="279">
        <v>0</v>
      </c>
      <c r="G43" s="279">
        <v>0</v>
      </c>
      <c r="H43" s="279">
        <v>0</v>
      </c>
      <c r="I43" s="279">
        <v>0</v>
      </c>
      <c r="J43" s="279">
        <v>0</v>
      </c>
      <c r="K43" s="279">
        <v>0</v>
      </c>
    </row>
    <row r="44" spans="1:11">
      <c r="A44" s="278">
        <v>1960</v>
      </c>
      <c r="B44" s="279">
        <v>0</v>
      </c>
      <c r="C44" s="279">
        <v>0</v>
      </c>
      <c r="D44" s="279">
        <v>0</v>
      </c>
      <c r="E44" s="279">
        <v>0</v>
      </c>
      <c r="F44" s="279">
        <v>1.2430000000000001</v>
      </c>
      <c r="G44" s="279">
        <v>0</v>
      </c>
      <c r="H44" s="279">
        <v>0</v>
      </c>
      <c r="I44" s="279">
        <v>0</v>
      </c>
      <c r="J44" s="279">
        <v>0.747</v>
      </c>
      <c r="K44" s="279">
        <v>0.245</v>
      </c>
    </row>
    <row r="45" spans="1:11">
      <c r="A45" s="278">
        <v>1961</v>
      </c>
      <c r="B45" s="279">
        <v>0</v>
      </c>
      <c r="C45" s="279">
        <v>0</v>
      </c>
      <c r="D45" s="279">
        <v>0</v>
      </c>
      <c r="E45" s="279">
        <v>0</v>
      </c>
      <c r="F45" s="279">
        <v>0.59199999999999997</v>
      </c>
      <c r="G45" s="279">
        <v>0</v>
      </c>
      <c r="H45" s="279">
        <v>8.6959999999999997</v>
      </c>
      <c r="I45" s="279">
        <v>0</v>
      </c>
      <c r="J45" s="279">
        <v>1.0649999999999999</v>
      </c>
      <c r="K45" s="279">
        <v>0.35199999999999998</v>
      </c>
    </row>
    <row r="46" spans="1:11">
      <c r="A46" s="278">
        <v>1962</v>
      </c>
      <c r="B46" s="279">
        <v>0</v>
      </c>
      <c r="C46" s="279">
        <v>0</v>
      </c>
      <c r="D46" s="279">
        <v>0</v>
      </c>
      <c r="E46" s="279">
        <v>0</v>
      </c>
      <c r="F46" s="279">
        <v>1.7290000000000001</v>
      </c>
      <c r="G46" s="279">
        <v>1.4710000000000001</v>
      </c>
      <c r="H46" s="279">
        <v>0</v>
      </c>
      <c r="I46" s="279">
        <v>0</v>
      </c>
      <c r="J46" s="279">
        <v>1.5049999999999999</v>
      </c>
      <c r="K46" s="279">
        <v>0.46899999999999997</v>
      </c>
    </row>
    <row r="47" spans="1:11">
      <c r="A47" s="278">
        <v>1963</v>
      </c>
      <c r="B47" s="279">
        <v>0</v>
      </c>
      <c r="C47" s="279">
        <v>0</v>
      </c>
      <c r="D47" s="279">
        <v>0</v>
      </c>
      <c r="E47" s="279">
        <v>0</v>
      </c>
      <c r="F47" s="279">
        <v>1.1519999999999999</v>
      </c>
      <c r="G47" s="279">
        <v>1.4710000000000001</v>
      </c>
      <c r="H47" s="279">
        <v>0</v>
      </c>
      <c r="I47" s="279">
        <v>0</v>
      </c>
      <c r="J47" s="279">
        <v>1.145</v>
      </c>
      <c r="K47" s="279">
        <v>0.35</v>
      </c>
    </row>
    <row r="48" spans="1:11">
      <c r="A48" s="278">
        <v>1964</v>
      </c>
      <c r="B48" s="279">
        <v>0</v>
      </c>
      <c r="C48" s="279">
        <v>0</v>
      </c>
      <c r="D48" s="279">
        <v>0</v>
      </c>
      <c r="E48" s="279">
        <v>0</v>
      </c>
      <c r="F48" s="279">
        <v>0</v>
      </c>
      <c r="G48" s="279">
        <v>0</v>
      </c>
      <c r="H48" s="279">
        <v>0</v>
      </c>
      <c r="I48" s="279">
        <v>0</v>
      </c>
      <c r="J48" s="279">
        <v>0</v>
      </c>
      <c r="K48" s="279">
        <v>0</v>
      </c>
    </row>
    <row r="49" spans="1:11">
      <c r="A49" s="278">
        <v>1965</v>
      </c>
      <c r="B49" s="279">
        <v>0</v>
      </c>
      <c r="C49" s="279">
        <v>0</v>
      </c>
      <c r="D49" s="279">
        <v>0</v>
      </c>
      <c r="E49" s="279">
        <v>0</v>
      </c>
      <c r="F49" s="279">
        <v>0</v>
      </c>
      <c r="G49" s="279">
        <v>0</v>
      </c>
      <c r="H49" s="279">
        <v>0</v>
      </c>
      <c r="I49" s="279">
        <v>0</v>
      </c>
      <c r="J49" s="279">
        <v>0</v>
      </c>
      <c r="K49" s="279">
        <v>0</v>
      </c>
    </row>
    <row r="50" spans="1:11">
      <c r="A50" s="278">
        <v>1966</v>
      </c>
      <c r="B50" s="279">
        <v>0</v>
      </c>
      <c r="C50" s="279">
        <v>0</v>
      </c>
      <c r="D50" s="279">
        <v>0</v>
      </c>
      <c r="E50" s="279">
        <v>0</v>
      </c>
      <c r="F50" s="279">
        <v>0</v>
      </c>
      <c r="G50" s="279">
        <v>2.4390000000000001</v>
      </c>
      <c r="H50" s="279">
        <v>0</v>
      </c>
      <c r="I50" s="279">
        <v>0</v>
      </c>
      <c r="J50" s="279">
        <v>0.439</v>
      </c>
      <c r="K50" s="279">
        <v>0.122</v>
      </c>
    </row>
    <row r="51" spans="1:11">
      <c r="A51" s="278">
        <v>1967</v>
      </c>
      <c r="B51" s="279">
        <v>0</v>
      </c>
      <c r="C51" s="279">
        <v>0</v>
      </c>
      <c r="D51" s="279">
        <v>0</v>
      </c>
      <c r="E51" s="279">
        <v>0</v>
      </c>
      <c r="F51" s="279">
        <v>0</v>
      </c>
      <c r="G51" s="279">
        <v>0</v>
      </c>
      <c r="H51" s="279">
        <v>0</v>
      </c>
      <c r="I51" s="279">
        <v>0</v>
      </c>
      <c r="J51" s="279">
        <v>0</v>
      </c>
      <c r="K51" s="279">
        <v>0</v>
      </c>
    </row>
    <row r="52" spans="1:11">
      <c r="A52" s="278">
        <v>1968</v>
      </c>
      <c r="B52" s="279">
        <v>0</v>
      </c>
      <c r="C52" s="279">
        <v>0</v>
      </c>
      <c r="D52" s="279">
        <v>0</v>
      </c>
      <c r="E52" s="279">
        <v>0</v>
      </c>
      <c r="F52" s="279">
        <v>0</v>
      </c>
      <c r="G52" s="279">
        <v>0</v>
      </c>
      <c r="H52" s="279">
        <v>5</v>
      </c>
      <c r="I52" s="279">
        <v>0</v>
      </c>
      <c r="J52" s="279">
        <v>0.375</v>
      </c>
      <c r="K52" s="279">
        <v>0.105</v>
      </c>
    </row>
    <row r="53" spans="1:11">
      <c r="A53" s="278">
        <v>1969</v>
      </c>
      <c r="B53" s="279">
        <v>0</v>
      </c>
      <c r="C53" s="279">
        <v>0</v>
      </c>
      <c r="D53" s="279">
        <v>0</v>
      </c>
      <c r="E53" s="279">
        <v>0</v>
      </c>
      <c r="F53" s="279">
        <v>0</v>
      </c>
      <c r="G53" s="279">
        <v>0</v>
      </c>
      <c r="H53" s="279">
        <v>0</v>
      </c>
      <c r="I53" s="279">
        <v>0</v>
      </c>
      <c r="J53" s="279">
        <v>0</v>
      </c>
      <c r="K53" s="279">
        <v>0</v>
      </c>
    </row>
    <row r="54" spans="1:11">
      <c r="A54" s="278">
        <v>1970</v>
      </c>
      <c r="B54" s="279">
        <v>0</v>
      </c>
      <c r="C54" s="279">
        <v>0</v>
      </c>
      <c r="D54" s="279">
        <v>0</v>
      </c>
      <c r="E54" s="279">
        <v>0.54300000000000004</v>
      </c>
      <c r="F54" s="279">
        <v>4.2370000000000001</v>
      </c>
      <c r="G54" s="279">
        <v>19.443999999999999</v>
      </c>
      <c r="H54" s="279">
        <v>50</v>
      </c>
      <c r="I54" s="279">
        <v>0.27</v>
      </c>
      <c r="J54" s="279">
        <v>8.6780000000000008</v>
      </c>
      <c r="K54" s="279">
        <v>2.621</v>
      </c>
    </row>
    <row r="55" spans="1:11">
      <c r="A55" s="278">
        <v>1971</v>
      </c>
      <c r="B55" s="279">
        <v>0</v>
      </c>
      <c r="C55" s="279">
        <v>0</v>
      </c>
      <c r="D55" s="279">
        <v>0</v>
      </c>
      <c r="E55" s="279">
        <v>0</v>
      </c>
      <c r="F55" s="279">
        <v>0.88500000000000001</v>
      </c>
      <c r="G55" s="279">
        <v>0</v>
      </c>
      <c r="H55" s="279">
        <v>12.5</v>
      </c>
      <c r="I55" s="279">
        <v>0</v>
      </c>
      <c r="J55" s="279">
        <v>1.155</v>
      </c>
      <c r="K55" s="279">
        <v>0.28499999999999998</v>
      </c>
    </row>
    <row r="56" spans="1:11">
      <c r="A56" s="278">
        <v>1972</v>
      </c>
      <c r="B56" s="279">
        <v>0</v>
      </c>
      <c r="C56" s="279">
        <v>0</v>
      </c>
      <c r="D56" s="279">
        <v>0</v>
      </c>
      <c r="E56" s="279">
        <v>0</v>
      </c>
      <c r="F56" s="279">
        <v>0</v>
      </c>
      <c r="G56" s="279">
        <v>6.8970000000000002</v>
      </c>
      <c r="H56" s="279">
        <v>37.5</v>
      </c>
      <c r="I56" s="279">
        <v>0</v>
      </c>
      <c r="J56" s="279">
        <v>1.9219999999999999</v>
      </c>
      <c r="K56" s="279">
        <v>0.45100000000000001</v>
      </c>
    </row>
    <row r="57" spans="1:11">
      <c r="A57" s="278">
        <v>1973</v>
      </c>
      <c r="B57" s="279">
        <v>0</v>
      </c>
      <c r="C57" s="279">
        <v>0</v>
      </c>
      <c r="D57" s="279">
        <v>0</v>
      </c>
      <c r="E57" s="279">
        <v>0.46100000000000002</v>
      </c>
      <c r="F57" s="279">
        <v>0</v>
      </c>
      <c r="G57" s="279">
        <v>3.8460000000000001</v>
      </c>
      <c r="H57" s="279">
        <v>37.5</v>
      </c>
      <c r="I57" s="279">
        <v>0.23</v>
      </c>
      <c r="J57" s="279">
        <v>1.28</v>
      </c>
      <c r="K57" s="279">
        <v>0.45300000000000001</v>
      </c>
    </row>
    <row r="58" spans="1:11">
      <c r="A58" s="278">
        <v>1974</v>
      </c>
      <c r="B58" s="279">
        <v>0</v>
      </c>
      <c r="C58" s="279">
        <v>0</v>
      </c>
      <c r="D58" s="279">
        <v>0</v>
      </c>
      <c r="E58" s="279">
        <v>0</v>
      </c>
      <c r="F58" s="279">
        <v>0.51300000000000001</v>
      </c>
      <c r="G58" s="279">
        <v>7.1619999999999999</v>
      </c>
      <c r="H58" s="279">
        <v>0</v>
      </c>
      <c r="I58" s="279">
        <v>0</v>
      </c>
      <c r="J58" s="279">
        <v>1.3320000000000001</v>
      </c>
      <c r="K58" s="279">
        <v>0.27400000000000002</v>
      </c>
    </row>
    <row r="59" spans="1:11">
      <c r="A59" s="278">
        <v>1975</v>
      </c>
      <c r="B59" s="279">
        <v>0</v>
      </c>
      <c r="C59" s="279">
        <v>0</v>
      </c>
      <c r="D59" s="279">
        <v>0</v>
      </c>
      <c r="E59" s="279">
        <v>0</v>
      </c>
      <c r="F59" s="279">
        <v>1.0289999999999999</v>
      </c>
      <c r="G59" s="279">
        <v>6.1580000000000004</v>
      </c>
      <c r="H59" s="279">
        <v>0</v>
      </c>
      <c r="I59" s="279">
        <v>0</v>
      </c>
      <c r="J59" s="279">
        <v>1.742</v>
      </c>
      <c r="K59" s="279">
        <v>0.35899999999999999</v>
      </c>
    </row>
    <row r="60" spans="1:11">
      <c r="A60" s="278">
        <v>1976</v>
      </c>
      <c r="B60" s="279">
        <v>0</v>
      </c>
      <c r="C60" s="279">
        <v>0</v>
      </c>
      <c r="D60" s="279">
        <v>0</v>
      </c>
      <c r="E60" s="279">
        <v>0</v>
      </c>
      <c r="F60" s="279">
        <v>0.995</v>
      </c>
      <c r="G60" s="279">
        <v>0</v>
      </c>
      <c r="H60" s="279">
        <v>0</v>
      </c>
      <c r="I60" s="279">
        <v>0</v>
      </c>
      <c r="J60" s="279">
        <v>0.86799999999999999</v>
      </c>
      <c r="K60" s="279">
        <v>0.17499999999999999</v>
      </c>
    </row>
    <row r="61" spans="1:11">
      <c r="A61" s="278">
        <v>1977</v>
      </c>
      <c r="B61" s="279">
        <v>0</v>
      </c>
      <c r="C61" s="279">
        <v>0</v>
      </c>
      <c r="D61" s="279">
        <v>0</v>
      </c>
      <c r="E61" s="279">
        <v>0.29399999999999998</v>
      </c>
      <c r="F61" s="279">
        <v>0.54300000000000004</v>
      </c>
      <c r="G61" s="279">
        <v>3.226</v>
      </c>
      <c r="H61" s="279">
        <v>33.332999999999998</v>
      </c>
      <c r="I61" s="279">
        <v>0.109</v>
      </c>
      <c r="J61" s="279">
        <v>1.36</v>
      </c>
      <c r="K61" s="279">
        <v>0.35199999999999998</v>
      </c>
    </row>
    <row r="62" spans="1:11">
      <c r="A62" s="278">
        <v>1978</v>
      </c>
      <c r="B62" s="279">
        <v>0</v>
      </c>
      <c r="C62" s="279">
        <v>0</v>
      </c>
      <c r="D62" s="279">
        <v>0</v>
      </c>
      <c r="E62" s="279">
        <v>0</v>
      </c>
      <c r="F62" s="279">
        <v>1.1240000000000001</v>
      </c>
      <c r="G62" s="279">
        <v>5.4050000000000002</v>
      </c>
      <c r="H62" s="279">
        <v>0</v>
      </c>
      <c r="I62" s="279">
        <v>0</v>
      </c>
      <c r="J62" s="279">
        <v>1.823</v>
      </c>
      <c r="K62" s="279">
        <v>0.35199999999999998</v>
      </c>
    </row>
    <row r="63" spans="1:11">
      <c r="A63" s="278">
        <v>1979</v>
      </c>
      <c r="B63" s="279">
        <v>0</v>
      </c>
      <c r="C63" s="279">
        <v>0</v>
      </c>
      <c r="D63" s="279">
        <v>0</v>
      </c>
      <c r="E63" s="279">
        <v>0</v>
      </c>
      <c r="F63" s="279">
        <v>0.51300000000000001</v>
      </c>
      <c r="G63" s="279">
        <v>0</v>
      </c>
      <c r="H63" s="279">
        <v>0</v>
      </c>
      <c r="I63" s="279">
        <v>0</v>
      </c>
      <c r="J63" s="279">
        <v>0.435</v>
      </c>
      <c r="K63" s="279">
        <v>8.7999999999999995E-2</v>
      </c>
    </row>
    <row r="64" spans="1:11">
      <c r="A64" s="278">
        <v>1980</v>
      </c>
      <c r="B64" s="279">
        <v>0</v>
      </c>
      <c r="C64" s="279">
        <v>0</v>
      </c>
      <c r="D64" s="279">
        <v>0</v>
      </c>
      <c r="E64" s="279">
        <v>0</v>
      </c>
      <c r="F64" s="279">
        <v>0</v>
      </c>
      <c r="G64" s="279">
        <v>5</v>
      </c>
      <c r="H64" s="279">
        <v>33.332999999999998</v>
      </c>
      <c r="I64" s="279">
        <v>0</v>
      </c>
      <c r="J64" s="279">
        <v>1.63</v>
      </c>
      <c r="K64" s="279">
        <v>0.34200000000000003</v>
      </c>
    </row>
    <row r="65" spans="1:11">
      <c r="A65" s="278">
        <v>1981</v>
      </c>
      <c r="B65" s="279">
        <v>0</v>
      </c>
      <c r="C65" s="279">
        <v>0</v>
      </c>
      <c r="D65" s="279">
        <v>0</v>
      </c>
      <c r="E65" s="279">
        <v>0</v>
      </c>
      <c r="F65" s="279">
        <v>0</v>
      </c>
      <c r="G65" s="279">
        <v>4.3970000000000002</v>
      </c>
      <c r="H65" s="279">
        <v>0</v>
      </c>
      <c r="I65" s="279">
        <v>0</v>
      </c>
      <c r="J65" s="279">
        <v>0.69799999999999995</v>
      </c>
      <c r="K65" s="279">
        <v>0.16200000000000001</v>
      </c>
    </row>
    <row r="66" spans="1:11">
      <c r="A66" s="278">
        <v>1982</v>
      </c>
      <c r="B66" s="279">
        <v>0</v>
      </c>
      <c r="C66" s="279">
        <v>0</v>
      </c>
      <c r="D66" s="279">
        <v>0.254</v>
      </c>
      <c r="E66" s="279">
        <v>0.32800000000000001</v>
      </c>
      <c r="F66" s="279">
        <v>2.7770000000000001</v>
      </c>
      <c r="G66" s="279">
        <v>2.222</v>
      </c>
      <c r="H66" s="279">
        <v>23.077000000000002</v>
      </c>
      <c r="I66" s="279">
        <v>0.21199999999999999</v>
      </c>
      <c r="J66" s="279">
        <v>3.544</v>
      </c>
      <c r="K66" s="279">
        <v>1.032</v>
      </c>
    </row>
    <row r="67" spans="1:11">
      <c r="A67" s="278">
        <v>1983</v>
      </c>
      <c r="B67" s="279">
        <v>0</v>
      </c>
      <c r="C67" s="279">
        <v>0</v>
      </c>
      <c r="D67" s="279">
        <v>0</v>
      </c>
      <c r="E67" s="279">
        <v>0</v>
      </c>
      <c r="F67" s="279">
        <v>0.90100000000000002</v>
      </c>
      <c r="G67" s="279">
        <v>6.3860000000000001</v>
      </c>
      <c r="H67" s="279">
        <v>41.667000000000002</v>
      </c>
      <c r="I67" s="279">
        <v>0</v>
      </c>
      <c r="J67" s="279">
        <v>3.8319999999999999</v>
      </c>
      <c r="K67" s="279">
        <v>0.96399999999999997</v>
      </c>
    </row>
    <row r="68" spans="1:11">
      <c r="A68" s="278">
        <v>1984</v>
      </c>
      <c r="B68" s="279">
        <v>0</v>
      </c>
      <c r="C68" s="279">
        <v>0</v>
      </c>
      <c r="D68" s="279">
        <v>0</v>
      </c>
      <c r="E68" s="279">
        <v>0.36499999999999999</v>
      </c>
      <c r="F68" s="279">
        <v>0.83899999999999997</v>
      </c>
      <c r="G68" s="279">
        <v>6.8170000000000002</v>
      </c>
      <c r="H68" s="279">
        <v>100</v>
      </c>
      <c r="I68" s="279">
        <v>9.7000000000000003E-2</v>
      </c>
      <c r="J68" s="279">
        <v>3.3610000000000002</v>
      </c>
      <c r="K68" s="279">
        <v>0.93400000000000005</v>
      </c>
    </row>
    <row r="69" spans="1:11">
      <c r="A69" s="278">
        <v>1985</v>
      </c>
      <c r="B69" s="279">
        <v>0</v>
      </c>
      <c r="C69" s="279">
        <v>0</v>
      </c>
      <c r="D69" s="279">
        <v>0</v>
      </c>
      <c r="E69" s="279">
        <v>0</v>
      </c>
      <c r="F69" s="279">
        <v>1.4139999999999999</v>
      </c>
      <c r="G69" s="279">
        <v>7.5730000000000004</v>
      </c>
      <c r="H69" s="279">
        <v>0</v>
      </c>
      <c r="I69" s="279">
        <v>0</v>
      </c>
      <c r="J69" s="279">
        <v>3.47</v>
      </c>
      <c r="K69" s="279">
        <v>0.96</v>
      </c>
    </row>
    <row r="70" spans="1:11">
      <c r="A70" s="278">
        <v>1986</v>
      </c>
      <c r="B70" s="279">
        <v>0</v>
      </c>
      <c r="C70" s="279">
        <v>0</v>
      </c>
      <c r="D70" s="279">
        <v>0</v>
      </c>
      <c r="E70" s="279">
        <v>1.038</v>
      </c>
      <c r="F70" s="279">
        <v>2.0870000000000002</v>
      </c>
      <c r="G70" s="279">
        <v>11.568</v>
      </c>
      <c r="H70" s="279">
        <v>22.222000000000001</v>
      </c>
      <c r="I70" s="279">
        <v>0.245</v>
      </c>
      <c r="J70" s="279">
        <v>5.6660000000000004</v>
      </c>
      <c r="K70" s="279">
        <v>1.875</v>
      </c>
    </row>
    <row r="71" spans="1:11">
      <c r="A71" s="278">
        <v>1987</v>
      </c>
      <c r="B71" s="279">
        <v>0</v>
      </c>
      <c r="C71" s="279">
        <v>0</v>
      </c>
      <c r="D71" s="279">
        <v>0</v>
      </c>
      <c r="E71" s="279">
        <v>0</v>
      </c>
      <c r="F71" s="279">
        <v>2.78</v>
      </c>
      <c r="G71" s="279">
        <v>6.5250000000000004</v>
      </c>
      <c r="H71" s="279">
        <v>20</v>
      </c>
      <c r="I71" s="279">
        <v>0</v>
      </c>
      <c r="J71" s="279">
        <v>4.4169999999999998</v>
      </c>
      <c r="K71" s="279">
        <v>1.5880000000000001</v>
      </c>
    </row>
    <row r="72" spans="1:11">
      <c r="A72" s="278">
        <v>1988</v>
      </c>
      <c r="B72" s="279">
        <v>0</v>
      </c>
      <c r="C72" s="279">
        <v>0</v>
      </c>
      <c r="D72" s="279">
        <v>0</v>
      </c>
      <c r="E72" s="279">
        <v>0</v>
      </c>
      <c r="F72" s="279">
        <v>1.25</v>
      </c>
      <c r="G72" s="279">
        <v>6.165</v>
      </c>
      <c r="H72" s="279">
        <v>27.273</v>
      </c>
      <c r="I72" s="279">
        <v>0</v>
      </c>
      <c r="J72" s="279">
        <v>3.5510000000000002</v>
      </c>
      <c r="K72" s="279">
        <v>1.3720000000000001</v>
      </c>
    </row>
    <row r="73" spans="1:11">
      <c r="A73" s="278">
        <v>1989</v>
      </c>
      <c r="B73" s="279">
        <v>0</v>
      </c>
      <c r="C73" s="279">
        <v>0.64100000000000001</v>
      </c>
      <c r="D73" s="279">
        <v>0</v>
      </c>
      <c r="E73" s="279">
        <v>0.627</v>
      </c>
      <c r="F73" s="279">
        <v>3.1309999999999998</v>
      </c>
      <c r="G73" s="279">
        <v>8.5649999999999995</v>
      </c>
      <c r="H73" s="279">
        <v>25</v>
      </c>
      <c r="I73" s="279">
        <v>0.30299999999999999</v>
      </c>
      <c r="J73" s="279">
        <v>5.774</v>
      </c>
      <c r="K73" s="279">
        <v>2.3860000000000001</v>
      </c>
    </row>
    <row r="74" spans="1:11">
      <c r="A74" s="278">
        <v>1990</v>
      </c>
      <c r="B74" s="279">
        <v>0</v>
      </c>
      <c r="C74" s="279">
        <v>0</v>
      </c>
      <c r="D74" s="279">
        <v>0</v>
      </c>
      <c r="E74" s="279">
        <v>0</v>
      </c>
      <c r="F74" s="279">
        <v>3.4430000000000001</v>
      </c>
      <c r="G74" s="279">
        <v>15.94</v>
      </c>
      <c r="H74" s="279">
        <v>61.110999999999997</v>
      </c>
      <c r="I74" s="279">
        <v>0</v>
      </c>
      <c r="J74" s="279">
        <v>10.255000000000001</v>
      </c>
      <c r="K74" s="279">
        <v>3.75</v>
      </c>
    </row>
    <row r="75" spans="1:11">
      <c r="A75" s="278">
        <v>1991</v>
      </c>
      <c r="B75" s="279">
        <v>0</v>
      </c>
      <c r="C75" s="279">
        <v>0</v>
      </c>
      <c r="D75" s="279">
        <v>0</v>
      </c>
      <c r="E75" s="279">
        <v>0.28999999999999998</v>
      </c>
      <c r="F75" s="279">
        <v>4.9649999999999999</v>
      </c>
      <c r="G75" s="279">
        <v>12.206</v>
      </c>
      <c r="H75" s="279">
        <v>45</v>
      </c>
      <c r="I75" s="279">
        <v>7.0000000000000007E-2</v>
      </c>
      <c r="J75" s="279">
        <v>9.4499999999999993</v>
      </c>
      <c r="K75" s="279">
        <v>3.0910000000000002</v>
      </c>
    </row>
    <row r="76" spans="1:11">
      <c r="A76" s="278">
        <v>1992</v>
      </c>
      <c r="B76" s="279">
        <v>0</v>
      </c>
      <c r="C76" s="279">
        <v>0</v>
      </c>
      <c r="D76" s="279">
        <v>0</v>
      </c>
      <c r="E76" s="279">
        <v>0</v>
      </c>
      <c r="F76" s="279">
        <v>0.33200000000000002</v>
      </c>
      <c r="G76" s="279">
        <v>9.1989999999999998</v>
      </c>
      <c r="H76" s="279">
        <v>29.533999999999999</v>
      </c>
      <c r="I76" s="279">
        <v>0</v>
      </c>
      <c r="J76" s="279">
        <v>5.2160000000000002</v>
      </c>
      <c r="K76" s="279">
        <v>1.5</v>
      </c>
    </row>
    <row r="77" spans="1:11">
      <c r="A77" s="278">
        <v>1993</v>
      </c>
      <c r="B77" s="279">
        <v>0</v>
      </c>
      <c r="C77" s="279">
        <v>0</v>
      </c>
      <c r="D77" s="279">
        <v>0</v>
      </c>
      <c r="E77" s="279">
        <v>0</v>
      </c>
      <c r="F77" s="279">
        <v>0.60399999999999998</v>
      </c>
      <c r="G77" s="279">
        <v>4.641</v>
      </c>
      <c r="H77" s="279">
        <v>27.556999999999999</v>
      </c>
      <c r="I77" s="279">
        <v>0</v>
      </c>
      <c r="J77" s="279">
        <v>3.1509999999999998</v>
      </c>
      <c r="K77" s="279">
        <v>0.89</v>
      </c>
    </row>
    <row r="78" spans="1:11">
      <c r="A78" s="278">
        <v>1994</v>
      </c>
      <c r="B78" s="279">
        <v>0</v>
      </c>
      <c r="C78" s="279">
        <v>0</v>
      </c>
      <c r="D78" s="279">
        <v>0</v>
      </c>
      <c r="E78" s="279">
        <v>0</v>
      </c>
      <c r="F78" s="279">
        <v>0.26500000000000001</v>
      </c>
      <c r="G78" s="279">
        <v>4.1100000000000003</v>
      </c>
      <c r="H78" s="279">
        <v>5.4050000000000002</v>
      </c>
      <c r="I78" s="279">
        <v>0</v>
      </c>
      <c r="J78" s="279">
        <v>2.145</v>
      </c>
      <c r="K78" s="279">
        <v>0.66300000000000003</v>
      </c>
    </row>
    <row r="79" spans="1:11">
      <c r="A79" s="278">
        <v>1995</v>
      </c>
      <c r="B79" s="279">
        <v>0</v>
      </c>
      <c r="C79" s="279">
        <v>0</v>
      </c>
      <c r="D79" s="279">
        <v>0</v>
      </c>
      <c r="E79" s="279">
        <v>0</v>
      </c>
      <c r="F79" s="279">
        <v>0.77200000000000002</v>
      </c>
      <c r="G79" s="279">
        <v>4.3710000000000004</v>
      </c>
      <c r="H79" s="279">
        <v>9.2059999999999995</v>
      </c>
      <c r="I79" s="279">
        <v>0</v>
      </c>
      <c r="J79" s="279">
        <v>3.0609999999999999</v>
      </c>
      <c r="K79" s="279">
        <v>1.0309999999999999</v>
      </c>
    </row>
    <row r="80" spans="1:11">
      <c r="A80" s="278">
        <v>1996</v>
      </c>
      <c r="B80" s="279">
        <v>0</v>
      </c>
      <c r="C80" s="279">
        <v>0</v>
      </c>
      <c r="D80" s="279">
        <v>0</v>
      </c>
      <c r="E80" s="279">
        <v>0</v>
      </c>
      <c r="F80" s="279">
        <v>0</v>
      </c>
      <c r="G80" s="279">
        <v>1.446</v>
      </c>
      <c r="H80" s="279">
        <v>14.335000000000001</v>
      </c>
      <c r="I80" s="279">
        <v>0</v>
      </c>
      <c r="J80" s="279">
        <v>1.7190000000000001</v>
      </c>
      <c r="K80" s="279">
        <v>0.58799999999999997</v>
      </c>
    </row>
    <row r="81" spans="1:11">
      <c r="A81" s="278">
        <v>1997</v>
      </c>
      <c r="B81" s="279">
        <v>0</v>
      </c>
      <c r="C81" s="279">
        <v>0</v>
      </c>
      <c r="D81" s="279">
        <v>0</v>
      </c>
      <c r="E81" s="279">
        <v>0</v>
      </c>
      <c r="F81" s="279">
        <v>0.19500000000000001</v>
      </c>
      <c r="G81" s="279">
        <v>2.0539999999999998</v>
      </c>
      <c r="H81" s="279">
        <v>15.03</v>
      </c>
      <c r="I81" s="279">
        <v>0</v>
      </c>
      <c r="J81" s="279">
        <v>2.145</v>
      </c>
      <c r="K81" s="279">
        <v>0.76500000000000001</v>
      </c>
    </row>
    <row r="82" spans="1:11">
      <c r="A82" s="278">
        <v>1998</v>
      </c>
      <c r="B82" s="279">
        <v>0</v>
      </c>
      <c r="C82" s="279">
        <v>0</v>
      </c>
      <c r="D82" s="279">
        <v>0</v>
      </c>
      <c r="E82" s="279">
        <v>0.13300000000000001</v>
      </c>
      <c r="F82" s="279">
        <v>0.89500000000000002</v>
      </c>
      <c r="G82" s="279">
        <v>4.0190000000000001</v>
      </c>
      <c r="H82" s="279">
        <v>10.327</v>
      </c>
      <c r="I82" s="279">
        <v>4.4999999999999998E-2</v>
      </c>
      <c r="J82" s="279">
        <v>3.298</v>
      </c>
      <c r="K82" s="279">
        <v>1.3169999999999999</v>
      </c>
    </row>
    <row r="83" spans="1:11">
      <c r="A83" s="278">
        <v>1999</v>
      </c>
      <c r="B83" s="279">
        <v>0</v>
      </c>
      <c r="C83" s="279">
        <v>0</v>
      </c>
      <c r="D83" s="279">
        <v>0</v>
      </c>
      <c r="E83" s="279">
        <v>0.112</v>
      </c>
      <c r="F83" s="279">
        <v>1.42</v>
      </c>
      <c r="G83" s="279">
        <v>5.1390000000000002</v>
      </c>
      <c r="H83" s="279">
        <v>18.541</v>
      </c>
      <c r="I83" s="279">
        <v>4.1000000000000002E-2</v>
      </c>
      <c r="J83" s="279">
        <v>5.694</v>
      </c>
      <c r="K83" s="279">
        <v>2.4089999999999998</v>
      </c>
    </row>
    <row r="84" spans="1:11">
      <c r="A84" s="278">
        <v>2000</v>
      </c>
      <c r="B84" s="279">
        <v>0</v>
      </c>
      <c r="C84" s="279">
        <v>0</v>
      </c>
      <c r="D84" s="279">
        <v>0</v>
      </c>
      <c r="E84" s="279">
        <v>0.42099999999999999</v>
      </c>
      <c r="F84" s="279">
        <v>0.79200000000000004</v>
      </c>
      <c r="G84" s="279">
        <v>6.2530000000000001</v>
      </c>
      <c r="H84" s="279">
        <v>19.706</v>
      </c>
      <c r="I84" s="279">
        <v>0.157</v>
      </c>
      <c r="J84" s="279">
        <v>6.6849999999999996</v>
      </c>
      <c r="K84" s="279">
        <v>2.8519999999999999</v>
      </c>
    </row>
    <row r="85" spans="1:11">
      <c r="A85" s="278">
        <v>2001</v>
      </c>
      <c r="B85" s="279">
        <v>0</v>
      </c>
      <c r="C85" s="279">
        <v>0</v>
      </c>
      <c r="D85" s="279">
        <v>0.19</v>
      </c>
      <c r="E85" s="279">
        <v>0.216</v>
      </c>
      <c r="F85" s="279">
        <v>1.51</v>
      </c>
      <c r="G85" s="279">
        <v>9.9540000000000006</v>
      </c>
      <c r="H85" s="279">
        <v>31.968</v>
      </c>
      <c r="I85" s="279">
        <v>0.153</v>
      </c>
      <c r="J85" s="279">
        <v>10.831</v>
      </c>
      <c r="K85" s="279">
        <v>4.3449999999999998</v>
      </c>
    </row>
    <row r="86" spans="1:11">
      <c r="A86" s="278">
        <v>2002</v>
      </c>
      <c r="B86" s="279">
        <v>0</v>
      </c>
      <c r="C86" s="279">
        <v>0</v>
      </c>
      <c r="D86" s="279">
        <v>0.19600000000000001</v>
      </c>
      <c r="E86" s="279">
        <v>1.115</v>
      </c>
      <c r="F86" s="279">
        <v>1.516</v>
      </c>
      <c r="G86" s="279">
        <v>4.6680000000000001</v>
      </c>
      <c r="H86" s="279">
        <v>29.503</v>
      </c>
      <c r="I86" s="279">
        <v>0.49199999999999999</v>
      </c>
      <c r="J86" s="279">
        <v>8.3729999999999993</v>
      </c>
      <c r="K86" s="279">
        <v>3.319</v>
      </c>
    </row>
    <row r="87" spans="1:11">
      <c r="A87" s="278">
        <v>2003</v>
      </c>
      <c r="B87" s="279">
        <v>0</v>
      </c>
      <c r="C87" s="279">
        <v>0</v>
      </c>
      <c r="D87" s="279">
        <v>0</v>
      </c>
      <c r="E87" s="279">
        <v>0</v>
      </c>
      <c r="F87" s="279">
        <v>1.052</v>
      </c>
      <c r="G87" s="279">
        <v>2.19</v>
      </c>
      <c r="H87" s="279">
        <v>22.925000000000001</v>
      </c>
      <c r="I87" s="279">
        <v>0</v>
      </c>
      <c r="J87" s="279">
        <v>5.5279999999999996</v>
      </c>
      <c r="K87" s="279">
        <v>2.0179999999999998</v>
      </c>
    </row>
    <row r="88" spans="1:11">
      <c r="A88" s="278">
        <v>2004</v>
      </c>
      <c r="B88" s="279">
        <v>0</v>
      </c>
      <c r="C88" s="279">
        <v>0</v>
      </c>
      <c r="D88" s="279">
        <v>0</v>
      </c>
      <c r="E88" s="279">
        <v>0</v>
      </c>
      <c r="F88" s="279">
        <v>0.45</v>
      </c>
      <c r="G88" s="279">
        <v>0.879</v>
      </c>
      <c r="H88" s="279">
        <v>12.66</v>
      </c>
      <c r="I88" s="279">
        <v>0</v>
      </c>
      <c r="J88" s="279">
        <v>2.556</v>
      </c>
      <c r="K88" s="279">
        <v>0.93899999999999995</v>
      </c>
    </row>
    <row r="89" spans="1:11">
      <c r="A89" s="278">
        <v>2005</v>
      </c>
      <c r="B89" s="279">
        <v>0</v>
      </c>
      <c r="C89" s="279">
        <v>0</v>
      </c>
      <c r="D89" s="279">
        <v>0</v>
      </c>
      <c r="E89" s="279">
        <v>0.19800000000000001</v>
      </c>
      <c r="F89" s="279">
        <v>0</v>
      </c>
      <c r="G89" s="279">
        <v>1.0489999999999999</v>
      </c>
      <c r="H89" s="279">
        <v>7.0490000000000004</v>
      </c>
      <c r="I89" s="279">
        <v>7.8E-2</v>
      </c>
      <c r="J89" s="279">
        <v>1.875</v>
      </c>
      <c r="K89" s="279">
        <v>0.76</v>
      </c>
    </row>
    <row r="90" spans="1:11">
      <c r="A90" s="278">
        <v>2006</v>
      </c>
      <c r="B90" s="279">
        <v>0</v>
      </c>
      <c r="C90" s="279">
        <v>0</v>
      </c>
      <c r="D90" s="279">
        <v>0</v>
      </c>
      <c r="E90" s="279">
        <v>0</v>
      </c>
      <c r="F90" s="279">
        <v>0.218</v>
      </c>
      <c r="G90" s="279">
        <v>1.2130000000000001</v>
      </c>
      <c r="H90" s="279">
        <v>6.2720000000000002</v>
      </c>
      <c r="I90" s="279">
        <v>0</v>
      </c>
      <c r="J90" s="279">
        <v>1.8580000000000001</v>
      </c>
      <c r="K90" s="279">
        <v>0.72099999999999997</v>
      </c>
    </row>
    <row r="91" spans="1:11">
      <c r="A91" s="278">
        <v>2007</v>
      </c>
      <c r="B91" s="279">
        <v>0</v>
      </c>
      <c r="C91" s="279">
        <v>0</v>
      </c>
      <c r="D91" s="279">
        <v>0</v>
      </c>
      <c r="E91" s="279">
        <v>0</v>
      </c>
      <c r="F91" s="279">
        <v>0</v>
      </c>
      <c r="G91" s="279">
        <v>0</v>
      </c>
      <c r="H91" s="279">
        <v>6.069</v>
      </c>
      <c r="I91" s="279">
        <v>0</v>
      </c>
      <c r="J91" s="279">
        <v>0.98099999999999998</v>
      </c>
      <c r="K91" s="279">
        <v>0.40100000000000002</v>
      </c>
    </row>
    <row r="92" spans="1:11">
      <c r="A92" s="278">
        <v>2008</v>
      </c>
      <c r="B92" s="279">
        <v>0</v>
      </c>
      <c r="C92" s="279">
        <v>0.71499999999999997</v>
      </c>
      <c r="D92" s="279">
        <v>0.54300000000000004</v>
      </c>
      <c r="E92" s="279">
        <v>0.52200000000000002</v>
      </c>
      <c r="F92" s="279">
        <v>1.218</v>
      </c>
      <c r="G92" s="279">
        <v>2.1440000000000001</v>
      </c>
      <c r="H92" s="279">
        <v>15.085000000000001</v>
      </c>
      <c r="I92" s="279">
        <v>0.54400000000000004</v>
      </c>
      <c r="J92" s="279">
        <v>4.4930000000000003</v>
      </c>
      <c r="K92" s="279">
        <v>2.2519999999999998</v>
      </c>
    </row>
    <row r="93" spans="1:11">
      <c r="A93" s="281">
        <v>2009</v>
      </c>
      <c r="B93" s="279">
        <v>0</v>
      </c>
      <c r="C93" s="279">
        <v>0</v>
      </c>
      <c r="D93" s="279">
        <v>0.22</v>
      </c>
      <c r="E93" s="279">
        <v>0.93700000000000006</v>
      </c>
      <c r="F93" s="279">
        <v>2.3250000000000002</v>
      </c>
      <c r="G93" s="279">
        <v>7.5289999999999999</v>
      </c>
      <c r="H93" s="279">
        <v>34.770000000000003</v>
      </c>
      <c r="I93" s="279">
        <v>0.442</v>
      </c>
      <c r="J93" s="279">
        <v>13.32</v>
      </c>
      <c r="K93" s="279">
        <v>6.0019999999999998</v>
      </c>
    </row>
    <row r="94" spans="1:11">
      <c r="A94" s="281">
        <v>2010</v>
      </c>
      <c r="B94" s="279">
        <v>0</v>
      </c>
      <c r="C94" s="279">
        <v>0</v>
      </c>
      <c r="D94" s="279">
        <v>0.22800000000000001</v>
      </c>
      <c r="E94" s="279">
        <v>0</v>
      </c>
      <c r="F94" s="279">
        <v>0</v>
      </c>
      <c r="G94" s="279">
        <v>0.50900000000000001</v>
      </c>
      <c r="H94" s="279">
        <v>11.971</v>
      </c>
      <c r="I94" s="279">
        <v>8.4000000000000005E-2</v>
      </c>
      <c r="J94" s="279">
        <v>3.3050000000000002</v>
      </c>
      <c r="K94" s="279">
        <v>1.4079999999999999</v>
      </c>
    </row>
    <row r="95" spans="1:11">
      <c r="A95" s="281">
        <v>2011</v>
      </c>
      <c r="B95" s="279">
        <v>0</v>
      </c>
      <c r="C95" s="279">
        <v>0</v>
      </c>
      <c r="D95" s="279">
        <v>0</v>
      </c>
      <c r="E95" s="279">
        <v>0.09</v>
      </c>
      <c r="F95" s="279">
        <v>0.19700000000000001</v>
      </c>
      <c r="G95" s="279">
        <v>0.112</v>
      </c>
      <c r="H95" s="279">
        <v>8.6280000000000001</v>
      </c>
      <c r="I95" s="279">
        <v>4.2000000000000003E-2</v>
      </c>
      <c r="J95" s="279">
        <v>2.0110000000000001</v>
      </c>
      <c r="K95" s="279">
        <v>0.89</v>
      </c>
    </row>
    <row r="96" spans="1:11">
      <c r="A96" s="281">
        <v>2012</v>
      </c>
      <c r="B96" s="279">
        <v>0</v>
      </c>
      <c r="C96" s="279">
        <v>0</v>
      </c>
      <c r="D96" s="279">
        <v>0</v>
      </c>
      <c r="E96" s="279">
        <v>8.4000000000000005E-2</v>
      </c>
      <c r="F96" s="279">
        <v>0.17</v>
      </c>
      <c r="G96" s="279">
        <v>0.48599999999999999</v>
      </c>
      <c r="H96" s="279">
        <v>11.654</v>
      </c>
      <c r="I96" s="279">
        <v>4.2000000000000003E-2</v>
      </c>
      <c r="J96" s="279">
        <v>2.915</v>
      </c>
      <c r="K96" s="279">
        <v>1.381</v>
      </c>
    </row>
    <row r="97" spans="1:11">
      <c r="A97" s="282">
        <v>2013</v>
      </c>
      <c r="B97" s="283">
        <v>0</v>
      </c>
      <c r="C97" s="283">
        <v>0</v>
      </c>
      <c r="D97" s="283">
        <v>0</v>
      </c>
      <c r="E97" s="283">
        <v>7.1999999999999995E-2</v>
      </c>
      <c r="F97" s="283">
        <v>0.52</v>
      </c>
      <c r="G97" s="283">
        <v>0.89200000000000002</v>
      </c>
      <c r="H97" s="283">
        <v>9.5259999999999998</v>
      </c>
      <c r="I97" s="283">
        <v>0.04</v>
      </c>
      <c r="J97" s="283">
        <v>2.883</v>
      </c>
      <c r="K97" s="283">
        <v>1.381</v>
      </c>
    </row>
    <row r="98" spans="1:11">
      <c r="A98" s="278" t="s">
        <v>45</v>
      </c>
      <c r="B98" s="279">
        <f t="shared" ref="B98:K98" si="0">AVERAGE(B4:B97)</f>
        <v>0</v>
      </c>
      <c r="C98" s="279">
        <f t="shared" si="0"/>
        <v>6.1425531914893618E-2</v>
      </c>
      <c r="D98" s="279">
        <f t="shared" si="0"/>
        <v>9.5957446808510649E-2</v>
      </c>
      <c r="E98" s="279">
        <f t="shared" si="0"/>
        <v>0.26832978723404244</v>
      </c>
      <c r="F98" s="279">
        <f t="shared" si="0"/>
        <v>1.0698829787234045</v>
      </c>
      <c r="G98" s="279">
        <f t="shared" si="0"/>
        <v>3.3837872340425541</v>
      </c>
      <c r="H98" s="279">
        <f t="shared" si="0"/>
        <v>13.12704255319149</v>
      </c>
      <c r="I98" s="279">
        <f t="shared" si="0"/>
        <v>0.14942553191489361</v>
      </c>
      <c r="J98" s="279">
        <f t="shared" si="0"/>
        <v>2.8360106382978723</v>
      </c>
      <c r="K98" s="279">
        <f t="shared" si="0"/>
        <v>1.1923404255319148</v>
      </c>
    </row>
    <row r="99" spans="1:11">
      <c r="A99" s="278" t="s">
        <v>46</v>
      </c>
      <c r="B99" s="279">
        <f t="shared" ref="B99:K99" si="1">MEDIAN(B4:B97)</f>
        <v>0</v>
      </c>
      <c r="C99" s="279">
        <f t="shared" si="1"/>
        <v>0</v>
      </c>
      <c r="D99" s="279">
        <f t="shared" si="1"/>
        <v>0</v>
      </c>
      <c r="E99" s="279">
        <f t="shared" si="1"/>
        <v>0</v>
      </c>
      <c r="F99" s="279">
        <f t="shared" si="1"/>
        <v>0.61149999999999993</v>
      </c>
      <c r="G99" s="279">
        <f t="shared" si="1"/>
        <v>2.0990000000000002</v>
      </c>
      <c r="H99" s="279">
        <f t="shared" si="1"/>
        <v>8.661999999999999</v>
      </c>
      <c r="I99" s="279">
        <f t="shared" si="1"/>
        <v>0</v>
      </c>
      <c r="J99" s="279">
        <f t="shared" si="1"/>
        <v>1.8665</v>
      </c>
      <c r="K99" s="279">
        <f t="shared" si="1"/>
        <v>0.76649999999999996</v>
      </c>
    </row>
    <row r="100" spans="1:11">
      <c r="A100" s="278" t="s">
        <v>47</v>
      </c>
      <c r="B100" s="279">
        <f t="shared" ref="B100:K100" si="2">STDEV(B4:B97)</f>
        <v>0</v>
      </c>
      <c r="C100" s="279">
        <f t="shared" si="2"/>
        <v>0.18814221853394658</v>
      </c>
      <c r="D100" s="279">
        <f t="shared" si="2"/>
        <v>0.26900701173631814</v>
      </c>
      <c r="E100" s="279">
        <f t="shared" si="2"/>
        <v>0.4604962584532219</v>
      </c>
      <c r="F100" s="279">
        <f t="shared" si="2"/>
        <v>1.644725030823994</v>
      </c>
      <c r="G100" s="279">
        <f t="shared" si="2"/>
        <v>4.0211722355293675</v>
      </c>
      <c r="H100" s="279">
        <f t="shared" si="2"/>
        <v>16.046012157860684</v>
      </c>
      <c r="I100" s="279">
        <f t="shared" si="2"/>
        <v>0.27613898983429203</v>
      </c>
      <c r="J100" s="279">
        <f t="shared" si="2"/>
        <v>3.1054916342196437</v>
      </c>
      <c r="K100" s="279">
        <f t="shared" si="2"/>
        <v>1.449107263579531</v>
      </c>
    </row>
    <row r="101" spans="1:11">
      <c r="A101" s="278" t="s">
        <v>48</v>
      </c>
      <c r="B101" s="279">
        <f t="shared" ref="B101:K101" si="3">MIN(B4:B97)</f>
        <v>0</v>
      </c>
      <c r="C101" s="279">
        <f t="shared" si="3"/>
        <v>0</v>
      </c>
      <c r="D101" s="279">
        <f t="shared" si="3"/>
        <v>0</v>
      </c>
      <c r="E101" s="279">
        <f t="shared" si="3"/>
        <v>0</v>
      </c>
      <c r="F101" s="279">
        <f t="shared" si="3"/>
        <v>0</v>
      </c>
      <c r="G101" s="279">
        <f t="shared" si="3"/>
        <v>0</v>
      </c>
      <c r="H101" s="279">
        <f t="shared" si="3"/>
        <v>0</v>
      </c>
      <c r="I101" s="279">
        <f t="shared" si="3"/>
        <v>0</v>
      </c>
      <c r="J101" s="279">
        <f t="shared" si="3"/>
        <v>0</v>
      </c>
      <c r="K101" s="279">
        <f t="shared" si="3"/>
        <v>0</v>
      </c>
    </row>
    <row r="102" spans="1:11">
      <c r="A102" s="282" t="s">
        <v>49</v>
      </c>
      <c r="B102" s="283">
        <f t="shared" ref="B102:K102" si="4">MAX(B4:B97)</f>
        <v>0</v>
      </c>
      <c r="C102" s="283">
        <f t="shared" si="4"/>
        <v>0.85499999999999998</v>
      </c>
      <c r="D102" s="283">
        <f t="shared" si="4"/>
        <v>1.639</v>
      </c>
      <c r="E102" s="283">
        <f t="shared" si="4"/>
        <v>1.99</v>
      </c>
      <c r="F102" s="283">
        <f t="shared" si="4"/>
        <v>11.686999999999999</v>
      </c>
      <c r="G102" s="283">
        <f t="shared" si="4"/>
        <v>19.443999999999999</v>
      </c>
      <c r="H102" s="283">
        <f t="shared" si="4"/>
        <v>100</v>
      </c>
      <c r="I102" s="283">
        <f t="shared" si="4"/>
        <v>1.55</v>
      </c>
      <c r="J102" s="283">
        <f t="shared" si="4"/>
        <v>15.756</v>
      </c>
      <c r="K102" s="283">
        <f t="shared" si="4"/>
        <v>8.5229999999999997</v>
      </c>
    </row>
    <row r="103" spans="1:11">
      <c r="A103" s="278" t="s">
        <v>39</v>
      </c>
      <c r="B103" s="284"/>
      <c r="C103" s="284"/>
      <c r="D103" s="284"/>
      <c r="E103" s="284"/>
      <c r="F103" s="284"/>
      <c r="G103" s="284"/>
      <c r="H103" s="284"/>
      <c r="I103" s="284"/>
      <c r="J103" s="284"/>
      <c r="K103" s="284"/>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0"/>
  <sheetViews>
    <sheetView zoomScaleNormal="100" workbookViewId="0"/>
  </sheetViews>
  <sheetFormatPr defaultRowHeight="15"/>
  <cols>
    <col min="1" max="1" width="7.28515625" style="74" customWidth="1"/>
    <col min="2" max="21" width="7.28515625" style="10" customWidth="1"/>
    <col min="22" max="22" width="10.85546875" style="10" bestFit="1" customWidth="1"/>
    <col min="23" max="23" width="12.28515625" style="10" bestFit="1" customWidth="1"/>
    <col min="24" max="24" width="10" style="10" bestFit="1" customWidth="1"/>
    <col min="25" max="16384" width="9.140625" style="10"/>
  </cols>
  <sheetData>
    <row r="1" spans="1:24">
      <c r="A1" s="123" t="s">
        <v>222</v>
      </c>
      <c r="B1" s="69"/>
      <c r="C1" s="70"/>
      <c r="D1" s="70"/>
      <c r="E1" s="69"/>
      <c r="F1" s="69"/>
      <c r="G1" s="77"/>
      <c r="H1" s="69"/>
      <c r="I1" s="69"/>
      <c r="J1" s="69"/>
      <c r="K1" s="69"/>
      <c r="L1" s="69"/>
      <c r="M1" s="69"/>
      <c r="N1" s="69"/>
      <c r="O1" s="69"/>
      <c r="P1" s="69"/>
      <c r="Q1" s="69"/>
      <c r="R1" s="69"/>
      <c r="S1" s="69"/>
      <c r="T1" s="69"/>
      <c r="U1" s="69"/>
      <c r="V1" s="69"/>
      <c r="W1" s="69"/>
      <c r="X1" s="69"/>
    </row>
    <row r="2" spans="1:24">
      <c r="A2" s="123"/>
      <c r="B2" s="69"/>
      <c r="C2" s="70"/>
      <c r="D2" s="70"/>
      <c r="E2" s="69"/>
      <c r="F2" s="69"/>
      <c r="G2" s="77"/>
      <c r="H2" s="69"/>
      <c r="I2" s="69"/>
      <c r="J2" s="69"/>
      <c r="K2" s="69"/>
      <c r="L2" s="69"/>
      <c r="M2" s="69"/>
      <c r="N2" s="69"/>
      <c r="O2" s="69"/>
      <c r="P2" s="69"/>
      <c r="Q2" s="69"/>
      <c r="R2" s="69"/>
      <c r="S2" s="69"/>
      <c r="T2" s="69"/>
      <c r="U2" s="69"/>
      <c r="V2" s="69"/>
      <c r="W2" s="69"/>
      <c r="X2" s="69"/>
    </row>
    <row r="3" spans="1:24">
      <c r="A3" s="293" t="s">
        <v>40</v>
      </c>
      <c r="B3" s="285" t="s">
        <v>1</v>
      </c>
      <c r="C3" s="285" t="s">
        <v>29</v>
      </c>
      <c r="D3" s="285" t="s">
        <v>28</v>
      </c>
      <c r="E3" s="285" t="s">
        <v>24</v>
      </c>
      <c r="F3" s="285" t="s">
        <v>23</v>
      </c>
      <c r="G3" s="285" t="s">
        <v>25</v>
      </c>
      <c r="H3" s="285" t="s">
        <v>27</v>
      </c>
      <c r="I3" s="285" t="s">
        <v>15</v>
      </c>
      <c r="J3" s="285" t="s">
        <v>21</v>
      </c>
      <c r="K3" s="285" t="s">
        <v>26</v>
      </c>
      <c r="L3" s="285" t="s">
        <v>18</v>
      </c>
      <c r="M3" s="285" t="s">
        <v>22</v>
      </c>
      <c r="N3" s="285" t="s">
        <v>16</v>
      </c>
      <c r="O3" s="285" t="s">
        <v>14</v>
      </c>
      <c r="P3" s="285" t="s">
        <v>13</v>
      </c>
      <c r="Q3" s="285" t="s">
        <v>11</v>
      </c>
      <c r="R3" s="285" t="s">
        <v>19</v>
      </c>
      <c r="S3" s="285" t="s">
        <v>17</v>
      </c>
      <c r="T3" s="285" t="s">
        <v>12</v>
      </c>
      <c r="U3" s="285" t="s">
        <v>38</v>
      </c>
      <c r="V3" s="286" t="s">
        <v>41</v>
      </c>
      <c r="W3" s="277" t="s">
        <v>42</v>
      </c>
      <c r="X3" s="286" t="s">
        <v>43</v>
      </c>
    </row>
    <row r="4" spans="1:24">
      <c r="A4" s="294">
        <v>1983</v>
      </c>
      <c r="B4" s="287">
        <v>0</v>
      </c>
      <c r="C4" s="287">
        <v>0</v>
      </c>
      <c r="D4" s="287">
        <v>0</v>
      </c>
      <c r="E4" s="287">
        <v>0</v>
      </c>
      <c r="F4" s="287">
        <v>0</v>
      </c>
      <c r="G4" s="287">
        <v>0</v>
      </c>
      <c r="H4" s="287">
        <v>0</v>
      </c>
      <c r="I4" s="287">
        <v>0</v>
      </c>
      <c r="J4" s="287">
        <v>0</v>
      </c>
      <c r="K4" s="287">
        <v>0</v>
      </c>
      <c r="L4" s="287">
        <v>0</v>
      </c>
      <c r="M4" s="287">
        <v>0</v>
      </c>
      <c r="N4" s="287">
        <v>2.6</v>
      </c>
      <c r="O4" s="287">
        <v>0</v>
      </c>
      <c r="P4" s="287">
        <v>11.859</v>
      </c>
      <c r="Q4" s="287">
        <v>21.053000000000001</v>
      </c>
      <c r="R4" s="287" t="s">
        <v>44</v>
      </c>
      <c r="S4" s="287">
        <v>53.125</v>
      </c>
      <c r="T4" s="287" t="s">
        <v>44</v>
      </c>
      <c r="U4" s="287">
        <v>0</v>
      </c>
      <c r="V4" s="287">
        <v>0</v>
      </c>
      <c r="W4" s="287">
        <v>3.8319999999999999</v>
      </c>
      <c r="X4" s="287">
        <v>0.96399999999999997</v>
      </c>
    </row>
    <row r="5" spans="1:24">
      <c r="A5" s="294">
        <v>1984</v>
      </c>
      <c r="B5" s="287">
        <v>0</v>
      </c>
      <c r="C5" s="287">
        <v>0</v>
      </c>
      <c r="D5" s="287">
        <v>0</v>
      </c>
      <c r="E5" s="287">
        <v>0</v>
      </c>
      <c r="F5" s="287">
        <v>0</v>
      </c>
      <c r="G5" s="287">
        <v>0</v>
      </c>
      <c r="H5" s="287">
        <v>0</v>
      </c>
      <c r="I5" s="287">
        <v>0</v>
      </c>
      <c r="J5" s="287">
        <v>0</v>
      </c>
      <c r="K5" s="287">
        <v>1.075</v>
      </c>
      <c r="L5" s="287">
        <v>1.2050000000000001</v>
      </c>
      <c r="M5" s="287">
        <v>1.613</v>
      </c>
      <c r="N5" s="287">
        <v>0</v>
      </c>
      <c r="O5" s="287">
        <v>5.9489999999999998</v>
      </c>
      <c r="P5" s="287">
        <v>11.407</v>
      </c>
      <c r="Q5" s="287">
        <v>4.1669999999999998</v>
      </c>
      <c r="R5" s="287" t="s">
        <v>44</v>
      </c>
      <c r="S5" s="287" t="s">
        <v>44</v>
      </c>
      <c r="T5" s="287" t="s">
        <v>44</v>
      </c>
      <c r="U5" s="287">
        <v>100</v>
      </c>
      <c r="V5" s="287">
        <v>9.7000000000000003E-2</v>
      </c>
      <c r="W5" s="287">
        <v>3.3610000000000002</v>
      </c>
      <c r="X5" s="287">
        <v>0.93400000000000005</v>
      </c>
    </row>
    <row r="6" spans="1:24">
      <c r="A6" s="294">
        <v>1985</v>
      </c>
      <c r="B6" s="287">
        <v>0</v>
      </c>
      <c r="C6" s="287">
        <v>0</v>
      </c>
      <c r="D6" s="287">
        <v>0</v>
      </c>
      <c r="E6" s="287">
        <v>0</v>
      </c>
      <c r="F6" s="287">
        <v>0</v>
      </c>
      <c r="G6" s="287">
        <v>0</v>
      </c>
      <c r="H6" s="287">
        <v>0</v>
      </c>
      <c r="I6" s="287">
        <v>0</v>
      </c>
      <c r="J6" s="287">
        <v>0</v>
      </c>
      <c r="K6" s="287">
        <v>0</v>
      </c>
      <c r="L6" s="287">
        <v>0</v>
      </c>
      <c r="M6" s="287">
        <v>1.667</v>
      </c>
      <c r="N6" s="287">
        <v>2.8940000000000001</v>
      </c>
      <c r="O6" s="287">
        <v>4.4779999999999998</v>
      </c>
      <c r="P6" s="287">
        <v>8.8239999999999998</v>
      </c>
      <c r="Q6" s="287">
        <v>11.364000000000001</v>
      </c>
      <c r="R6" s="287" t="s">
        <v>44</v>
      </c>
      <c r="S6" s="287">
        <v>0</v>
      </c>
      <c r="T6" s="287" t="s">
        <v>44</v>
      </c>
      <c r="U6" s="287">
        <v>0</v>
      </c>
      <c r="V6" s="287">
        <v>0</v>
      </c>
      <c r="W6" s="287">
        <v>3.47</v>
      </c>
      <c r="X6" s="287">
        <v>0.96</v>
      </c>
    </row>
    <row r="7" spans="1:24">
      <c r="A7" s="294">
        <v>1986</v>
      </c>
      <c r="B7" s="287">
        <v>0</v>
      </c>
      <c r="C7" s="287">
        <v>0</v>
      </c>
      <c r="D7" s="287">
        <v>0</v>
      </c>
      <c r="E7" s="287">
        <v>0</v>
      </c>
      <c r="F7" s="287">
        <v>0</v>
      </c>
      <c r="G7" s="287">
        <v>0</v>
      </c>
      <c r="H7" s="287">
        <v>0</v>
      </c>
      <c r="I7" s="287">
        <v>0</v>
      </c>
      <c r="J7" s="287">
        <v>0</v>
      </c>
      <c r="K7" s="287">
        <v>3.6520000000000001</v>
      </c>
      <c r="L7" s="287">
        <v>0.90900000000000003</v>
      </c>
      <c r="M7" s="287">
        <v>1.1759999999999999</v>
      </c>
      <c r="N7" s="287">
        <v>3.5329999999999999</v>
      </c>
      <c r="O7" s="287">
        <v>7.8079999999999998</v>
      </c>
      <c r="P7" s="287">
        <v>16.268000000000001</v>
      </c>
      <c r="Q7" s="287">
        <v>14.554</v>
      </c>
      <c r="R7" s="287" t="s">
        <v>44</v>
      </c>
      <c r="S7" s="287">
        <v>28.571000000000002</v>
      </c>
      <c r="T7" s="287" t="s">
        <v>44</v>
      </c>
      <c r="U7" s="287">
        <v>0</v>
      </c>
      <c r="V7" s="287">
        <v>0.245</v>
      </c>
      <c r="W7" s="287">
        <v>5.6660000000000004</v>
      </c>
      <c r="X7" s="287">
        <v>1.875</v>
      </c>
    </row>
    <row r="8" spans="1:24">
      <c r="A8" s="294">
        <v>1987</v>
      </c>
      <c r="B8" s="287">
        <v>0</v>
      </c>
      <c r="C8" s="287">
        <v>0</v>
      </c>
      <c r="D8" s="287">
        <v>0</v>
      </c>
      <c r="E8" s="287">
        <v>0</v>
      </c>
      <c r="F8" s="287">
        <v>0</v>
      </c>
      <c r="G8" s="287">
        <v>0</v>
      </c>
      <c r="H8" s="287">
        <v>0</v>
      </c>
      <c r="I8" s="287">
        <v>0</v>
      </c>
      <c r="J8" s="287">
        <v>0</v>
      </c>
      <c r="K8" s="287">
        <v>0</v>
      </c>
      <c r="L8" s="287">
        <v>3.7879999999999998</v>
      </c>
      <c r="M8" s="287">
        <v>0.96199999999999997</v>
      </c>
      <c r="N8" s="287">
        <v>3.0339999999999998</v>
      </c>
      <c r="O8" s="287">
        <v>4.3310000000000004</v>
      </c>
      <c r="P8" s="287">
        <v>5.7370000000000001</v>
      </c>
      <c r="Q8" s="287">
        <v>11.726000000000001</v>
      </c>
      <c r="R8" s="287" t="s">
        <v>44</v>
      </c>
      <c r="S8" s="287">
        <v>22.222000000000001</v>
      </c>
      <c r="T8" s="287" t="s">
        <v>44</v>
      </c>
      <c r="U8" s="287">
        <v>0</v>
      </c>
      <c r="V8" s="287">
        <v>0</v>
      </c>
      <c r="W8" s="287">
        <v>4.4169999999999998</v>
      </c>
      <c r="X8" s="287">
        <v>1.5880000000000001</v>
      </c>
    </row>
    <row r="9" spans="1:24">
      <c r="A9" s="294">
        <v>1988</v>
      </c>
      <c r="B9" s="287">
        <v>0</v>
      </c>
      <c r="C9" s="287">
        <v>0</v>
      </c>
      <c r="D9" s="287">
        <v>0</v>
      </c>
      <c r="E9" s="287">
        <v>0</v>
      </c>
      <c r="F9" s="287">
        <v>0</v>
      </c>
      <c r="G9" s="287">
        <v>0</v>
      </c>
      <c r="H9" s="287">
        <v>0</v>
      </c>
      <c r="I9" s="287">
        <v>0</v>
      </c>
      <c r="J9" s="287">
        <v>0</v>
      </c>
      <c r="K9" s="287">
        <v>0</v>
      </c>
      <c r="L9" s="287">
        <v>0</v>
      </c>
      <c r="M9" s="287">
        <v>0</v>
      </c>
      <c r="N9" s="287">
        <v>2.5539999999999998</v>
      </c>
      <c r="O9" s="287">
        <v>4.2140000000000004</v>
      </c>
      <c r="P9" s="287">
        <v>6.6790000000000003</v>
      </c>
      <c r="Q9" s="287">
        <v>10.96</v>
      </c>
      <c r="R9" s="287" t="s">
        <v>44</v>
      </c>
      <c r="S9" s="287">
        <v>22.222000000000001</v>
      </c>
      <c r="T9" s="287" t="s">
        <v>44</v>
      </c>
      <c r="U9" s="287">
        <v>50</v>
      </c>
      <c r="V9" s="287">
        <v>0</v>
      </c>
      <c r="W9" s="287">
        <v>3.5510000000000002</v>
      </c>
      <c r="X9" s="287">
        <v>1.3720000000000001</v>
      </c>
    </row>
    <row r="10" spans="1:24">
      <c r="A10" s="294">
        <v>1989</v>
      </c>
      <c r="B10" s="287">
        <v>0</v>
      </c>
      <c r="C10" s="287">
        <v>0</v>
      </c>
      <c r="D10" s="287">
        <v>0</v>
      </c>
      <c r="E10" s="287">
        <v>1.4079999999999999</v>
      </c>
      <c r="F10" s="287">
        <v>0</v>
      </c>
      <c r="G10" s="287">
        <v>0</v>
      </c>
      <c r="H10" s="287">
        <v>0</v>
      </c>
      <c r="I10" s="287">
        <v>0</v>
      </c>
      <c r="J10" s="287">
        <v>0.88500000000000001</v>
      </c>
      <c r="K10" s="287">
        <v>1.075</v>
      </c>
      <c r="L10" s="287">
        <v>0.81299999999999994</v>
      </c>
      <c r="M10" s="287">
        <v>1.9419999999999999</v>
      </c>
      <c r="N10" s="287">
        <v>4.9560000000000004</v>
      </c>
      <c r="O10" s="287">
        <v>5.774</v>
      </c>
      <c r="P10" s="287">
        <v>7.8609999999999998</v>
      </c>
      <c r="Q10" s="287">
        <v>18.603000000000002</v>
      </c>
      <c r="R10" s="287" t="s">
        <v>44</v>
      </c>
      <c r="S10" s="287">
        <v>27.273</v>
      </c>
      <c r="T10" s="287" t="s">
        <v>44</v>
      </c>
      <c r="U10" s="287">
        <v>0</v>
      </c>
      <c r="V10" s="287">
        <v>0.30299999999999999</v>
      </c>
      <c r="W10" s="287">
        <v>5.774</v>
      </c>
      <c r="X10" s="287">
        <v>2.3860000000000001</v>
      </c>
    </row>
    <row r="11" spans="1:24">
      <c r="A11" s="294">
        <v>1990</v>
      </c>
      <c r="B11" s="287">
        <v>0</v>
      </c>
      <c r="C11" s="287">
        <v>0</v>
      </c>
      <c r="D11" s="287">
        <v>0</v>
      </c>
      <c r="E11" s="287">
        <v>0</v>
      </c>
      <c r="F11" s="287">
        <v>0</v>
      </c>
      <c r="G11" s="287">
        <v>0</v>
      </c>
      <c r="H11" s="287">
        <v>0</v>
      </c>
      <c r="I11" s="287">
        <v>0</v>
      </c>
      <c r="J11" s="287">
        <v>0</v>
      </c>
      <c r="K11" s="287">
        <v>0</v>
      </c>
      <c r="L11" s="287">
        <v>3.7269999999999999</v>
      </c>
      <c r="M11" s="287">
        <v>2.9569999999999999</v>
      </c>
      <c r="N11" s="287">
        <v>3.5390000000000001</v>
      </c>
      <c r="O11" s="287">
        <v>8.1539999999999999</v>
      </c>
      <c r="P11" s="287">
        <v>23.157</v>
      </c>
      <c r="Q11" s="287">
        <v>28.763000000000002</v>
      </c>
      <c r="R11" s="287" t="s">
        <v>44</v>
      </c>
      <c r="S11" s="287">
        <v>61.905000000000001</v>
      </c>
      <c r="T11" s="287">
        <v>0</v>
      </c>
      <c r="U11" s="287">
        <v>75</v>
      </c>
      <c r="V11" s="287">
        <v>0</v>
      </c>
      <c r="W11" s="287">
        <v>10.255000000000001</v>
      </c>
      <c r="X11" s="287">
        <v>3.75</v>
      </c>
    </row>
    <row r="12" spans="1:24">
      <c r="A12" s="294">
        <v>1991</v>
      </c>
      <c r="B12" s="287">
        <v>0</v>
      </c>
      <c r="C12" s="287">
        <v>0</v>
      </c>
      <c r="D12" s="287">
        <v>0</v>
      </c>
      <c r="E12" s="287">
        <v>0</v>
      </c>
      <c r="F12" s="287">
        <v>0</v>
      </c>
      <c r="G12" s="287">
        <v>0</v>
      </c>
      <c r="H12" s="287">
        <v>0</v>
      </c>
      <c r="I12" s="287">
        <v>0.8</v>
      </c>
      <c r="J12" s="287">
        <v>0</v>
      </c>
      <c r="K12" s="287">
        <v>0</v>
      </c>
      <c r="L12" s="287">
        <v>1.099</v>
      </c>
      <c r="M12" s="287">
        <v>0</v>
      </c>
      <c r="N12" s="287">
        <v>9.26</v>
      </c>
      <c r="O12" s="287">
        <v>3.5870000000000002</v>
      </c>
      <c r="P12" s="287">
        <v>11.141</v>
      </c>
      <c r="Q12" s="287">
        <v>26.163</v>
      </c>
      <c r="R12" s="287" t="s">
        <v>44</v>
      </c>
      <c r="S12" s="287">
        <v>50</v>
      </c>
      <c r="T12" s="287">
        <v>0</v>
      </c>
      <c r="U12" s="287">
        <v>40</v>
      </c>
      <c r="V12" s="287">
        <v>7.0000000000000007E-2</v>
      </c>
      <c r="W12" s="287">
        <v>9.4499999999999993</v>
      </c>
      <c r="X12" s="287">
        <v>3.0910000000000002</v>
      </c>
    </row>
    <row r="13" spans="1:24">
      <c r="A13" s="294">
        <v>1992</v>
      </c>
      <c r="B13" s="287">
        <v>0</v>
      </c>
      <c r="C13" s="287">
        <v>0</v>
      </c>
      <c r="D13" s="287">
        <v>0</v>
      </c>
      <c r="E13" s="287">
        <v>0</v>
      </c>
      <c r="F13" s="287">
        <v>0</v>
      </c>
      <c r="G13" s="287">
        <v>0</v>
      </c>
      <c r="H13" s="287">
        <v>0</v>
      </c>
      <c r="I13" s="287">
        <v>0</v>
      </c>
      <c r="J13" s="287">
        <v>0</v>
      </c>
      <c r="K13" s="287">
        <v>0</v>
      </c>
      <c r="L13" s="287">
        <v>0</v>
      </c>
      <c r="M13" s="287">
        <v>0</v>
      </c>
      <c r="N13" s="287">
        <v>0.78100000000000003</v>
      </c>
      <c r="O13" s="287">
        <v>1.042</v>
      </c>
      <c r="P13" s="287">
        <v>1.4490000000000001</v>
      </c>
      <c r="Q13" s="287">
        <v>26.882000000000001</v>
      </c>
      <c r="R13" s="287" t="s">
        <v>44</v>
      </c>
      <c r="S13" s="287">
        <v>31.600999999999999</v>
      </c>
      <c r="T13" s="287">
        <v>0</v>
      </c>
      <c r="U13" s="287">
        <v>25</v>
      </c>
      <c r="V13" s="287">
        <v>0</v>
      </c>
      <c r="W13" s="287">
        <v>5.2160000000000002</v>
      </c>
      <c r="X13" s="287">
        <v>1.5</v>
      </c>
    </row>
    <row r="14" spans="1:24">
      <c r="A14" s="294">
        <v>1993</v>
      </c>
      <c r="B14" s="287">
        <v>0</v>
      </c>
      <c r="C14" s="287">
        <v>0</v>
      </c>
      <c r="D14" s="287">
        <v>0</v>
      </c>
      <c r="E14" s="287">
        <v>0</v>
      </c>
      <c r="F14" s="287">
        <v>0</v>
      </c>
      <c r="G14" s="287">
        <v>0</v>
      </c>
      <c r="H14" s="287">
        <v>0</v>
      </c>
      <c r="I14" s="287">
        <v>0</v>
      </c>
      <c r="J14" s="287">
        <v>0</v>
      </c>
      <c r="K14" s="287">
        <v>0</v>
      </c>
      <c r="L14" s="287">
        <v>1.01</v>
      </c>
      <c r="M14" s="287">
        <v>0</v>
      </c>
      <c r="N14" s="287">
        <v>0.79400000000000004</v>
      </c>
      <c r="O14" s="287">
        <v>2.6040000000000001</v>
      </c>
      <c r="P14" s="287">
        <v>3.226</v>
      </c>
      <c r="Q14" s="287">
        <v>10.159000000000001</v>
      </c>
      <c r="R14" s="287" t="s">
        <v>44</v>
      </c>
      <c r="S14" s="287">
        <v>23.981999999999999</v>
      </c>
      <c r="T14" s="287">
        <v>0</v>
      </c>
      <c r="U14" s="287">
        <v>50</v>
      </c>
      <c r="V14" s="287">
        <v>0</v>
      </c>
      <c r="W14" s="287">
        <v>3.1509999999999998</v>
      </c>
      <c r="X14" s="287">
        <v>0.89</v>
      </c>
    </row>
    <row r="15" spans="1:24">
      <c r="A15" s="294">
        <v>1994</v>
      </c>
      <c r="B15" s="287">
        <v>0</v>
      </c>
      <c r="C15" s="287">
        <v>0</v>
      </c>
      <c r="D15" s="287">
        <v>0</v>
      </c>
      <c r="E15" s="287">
        <v>0</v>
      </c>
      <c r="F15" s="287">
        <v>0</v>
      </c>
      <c r="G15" s="287">
        <v>0</v>
      </c>
      <c r="H15" s="287">
        <v>0</v>
      </c>
      <c r="I15" s="287">
        <v>0</v>
      </c>
      <c r="J15" s="287">
        <v>0</v>
      </c>
      <c r="K15" s="287">
        <v>0</v>
      </c>
      <c r="L15" s="287">
        <v>0</v>
      </c>
      <c r="M15" s="287">
        <v>0</v>
      </c>
      <c r="N15" s="287">
        <v>0.67100000000000004</v>
      </c>
      <c r="O15" s="287">
        <v>1.978</v>
      </c>
      <c r="P15" s="287">
        <v>3.5680000000000001</v>
      </c>
      <c r="Q15" s="287">
        <v>8.8670000000000009</v>
      </c>
      <c r="R15" s="287" t="s">
        <v>44</v>
      </c>
      <c r="S15" s="287">
        <v>7.1429999999999998</v>
      </c>
      <c r="T15" s="287">
        <v>0</v>
      </c>
      <c r="U15" s="287">
        <v>0</v>
      </c>
      <c r="V15" s="287">
        <v>0</v>
      </c>
      <c r="W15" s="287">
        <v>2.145</v>
      </c>
      <c r="X15" s="287">
        <v>0.66300000000000003</v>
      </c>
    </row>
    <row r="16" spans="1:24">
      <c r="A16" s="294">
        <v>1995</v>
      </c>
      <c r="B16" s="287">
        <v>0</v>
      </c>
      <c r="C16" s="287">
        <v>0</v>
      </c>
      <c r="D16" s="287">
        <v>0</v>
      </c>
      <c r="E16" s="287">
        <v>0</v>
      </c>
      <c r="F16" s="287">
        <v>0</v>
      </c>
      <c r="G16" s="287">
        <v>0</v>
      </c>
      <c r="H16" s="287">
        <v>0</v>
      </c>
      <c r="I16" s="287">
        <v>0</v>
      </c>
      <c r="J16" s="287">
        <v>0</v>
      </c>
      <c r="K16" s="287">
        <v>0</v>
      </c>
      <c r="L16" s="287">
        <v>0</v>
      </c>
      <c r="M16" s="287">
        <v>0</v>
      </c>
      <c r="N16" s="287">
        <v>1.9530000000000001</v>
      </c>
      <c r="O16" s="287">
        <v>4.5449999999999999</v>
      </c>
      <c r="P16" s="287">
        <v>5.9420000000000002</v>
      </c>
      <c r="Q16" s="287">
        <v>1.9810000000000001</v>
      </c>
      <c r="R16" s="287" t="s">
        <v>44</v>
      </c>
      <c r="S16" s="287">
        <v>2.6320000000000001</v>
      </c>
      <c r="T16" s="287">
        <v>0</v>
      </c>
      <c r="U16" s="287">
        <v>24.706</v>
      </c>
      <c r="V16" s="287">
        <v>0</v>
      </c>
      <c r="W16" s="287">
        <v>3.0609999999999999</v>
      </c>
      <c r="X16" s="287">
        <v>1.0309999999999999</v>
      </c>
    </row>
    <row r="17" spans="1:24">
      <c r="A17" s="294">
        <v>1996</v>
      </c>
      <c r="B17" s="287">
        <v>0</v>
      </c>
      <c r="C17" s="287">
        <v>0</v>
      </c>
      <c r="D17" s="287">
        <v>0</v>
      </c>
      <c r="E17" s="287">
        <v>0</v>
      </c>
      <c r="F17" s="287">
        <v>0</v>
      </c>
      <c r="G17" s="287">
        <v>0</v>
      </c>
      <c r="H17" s="287">
        <v>0</v>
      </c>
      <c r="I17" s="287">
        <v>0</v>
      </c>
      <c r="J17" s="287">
        <v>0</v>
      </c>
      <c r="K17" s="287">
        <v>0</v>
      </c>
      <c r="L17" s="287">
        <v>0</v>
      </c>
      <c r="M17" s="287">
        <v>0</v>
      </c>
      <c r="N17" s="287">
        <v>0</v>
      </c>
      <c r="O17" s="287">
        <v>1.2370000000000001</v>
      </c>
      <c r="P17" s="287">
        <v>0</v>
      </c>
      <c r="Q17" s="287">
        <v>3.4220000000000002</v>
      </c>
      <c r="R17" s="287">
        <v>0</v>
      </c>
      <c r="S17" s="287">
        <v>15.316000000000001</v>
      </c>
      <c r="T17" s="287">
        <v>0</v>
      </c>
      <c r="U17" s="287">
        <v>13.462</v>
      </c>
      <c r="V17" s="287">
        <v>0</v>
      </c>
      <c r="W17" s="287">
        <v>1.7190000000000001</v>
      </c>
      <c r="X17" s="287">
        <v>0.58799999999999997</v>
      </c>
    </row>
    <row r="18" spans="1:24">
      <c r="A18" s="294">
        <v>1997</v>
      </c>
      <c r="B18" s="287">
        <v>0</v>
      </c>
      <c r="C18" s="287">
        <v>0</v>
      </c>
      <c r="D18" s="287">
        <v>0</v>
      </c>
      <c r="E18" s="287">
        <v>0</v>
      </c>
      <c r="F18" s="287">
        <v>0</v>
      </c>
      <c r="G18" s="287">
        <v>0</v>
      </c>
      <c r="H18" s="287">
        <v>0</v>
      </c>
      <c r="I18" s="287">
        <v>0</v>
      </c>
      <c r="J18" s="287">
        <v>0</v>
      </c>
      <c r="K18" s="287">
        <v>0</v>
      </c>
      <c r="L18" s="287">
        <v>0</v>
      </c>
      <c r="M18" s="287">
        <v>0</v>
      </c>
      <c r="N18" s="287">
        <v>0.47399999999999998</v>
      </c>
      <c r="O18" s="287">
        <v>0</v>
      </c>
      <c r="P18" s="287">
        <v>1.2270000000000001</v>
      </c>
      <c r="Q18" s="287">
        <v>7.1050000000000004</v>
      </c>
      <c r="R18" s="287">
        <v>0</v>
      </c>
      <c r="S18" s="287">
        <v>13.944000000000001</v>
      </c>
      <c r="T18" s="287">
        <v>0</v>
      </c>
      <c r="U18" s="287">
        <v>18.981000000000002</v>
      </c>
      <c r="V18" s="287">
        <v>0</v>
      </c>
      <c r="W18" s="287">
        <v>2.145</v>
      </c>
      <c r="X18" s="287">
        <v>0.76500000000000001</v>
      </c>
    </row>
    <row r="19" spans="1:24">
      <c r="A19" s="294">
        <v>1998</v>
      </c>
      <c r="B19" s="287">
        <v>0</v>
      </c>
      <c r="C19" s="287">
        <v>0</v>
      </c>
      <c r="D19" s="287">
        <v>0</v>
      </c>
      <c r="E19" s="287">
        <v>0</v>
      </c>
      <c r="F19" s="287">
        <v>0</v>
      </c>
      <c r="G19" s="287">
        <v>0</v>
      </c>
      <c r="H19" s="287">
        <v>0</v>
      </c>
      <c r="I19" s="287">
        <v>0</v>
      </c>
      <c r="J19" s="287">
        <v>0.34799999999999998</v>
      </c>
      <c r="K19" s="287">
        <v>0</v>
      </c>
      <c r="L19" s="287">
        <v>0</v>
      </c>
      <c r="M19" s="287">
        <v>1.399</v>
      </c>
      <c r="N19" s="287">
        <v>1.288</v>
      </c>
      <c r="O19" s="287">
        <v>2.3140000000000001</v>
      </c>
      <c r="P19" s="287">
        <v>5.649</v>
      </c>
      <c r="Q19" s="287">
        <v>4.9800000000000004</v>
      </c>
      <c r="R19" s="287">
        <v>5.734</v>
      </c>
      <c r="S19" s="287">
        <v>9.2850000000000001</v>
      </c>
      <c r="T19" s="287">
        <v>26.667000000000002</v>
      </c>
      <c r="U19" s="287">
        <v>16.667000000000002</v>
      </c>
      <c r="V19" s="287">
        <v>4.4999999999999998E-2</v>
      </c>
      <c r="W19" s="287">
        <v>3.298</v>
      </c>
      <c r="X19" s="287">
        <v>1.3169999999999999</v>
      </c>
    </row>
    <row r="20" spans="1:24">
      <c r="A20" s="294">
        <v>1999</v>
      </c>
      <c r="B20" s="287">
        <v>0</v>
      </c>
      <c r="C20" s="287">
        <v>0</v>
      </c>
      <c r="D20" s="287">
        <v>0</v>
      </c>
      <c r="E20" s="287">
        <v>0</v>
      </c>
      <c r="F20" s="287">
        <v>0</v>
      </c>
      <c r="G20" s="287">
        <v>0</v>
      </c>
      <c r="H20" s="287">
        <v>0</v>
      </c>
      <c r="I20" s="287">
        <v>0</v>
      </c>
      <c r="J20" s="287">
        <v>0</v>
      </c>
      <c r="K20" s="287">
        <v>0.376</v>
      </c>
      <c r="L20" s="287">
        <v>0.59499999999999997</v>
      </c>
      <c r="M20" s="287">
        <v>0.61299999999999999</v>
      </c>
      <c r="N20" s="287">
        <v>2.5830000000000002</v>
      </c>
      <c r="O20" s="287">
        <v>2.6680000000000001</v>
      </c>
      <c r="P20" s="287">
        <v>5.2919999999999998</v>
      </c>
      <c r="Q20" s="287">
        <v>8.66</v>
      </c>
      <c r="R20" s="287">
        <v>11.981</v>
      </c>
      <c r="S20" s="287">
        <v>22.427</v>
      </c>
      <c r="T20" s="287">
        <v>20.87</v>
      </c>
      <c r="U20" s="287">
        <v>47.368000000000002</v>
      </c>
      <c r="V20" s="287">
        <v>4.1000000000000002E-2</v>
      </c>
      <c r="W20" s="287">
        <v>5.694</v>
      </c>
      <c r="X20" s="287">
        <v>2.4089999999999998</v>
      </c>
    </row>
    <row r="21" spans="1:24">
      <c r="A21" s="294">
        <v>2000</v>
      </c>
      <c r="B21" s="287">
        <v>0</v>
      </c>
      <c r="C21" s="287">
        <v>0</v>
      </c>
      <c r="D21" s="287">
        <v>0</v>
      </c>
      <c r="E21" s="287">
        <v>0</v>
      </c>
      <c r="F21" s="287">
        <v>0</v>
      </c>
      <c r="G21" s="287">
        <v>0</v>
      </c>
      <c r="H21" s="287">
        <v>0</v>
      </c>
      <c r="I21" s="287">
        <v>0.32100000000000001</v>
      </c>
      <c r="J21" s="287">
        <v>0</v>
      </c>
      <c r="K21" s="287">
        <v>1.093</v>
      </c>
      <c r="L21" s="287">
        <v>0.60199999999999998</v>
      </c>
      <c r="M21" s="287">
        <v>0.68</v>
      </c>
      <c r="N21" s="287">
        <v>1.0529999999999999</v>
      </c>
      <c r="O21" s="287">
        <v>3.2480000000000002</v>
      </c>
      <c r="P21" s="287">
        <v>5.133</v>
      </c>
      <c r="Q21" s="287">
        <v>12.223000000000001</v>
      </c>
      <c r="R21" s="287">
        <v>11.385999999999999</v>
      </c>
      <c r="S21" s="287">
        <v>30.042000000000002</v>
      </c>
      <c r="T21" s="287">
        <v>20.138999999999999</v>
      </c>
      <c r="U21" s="287">
        <v>41.765000000000001</v>
      </c>
      <c r="V21" s="287">
        <v>0.157</v>
      </c>
      <c r="W21" s="287">
        <v>6.6849999999999996</v>
      </c>
      <c r="X21" s="287">
        <v>2.8519999999999999</v>
      </c>
    </row>
    <row r="22" spans="1:24">
      <c r="A22" s="294">
        <v>2001</v>
      </c>
      <c r="B22" s="287">
        <v>0</v>
      </c>
      <c r="C22" s="287">
        <v>0</v>
      </c>
      <c r="D22" s="287">
        <v>0</v>
      </c>
      <c r="E22" s="287">
        <v>0</v>
      </c>
      <c r="F22" s="287">
        <v>0</v>
      </c>
      <c r="G22" s="287">
        <v>0.496</v>
      </c>
      <c r="H22" s="287">
        <v>0</v>
      </c>
      <c r="I22" s="287">
        <v>0.33200000000000002</v>
      </c>
      <c r="J22" s="287">
        <v>0.28999999999999998</v>
      </c>
      <c r="K22" s="287">
        <v>0</v>
      </c>
      <c r="L22" s="287">
        <v>0</v>
      </c>
      <c r="M22" s="287">
        <v>1.375</v>
      </c>
      <c r="N22" s="287">
        <v>2.952</v>
      </c>
      <c r="O22" s="287">
        <v>3.5230000000000001</v>
      </c>
      <c r="P22" s="287">
        <v>10.654</v>
      </c>
      <c r="Q22" s="287">
        <v>17.850000000000001</v>
      </c>
      <c r="R22" s="287">
        <v>25.640999999999998</v>
      </c>
      <c r="S22" s="287">
        <v>35.481000000000002</v>
      </c>
      <c r="T22" s="287">
        <v>43.704000000000001</v>
      </c>
      <c r="U22" s="287">
        <v>44</v>
      </c>
      <c r="V22" s="287">
        <v>0.153</v>
      </c>
      <c r="W22" s="287">
        <v>10.831</v>
      </c>
      <c r="X22" s="287">
        <v>4.3449999999999998</v>
      </c>
    </row>
    <row r="23" spans="1:24">
      <c r="A23" s="294">
        <v>2002</v>
      </c>
      <c r="B23" s="287">
        <v>0</v>
      </c>
      <c r="C23" s="287">
        <v>0</v>
      </c>
      <c r="D23" s="287">
        <v>0</v>
      </c>
      <c r="E23" s="287">
        <v>0</v>
      </c>
      <c r="F23" s="287">
        <v>0</v>
      </c>
      <c r="G23" s="287">
        <v>0</v>
      </c>
      <c r="H23" s="287">
        <v>0.51400000000000001</v>
      </c>
      <c r="I23" s="287">
        <v>1.2010000000000001</v>
      </c>
      <c r="J23" s="287">
        <v>0.79900000000000004</v>
      </c>
      <c r="K23" s="287">
        <v>1.4359999999999999</v>
      </c>
      <c r="L23" s="287">
        <v>2.766</v>
      </c>
      <c r="M23" s="287">
        <v>0.68500000000000005</v>
      </c>
      <c r="N23" s="287">
        <v>1.1439999999999999</v>
      </c>
      <c r="O23" s="287">
        <v>2.33</v>
      </c>
      <c r="P23" s="287">
        <v>4.9020000000000001</v>
      </c>
      <c r="Q23" s="287">
        <v>7.5590000000000002</v>
      </c>
      <c r="R23" s="287">
        <v>17.338000000000001</v>
      </c>
      <c r="S23" s="287">
        <v>25.47</v>
      </c>
      <c r="T23" s="287">
        <v>34.368000000000002</v>
      </c>
      <c r="U23" s="287">
        <v>53.932000000000002</v>
      </c>
      <c r="V23" s="287">
        <v>0.49199999999999999</v>
      </c>
      <c r="W23" s="287">
        <v>8.3729999999999993</v>
      </c>
      <c r="X23" s="287">
        <v>3.319</v>
      </c>
    </row>
    <row r="24" spans="1:24">
      <c r="A24" s="294">
        <v>2003</v>
      </c>
      <c r="B24" s="287">
        <v>0</v>
      </c>
      <c r="C24" s="287">
        <v>0</v>
      </c>
      <c r="D24" s="287">
        <v>0</v>
      </c>
      <c r="E24" s="287">
        <v>0</v>
      </c>
      <c r="F24" s="287">
        <v>0</v>
      </c>
      <c r="G24" s="287">
        <v>0</v>
      </c>
      <c r="H24" s="287">
        <v>0</v>
      </c>
      <c r="I24" s="287">
        <v>0</v>
      </c>
      <c r="J24" s="287">
        <v>0</v>
      </c>
      <c r="K24" s="287">
        <v>0</v>
      </c>
      <c r="L24" s="287">
        <v>0.71399999999999997</v>
      </c>
      <c r="M24" s="287">
        <v>0.75800000000000001</v>
      </c>
      <c r="N24" s="287">
        <v>1.528</v>
      </c>
      <c r="O24" s="287">
        <v>0.36199999999999999</v>
      </c>
      <c r="P24" s="287">
        <v>2.484</v>
      </c>
      <c r="Q24" s="287">
        <v>4.5069999999999997</v>
      </c>
      <c r="R24" s="287">
        <v>9.8230000000000004</v>
      </c>
      <c r="S24" s="287">
        <v>21.619</v>
      </c>
      <c r="T24" s="287">
        <v>33.840000000000003</v>
      </c>
      <c r="U24" s="287">
        <v>43.076999999999998</v>
      </c>
      <c r="V24" s="287">
        <v>0</v>
      </c>
      <c r="W24" s="287">
        <v>5.5279999999999996</v>
      </c>
      <c r="X24" s="287">
        <v>2.0179999999999998</v>
      </c>
    </row>
    <row r="25" spans="1:24">
      <c r="A25" s="294">
        <v>2004</v>
      </c>
      <c r="B25" s="287">
        <v>0</v>
      </c>
      <c r="C25" s="287">
        <v>0</v>
      </c>
      <c r="D25" s="287">
        <v>0</v>
      </c>
      <c r="E25" s="287">
        <v>0</v>
      </c>
      <c r="F25" s="287">
        <v>0</v>
      </c>
      <c r="G25" s="287">
        <v>0</v>
      </c>
      <c r="H25" s="287">
        <v>0</v>
      </c>
      <c r="I25" s="287">
        <v>0</v>
      </c>
      <c r="J25" s="287">
        <v>0</v>
      </c>
      <c r="K25" s="287">
        <v>0</v>
      </c>
      <c r="L25" s="287">
        <v>0</v>
      </c>
      <c r="M25" s="287">
        <v>0.80600000000000005</v>
      </c>
      <c r="N25" s="287">
        <v>0.51</v>
      </c>
      <c r="O25" s="287">
        <v>0</v>
      </c>
      <c r="P25" s="287">
        <v>0.625</v>
      </c>
      <c r="Q25" s="287">
        <v>2.4510000000000001</v>
      </c>
      <c r="R25" s="287">
        <v>8.4009999999999998</v>
      </c>
      <c r="S25" s="287">
        <v>9.7560000000000002</v>
      </c>
      <c r="T25" s="287">
        <v>14.36</v>
      </c>
      <c r="U25" s="287">
        <v>34.155999999999999</v>
      </c>
      <c r="V25" s="287">
        <v>0</v>
      </c>
      <c r="W25" s="287">
        <v>2.556</v>
      </c>
      <c r="X25" s="287">
        <v>0.93899999999999995</v>
      </c>
    </row>
    <row r="26" spans="1:24">
      <c r="A26" s="294">
        <v>2005</v>
      </c>
      <c r="B26" s="287">
        <v>0</v>
      </c>
      <c r="C26" s="287">
        <v>0</v>
      </c>
      <c r="D26" s="287">
        <v>0</v>
      </c>
      <c r="E26" s="287">
        <v>0</v>
      </c>
      <c r="F26" s="287">
        <v>0</v>
      </c>
      <c r="G26" s="287">
        <v>0</v>
      </c>
      <c r="H26" s="287">
        <v>0</v>
      </c>
      <c r="I26" s="287">
        <v>0</v>
      </c>
      <c r="J26" s="287">
        <v>0.26600000000000001</v>
      </c>
      <c r="K26" s="287">
        <v>0.34699999999999998</v>
      </c>
      <c r="L26" s="287">
        <v>0</v>
      </c>
      <c r="M26" s="287">
        <v>0</v>
      </c>
      <c r="N26" s="287">
        <v>0</v>
      </c>
      <c r="O26" s="287">
        <v>0</v>
      </c>
      <c r="P26" s="287">
        <v>0.60599999999999998</v>
      </c>
      <c r="Q26" s="287">
        <v>2.5169999999999999</v>
      </c>
      <c r="R26" s="287">
        <v>3.1379999999999999</v>
      </c>
      <c r="S26" s="287">
        <v>7.4980000000000002</v>
      </c>
      <c r="T26" s="287">
        <v>20.879000000000001</v>
      </c>
      <c r="U26" s="287">
        <v>22.244</v>
      </c>
      <c r="V26" s="287">
        <v>7.8E-2</v>
      </c>
      <c r="W26" s="287">
        <v>1.875</v>
      </c>
      <c r="X26" s="287">
        <v>0.76</v>
      </c>
    </row>
    <row r="27" spans="1:24">
      <c r="A27" s="294">
        <v>2006</v>
      </c>
      <c r="B27" s="287">
        <v>0</v>
      </c>
      <c r="C27" s="287">
        <v>0</v>
      </c>
      <c r="D27" s="287">
        <v>0</v>
      </c>
      <c r="E27" s="287">
        <v>0</v>
      </c>
      <c r="F27" s="287">
        <v>0</v>
      </c>
      <c r="G27" s="287">
        <v>0</v>
      </c>
      <c r="H27" s="287">
        <v>0</v>
      </c>
      <c r="I27" s="287">
        <v>0</v>
      </c>
      <c r="J27" s="287">
        <v>0</v>
      </c>
      <c r="K27" s="287">
        <v>0</v>
      </c>
      <c r="L27" s="287">
        <v>0</v>
      </c>
      <c r="M27" s="287">
        <v>0</v>
      </c>
      <c r="N27" s="287">
        <v>0.51500000000000001</v>
      </c>
      <c r="O27" s="287">
        <v>0.77400000000000002</v>
      </c>
      <c r="P27" s="287">
        <v>0.57399999999999995</v>
      </c>
      <c r="Q27" s="287">
        <v>2.3140000000000001</v>
      </c>
      <c r="R27" s="287">
        <v>2.4849999999999999</v>
      </c>
      <c r="S27" s="287">
        <v>6.9669999999999996</v>
      </c>
      <c r="T27" s="287">
        <v>18.030999999999999</v>
      </c>
      <c r="U27" s="287">
        <v>19.024999999999999</v>
      </c>
      <c r="V27" s="287">
        <v>0</v>
      </c>
      <c r="W27" s="287">
        <v>1.8580000000000001</v>
      </c>
      <c r="X27" s="287">
        <v>0.72099999999999997</v>
      </c>
    </row>
    <row r="28" spans="1:24">
      <c r="A28" s="294">
        <v>2007</v>
      </c>
      <c r="B28" s="287">
        <v>0</v>
      </c>
      <c r="C28" s="287">
        <v>0</v>
      </c>
      <c r="D28" s="287">
        <v>0</v>
      </c>
      <c r="E28" s="287">
        <v>0</v>
      </c>
      <c r="F28" s="287">
        <v>0</v>
      </c>
      <c r="G28" s="287">
        <v>0</v>
      </c>
      <c r="H28" s="287">
        <v>0</v>
      </c>
      <c r="I28" s="287">
        <v>0</v>
      </c>
      <c r="J28" s="287">
        <v>0</v>
      </c>
      <c r="K28" s="287">
        <v>0</v>
      </c>
      <c r="L28" s="287">
        <v>0</v>
      </c>
      <c r="M28" s="287">
        <v>0</v>
      </c>
      <c r="N28" s="287">
        <v>0</v>
      </c>
      <c r="O28" s="287">
        <v>0</v>
      </c>
      <c r="P28" s="287">
        <v>0</v>
      </c>
      <c r="Q28" s="287">
        <v>0</v>
      </c>
      <c r="R28" s="287">
        <v>2.258</v>
      </c>
      <c r="S28" s="287">
        <v>8.6</v>
      </c>
      <c r="T28" s="287">
        <v>15.249000000000001</v>
      </c>
      <c r="U28" s="287">
        <v>32.5</v>
      </c>
      <c r="V28" s="287">
        <v>0</v>
      </c>
      <c r="W28" s="287">
        <v>0.98099999999999998</v>
      </c>
      <c r="X28" s="287">
        <v>0.40100000000000002</v>
      </c>
    </row>
    <row r="29" spans="1:24">
      <c r="A29" s="294">
        <v>2008</v>
      </c>
      <c r="B29" s="287">
        <v>0</v>
      </c>
      <c r="C29" s="287">
        <v>0</v>
      </c>
      <c r="D29" s="287">
        <v>0</v>
      </c>
      <c r="E29" s="287">
        <v>2.105</v>
      </c>
      <c r="F29" s="287">
        <v>1.5269999999999999</v>
      </c>
      <c r="G29" s="287">
        <v>0.29799999999999999</v>
      </c>
      <c r="H29" s="287">
        <v>0</v>
      </c>
      <c r="I29" s="287">
        <v>0.29499999999999998</v>
      </c>
      <c r="J29" s="287">
        <v>0.86</v>
      </c>
      <c r="K29" s="287">
        <v>0.36599999999999999</v>
      </c>
      <c r="L29" s="287">
        <v>0</v>
      </c>
      <c r="M29" s="287">
        <v>0</v>
      </c>
      <c r="N29" s="287">
        <v>2.8330000000000002</v>
      </c>
      <c r="O29" s="287">
        <v>1.869</v>
      </c>
      <c r="P29" s="287">
        <v>0.88100000000000001</v>
      </c>
      <c r="Q29" s="287">
        <v>3.2530000000000001</v>
      </c>
      <c r="R29" s="287">
        <v>7.6079999999999997</v>
      </c>
      <c r="S29" s="287">
        <v>19.844999999999999</v>
      </c>
      <c r="T29" s="287">
        <v>36.366</v>
      </c>
      <c r="U29" s="287">
        <v>55.363999999999997</v>
      </c>
      <c r="V29" s="287">
        <v>0.54400000000000004</v>
      </c>
      <c r="W29" s="287">
        <v>4.4930000000000003</v>
      </c>
      <c r="X29" s="287">
        <v>2.2519999999999998</v>
      </c>
    </row>
    <row r="30" spans="1:24">
      <c r="A30" s="294">
        <v>2009</v>
      </c>
      <c r="B30" s="287">
        <v>0</v>
      </c>
      <c r="C30" s="287">
        <v>0</v>
      </c>
      <c r="D30" s="287">
        <v>0</v>
      </c>
      <c r="E30" s="287">
        <v>0</v>
      </c>
      <c r="F30" s="287">
        <v>0</v>
      </c>
      <c r="G30" s="287">
        <v>0</v>
      </c>
      <c r="H30" s="287">
        <v>0.61599999999999999</v>
      </c>
      <c r="I30" s="287">
        <v>1.26</v>
      </c>
      <c r="J30" s="287">
        <v>0.78200000000000003</v>
      </c>
      <c r="K30" s="287">
        <v>0.76700000000000002</v>
      </c>
      <c r="L30" s="287">
        <v>2.4649999999999999</v>
      </c>
      <c r="M30" s="287">
        <v>0.60199999999999998</v>
      </c>
      <c r="N30" s="287">
        <v>3.6560000000000001</v>
      </c>
      <c r="O30" s="287">
        <v>4.1310000000000002</v>
      </c>
      <c r="P30" s="287">
        <v>9.0079999999999991</v>
      </c>
      <c r="Q30" s="287">
        <v>8.5220000000000002</v>
      </c>
      <c r="R30" s="287">
        <v>17.283999999999999</v>
      </c>
      <c r="S30" s="287">
        <v>39.906999999999996</v>
      </c>
      <c r="T30" s="287">
        <v>58.021999999999998</v>
      </c>
      <c r="U30" s="287">
        <v>75.510999999999996</v>
      </c>
      <c r="V30" s="287">
        <v>0.442</v>
      </c>
      <c r="W30" s="287">
        <v>13.32</v>
      </c>
      <c r="X30" s="287">
        <v>6.0019999999999998</v>
      </c>
    </row>
    <row r="31" spans="1:24">
      <c r="A31" s="295">
        <v>2010</v>
      </c>
      <c r="B31" s="287">
        <v>0</v>
      </c>
      <c r="C31" s="287">
        <v>0</v>
      </c>
      <c r="D31" s="287">
        <v>0</v>
      </c>
      <c r="E31" s="287">
        <v>0</v>
      </c>
      <c r="F31" s="287">
        <v>0.43099999999999999</v>
      </c>
      <c r="G31" s="287">
        <v>0</v>
      </c>
      <c r="H31" s="287">
        <v>0.29299999999999998</v>
      </c>
      <c r="I31" s="287">
        <v>0</v>
      </c>
      <c r="J31" s="287">
        <v>0</v>
      </c>
      <c r="K31" s="287">
        <v>0</v>
      </c>
      <c r="L31" s="287">
        <v>0</v>
      </c>
      <c r="M31" s="287">
        <v>0</v>
      </c>
      <c r="N31" s="287">
        <v>0</v>
      </c>
      <c r="O31" s="287">
        <v>0.90300000000000002</v>
      </c>
      <c r="P31" s="287">
        <v>0</v>
      </c>
      <c r="Q31" s="287">
        <v>0.629</v>
      </c>
      <c r="R31" s="287">
        <v>2.7639999999999998</v>
      </c>
      <c r="S31" s="287">
        <v>11.606999999999999</v>
      </c>
      <c r="T31" s="287">
        <v>26.331</v>
      </c>
      <c r="U31" s="287">
        <v>37.238999999999997</v>
      </c>
      <c r="V31" s="287">
        <v>8.4000000000000005E-2</v>
      </c>
      <c r="W31" s="287">
        <v>3.3050000000000002</v>
      </c>
      <c r="X31" s="287">
        <v>1.4079999999999999</v>
      </c>
    </row>
    <row r="32" spans="1:24">
      <c r="A32" s="295">
        <v>2011</v>
      </c>
      <c r="B32" s="287">
        <v>0</v>
      </c>
      <c r="C32" s="287">
        <v>0</v>
      </c>
      <c r="D32" s="287">
        <v>0</v>
      </c>
      <c r="E32" s="287">
        <v>0</v>
      </c>
      <c r="F32" s="287">
        <v>0</v>
      </c>
      <c r="G32" s="287">
        <v>0</v>
      </c>
      <c r="H32" s="287">
        <v>0</v>
      </c>
      <c r="I32" s="287">
        <v>0</v>
      </c>
      <c r="J32" s="287">
        <v>0.24299999999999999</v>
      </c>
      <c r="K32" s="287">
        <v>0</v>
      </c>
      <c r="L32" s="287">
        <v>0</v>
      </c>
      <c r="M32" s="287">
        <v>0</v>
      </c>
      <c r="N32" s="287">
        <v>0.55200000000000005</v>
      </c>
      <c r="O32" s="287">
        <v>0</v>
      </c>
      <c r="P32" s="287">
        <v>0.36399999999999999</v>
      </c>
      <c r="Q32" s="287">
        <v>0</v>
      </c>
      <c r="R32" s="287">
        <v>2.137</v>
      </c>
      <c r="S32" s="287">
        <v>13.301</v>
      </c>
      <c r="T32" s="287">
        <v>20.446000000000002</v>
      </c>
      <c r="U32" s="287">
        <v>40</v>
      </c>
      <c r="V32" s="287">
        <v>4.2000000000000003E-2</v>
      </c>
      <c r="W32" s="287">
        <v>2.0110000000000001</v>
      </c>
      <c r="X32" s="287">
        <v>0.89</v>
      </c>
    </row>
    <row r="33" spans="1:24">
      <c r="A33" s="295">
        <v>2012</v>
      </c>
      <c r="B33" s="287">
        <v>0</v>
      </c>
      <c r="C33" s="287">
        <v>0</v>
      </c>
      <c r="D33" s="287">
        <v>0</v>
      </c>
      <c r="E33" s="287">
        <v>0</v>
      </c>
      <c r="F33" s="287">
        <v>0</v>
      </c>
      <c r="G33" s="287">
        <v>0</v>
      </c>
      <c r="H33" s="287">
        <v>0</v>
      </c>
      <c r="I33" s="287">
        <v>0.26200000000000001</v>
      </c>
      <c r="J33" s="287">
        <v>0</v>
      </c>
      <c r="K33" s="287">
        <v>0</v>
      </c>
      <c r="L33" s="287">
        <v>0</v>
      </c>
      <c r="M33" s="287">
        <v>0</v>
      </c>
      <c r="N33" s="287">
        <v>0.48499999999999999</v>
      </c>
      <c r="O33" s="287">
        <v>0</v>
      </c>
      <c r="P33" s="287">
        <v>0.92600000000000005</v>
      </c>
      <c r="Q33" s="287">
        <v>0.432</v>
      </c>
      <c r="R33" s="287">
        <v>4.1929999999999996</v>
      </c>
      <c r="S33" s="287">
        <v>13.362</v>
      </c>
      <c r="T33" s="287">
        <v>25.477</v>
      </c>
      <c r="U33" s="287">
        <v>64.935000000000002</v>
      </c>
      <c r="V33" s="287">
        <v>4.2000000000000003E-2</v>
      </c>
      <c r="W33" s="287">
        <v>2.915</v>
      </c>
      <c r="X33" s="287">
        <v>1.381</v>
      </c>
    </row>
    <row r="34" spans="1:24">
      <c r="A34" s="288">
        <v>2013</v>
      </c>
      <c r="B34" s="289">
        <v>0</v>
      </c>
      <c r="C34" s="289">
        <v>0</v>
      </c>
      <c r="D34" s="289">
        <v>0</v>
      </c>
      <c r="E34" s="289">
        <v>0</v>
      </c>
      <c r="F34" s="289">
        <v>0</v>
      </c>
      <c r="G34" s="289">
        <v>0</v>
      </c>
      <c r="H34" s="289">
        <v>0</v>
      </c>
      <c r="I34" s="289">
        <v>0.24099999999999999</v>
      </c>
      <c r="J34" s="289">
        <v>0</v>
      </c>
      <c r="K34" s="289">
        <v>0</v>
      </c>
      <c r="L34" s="289">
        <v>0</v>
      </c>
      <c r="M34" s="289">
        <v>0</v>
      </c>
      <c r="N34" s="289">
        <v>1.3560000000000001</v>
      </c>
      <c r="O34" s="289">
        <v>0</v>
      </c>
      <c r="P34" s="289">
        <v>1.2430000000000001</v>
      </c>
      <c r="Q34" s="289">
        <v>1.1559999999999999</v>
      </c>
      <c r="R34" s="289">
        <v>1.1830000000000001</v>
      </c>
      <c r="S34" s="289">
        <v>9.8640000000000008</v>
      </c>
      <c r="T34" s="289">
        <v>37.311999999999998</v>
      </c>
      <c r="U34" s="289">
        <v>74.153999999999996</v>
      </c>
      <c r="V34" s="289">
        <v>0.04</v>
      </c>
      <c r="W34" s="289">
        <v>2.883</v>
      </c>
      <c r="X34" s="289">
        <v>1.381</v>
      </c>
    </row>
    <row r="35" spans="1:24">
      <c r="A35" s="294" t="s">
        <v>45</v>
      </c>
      <c r="B35" s="290">
        <f t="shared" ref="B35:X35" si="0">AVERAGE(B4:B34)</f>
        <v>0</v>
      </c>
      <c r="C35" s="290">
        <f t="shared" si="0"/>
        <v>0</v>
      </c>
      <c r="D35" s="290">
        <f t="shared" si="0"/>
        <v>0</v>
      </c>
      <c r="E35" s="290">
        <f t="shared" si="0"/>
        <v>0.11332258064516129</v>
      </c>
      <c r="F35" s="290">
        <f t="shared" si="0"/>
        <v>6.3161290322580638E-2</v>
      </c>
      <c r="G35" s="290">
        <f t="shared" si="0"/>
        <v>2.5612903225806453E-2</v>
      </c>
      <c r="H35" s="290">
        <f t="shared" si="0"/>
        <v>4.5903225806451606E-2</v>
      </c>
      <c r="I35" s="290">
        <f t="shared" si="0"/>
        <v>0.152</v>
      </c>
      <c r="J35" s="290">
        <f t="shared" si="0"/>
        <v>0.1442903225806452</v>
      </c>
      <c r="K35" s="290">
        <f t="shared" si="0"/>
        <v>0.32861290322580644</v>
      </c>
      <c r="L35" s="290">
        <f t="shared" si="0"/>
        <v>0.63525806451612898</v>
      </c>
      <c r="M35" s="290">
        <f t="shared" si="0"/>
        <v>0.55596774193548393</v>
      </c>
      <c r="N35" s="290">
        <f t="shared" si="0"/>
        <v>1.8547741935483866</v>
      </c>
      <c r="O35" s="290">
        <f t="shared" si="0"/>
        <v>2.5104193548387097</v>
      </c>
      <c r="P35" s="290">
        <f t="shared" si="0"/>
        <v>5.3769677419354842</v>
      </c>
      <c r="Q35" s="290">
        <f t="shared" si="0"/>
        <v>9.1232903225806474</v>
      </c>
      <c r="R35" s="290">
        <f t="shared" si="0"/>
        <v>7.4085555555555551</v>
      </c>
      <c r="S35" s="290">
        <f t="shared" si="0"/>
        <v>21.498900000000003</v>
      </c>
      <c r="T35" s="290">
        <f t="shared" si="0"/>
        <v>18.835874999999998</v>
      </c>
      <c r="U35" s="290">
        <f t="shared" si="0"/>
        <v>35.454387096774191</v>
      </c>
      <c r="V35" s="290">
        <f t="shared" si="0"/>
        <v>9.2741935483870983E-2</v>
      </c>
      <c r="W35" s="290">
        <f t="shared" si="0"/>
        <v>4.6393225806451621</v>
      </c>
      <c r="X35" s="290">
        <f t="shared" si="0"/>
        <v>1.7661935483870972</v>
      </c>
    </row>
    <row r="36" spans="1:24">
      <c r="A36" s="294" t="s">
        <v>46</v>
      </c>
      <c r="B36" s="290">
        <f t="shared" ref="B36:X36" si="1">MEDIAN(B4:B34)</f>
        <v>0</v>
      </c>
      <c r="C36" s="290">
        <f t="shared" si="1"/>
        <v>0</v>
      </c>
      <c r="D36" s="290">
        <f t="shared" si="1"/>
        <v>0</v>
      </c>
      <c r="E36" s="290">
        <f t="shared" si="1"/>
        <v>0</v>
      </c>
      <c r="F36" s="290">
        <f t="shared" si="1"/>
        <v>0</v>
      </c>
      <c r="G36" s="290">
        <f t="shared" si="1"/>
        <v>0</v>
      </c>
      <c r="H36" s="290">
        <f t="shared" si="1"/>
        <v>0</v>
      </c>
      <c r="I36" s="290">
        <f t="shared" si="1"/>
        <v>0</v>
      </c>
      <c r="J36" s="290">
        <f t="shared" si="1"/>
        <v>0</v>
      </c>
      <c r="K36" s="290">
        <f t="shared" si="1"/>
        <v>0</v>
      </c>
      <c r="L36" s="290">
        <f t="shared" si="1"/>
        <v>0</v>
      </c>
      <c r="M36" s="290">
        <f t="shared" si="1"/>
        <v>0</v>
      </c>
      <c r="N36" s="290">
        <f t="shared" si="1"/>
        <v>1.288</v>
      </c>
      <c r="O36" s="290">
        <f t="shared" si="1"/>
        <v>2.3140000000000001</v>
      </c>
      <c r="P36" s="290">
        <f t="shared" si="1"/>
        <v>4.9020000000000001</v>
      </c>
      <c r="Q36" s="290">
        <f t="shared" si="1"/>
        <v>7.5590000000000002</v>
      </c>
      <c r="R36" s="290">
        <f t="shared" si="1"/>
        <v>4.9634999999999998</v>
      </c>
      <c r="S36" s="290">
        <f t="shared" si="1"/>
        <v>20.731999999999999</v>
      </c>
      <c r="T36" s="290">
        <f t="shared" si="1"/>
        <v>20.2925</v>
      </c>
      <c r="U36" s="290">
        <f t="shared" si="1"/>
        <v>37.238999999999997</v>
      </c>
      <c r="V36" s="290">
        <f t="shared" si="1"/>
        <v>0.04</v>
      </c>
      <c r="W36" s="290">
        <f t="shared" si="1"/>
        <v>3.47</v>
      </c>
      <c r="X36" s="290">
        <f t="shared" si="1"/>
        <v>1.381</v>
      </c>
    </row>
    <row r="37" spans="1:24">
      <c r="A37" s="294" t="s">
        <v>50</v>
      </c>
      <c r="B37" s="290">
        <f t="shared" ref="B37:X37" si="2">STDEV(B4:B34)</f>
        <v>0</v>
      </c>
      <c r="C37" s="290">
        <f t="shared" si="2"/>
        <v>0</v>
      </c>
      <c r="D37" s="290">
        <f t="shared" si="2"/>
        <v>0</v>
      </c>
      <c r="E37" s="290">
        <f t="shared" si="2"/>
        <v>0.4477866595524238</v>
      </c>
      <c r="F37" s="290">
        <f t="shared" si="2"/>
        <v>0.28247832917166033</v>
      </c>
      <c r="G37" s="290">
        <f t="shared" si="2"/>
        <v>0.10238544083327304</v>
      </c>
      <c r="H37" s="290">
        <f t="shared" si="2"/>
        <v>0.1487930004712833</v>
      </c>
      <c r="I37" s="290">
        <f t="shared" si="2"/>
        <v>0.33569788004493967</v>
      </c>
      <c r="J37" s="290">
        <f t="shared" si="2"/>
        <v>0.28649307071880897</v>
      </c>
      <c r="K37" s="290">
        <f t="shared" si="2"/>
        <v>0.74255301392871864</v>
      </c>
      <c r="L37" s="290">
        <f t="shared" si="2"/>
        <v>1.0931562550017553</v>
      </c>
      <c r="M37" s="290">
        <f t="shared" si="2"/>
        <v>0.76078930433556813</v>
      </c>
      <c r="N37" s="290">
        <f t="shared" si="2"/>
        <v>1.9266278953943934</v>
      </c>
      <c r="O37" s="290">
        <f t="shared" si="2"/>
        <v>2.3606578429778642</v>
      </c>
      <c r="P37" s="290">
        <f t="shared" si="2"/>
        <v>5.459705892468758</v>
      </c>
      <c r="Q37" s="290">
        <f t="shared" si="2"/>
        <v>8.2774199289132291</v>
      </c>
      <c r="R37" s="290">
        <f t="shared" si="2"/>
        <v>7.0800681553899834</v>
      </c>
      <c r="S37" s="290">
        <f t="shared" si="2"/>
        <v>15.098949238046444</v>
      </c>
      <c r="T37" s="290">
        <f t="shared" si="2"/>
        <v>16.570138482569234</v>
      </c>
      <c r="U37" s="290">
        <f t="shared" si="2"/>
        <v>26.172132132833468</v>
      </c>
      <c r="V37" s="290">
        <f t="shared" si="2"/>
        <v>0.15306925834230189</v>
      </c>
      <c r="W37" s="290">
        <f t="shared" si="2"/>
        <v>3.0072328408588151</v>
      </c>
      <c r="X37" s="290">
        <f t="shared" si="2"/>
        <v>1.2673975019531121</v>
      </c>
    </row>
    <row r="38" spans="1:24">
      <c r="A38" s="294" t="s">
        <v>48</v>
      </c>
      <c r="B38" s="290">
        <f t="shared" ref="B38:X38" si="3">MIN(B4:B34)</f>
        <v>0</v>
      </c>
      <c r="C38" s="290">
        <f t="shared" si="3"/>
        <v>0</v>
      </c>
      <c r="D38" s="290">
        <f t="shared" si="3"/>
        <v>0</v>
      </c>
      <c r="E38" s="290">
        <f t="shared" si="3"/>
        <v>0</v>
      </c>
      <c r="F38" s="290">
        <f t="shared" si="3"/>
        <v>0</v>
      </c>
      <c r="G38" s="290">
        <f t="shared" si="3"/>
        <v>0</v>
      </c>
      <c r="H38" s="290">
        <f t="shared" si="3"/>
        <v>0</v>
      </c>
      <c r="I38" s="290">
        <f t="shared" si="3"/>
        <v>0</v>
      </c>
      <c r="J38" s="290">
        <f t="shared" si="3"/>
        <v>0</v>
      </c>
      <c r="K38" s="290">
        <f t="shared" si="3"/>
        <v>0</v>
      </c>
      <c r="L38" s="290">
        <f t="shared" si="3"/>
        <v>0</v>
      </c>
      <c r="M38" s="290">
        <f t="shared" si="3"/>
        <v>0</v>
      </c>
      <c r="N38" s="290">
        <f t="shared" si="3"/>
        <v>0</v>
      </c>
      <c r="O38" s="290">
        <f t="shared" si="3"/>
        <v>0</v>
      </c>
      <c r="P38" s="290">
        <f t="shared" si="3"/>
        <v>0</v>
      </c>
      <c r="Q38" s="290">
        <f t="shared" si="3"/>
        <v>0</v>
      </c>
      <c r="R38" s="290">
        <f t="shared" si="3"/>
        <v>0</v>
      </c>
      <c r="S38" s="290">
        <f t="shared" si="3"/>
        <v>0</v>
      </c>
      <c r="T38" s="290">
        <f t="shared" si="3"/>
        <v>0</v>
      </c>
      <c r="U38" s="290">
        <f t="shared" si="3"/>
        <v>0</v>
      </c>
      <c r="V38" s="290">
        <f t="shared" si="3"/>
        <v>0</v>
      </c>
      <c r="W38" s="290">
        <f t="shared" si="3"/>
        <v>0.98099999999999998</v>
      </c>
      <c r="X38" s="290">
        <f t="shared" si="3"/>
        <v>0.40100000000000002</v>
      </c>
    </row>
    <row r="39" spans="1:24">
      <c r="A39" s="288" t="s">
        <v>49</v>
      </c>
      <c r="B39" s="291">
        <f t="shared" ref="B39:X39" si="4">MAX(B4:B34)</f>
        <v>0</v>
      </c>
      <c r="C39" s="291">
        <f t="shared" si="4"/>
        <v>0</v>
      </c>
      <c r="D39" s="291">
        <f t="shared" si="4"/>
        <v>0</v>
      </c>
      <c r="E39" s="291">
        <f t="shared" si="4"/>
        <v>2.105</v>
      </c>
      <c r="F39" s="291">
        <f t="shared" si="4"/>
        <v>1.5269999999999999</v>
      </c>
      <c r="G39" s="291">
        <f t="shared" si="4"/>
        <v>0.496</v>
      </c>
      <c r="H39" s="291">
        <f t="shared" si="4"/>
        <v>0.61599999999999999</v>
      </c>
      <c r="I39" s="291">
        <f t="shared" si="4"/>
        <v>1.26</v>
      </c>
      <c r="J39" s="291">
        <f t="shared" si="4"/>
        <v>0.88500000000000001</v>
      </c>
      <c r="K39" s="291">
        <f t="shared" si="4"/>
        <v>3.6520000000000001</v>
      </c>
      <c r="L39" s="291">
        <f t="shared" si="4"/>
        <v>3.7879999999999998</v>
      </c>
      <c r="M39" s="291">
        <f t="shared" si="4"/>
        <v>2.9569999999999999</v>
      </c>
      <c r="N39" s="291">
        <f t="shared" si="4"/>
        <v>9.26</v>
      </c>
      <c r="O39" s="291">
        <f t="shared" si="4"/>
        <v>8.1539999999999999</v>
      </c>
      <c r="P39" s="291">
        <f t="shared" si="4"/>
        <v>23.157</v>
      </c>
      <c r="Q39" s="291">
        <f t="shared" si="4"/>
        <v>28.763000000000002</v>
      </c>
      <c r="R39" s="291">
        <f t="shared" si="4"/>
        <v>25.640999999999998</v>
      </c>
      <c r="S39" s="291">
        <f t="shared" si="4"/>
        <v>61.905000000000001</v>
      </c>
      <c r="T39" s="291">
        <f t="shared" si="4"/>
        <v>58.021999999999998</v>
      </c>
      <c r="U39" s="291">
        <f t="shared" si="4"/>
        <v>100</v>
      </c>
      <c r="V39" s="291">
        <f t="shared" si="4"/>
        <v>0.54400000000000004</v>
      </c>
      <c r="W39" s="291">
        <f t="shared" si="4"/>
        <v>13.32</v>
      </c>
      <c r="X39" s="291">
        <f t="shared" si="4"/>
        <v>6.0019999999999998</v>
      </c>
    </row>
    <row r="40" spans="1:24">
      <c r="A40" s="294" t="s">
        <v>39</v>
      </c>
      <c r="B40" s="292"/>
      <c r="C40" s="292"/>
      <c r="D40" s="292"/>
      <c r="E40" s="292"/>
      <c r="F40" s="292"/>
      <c r="G40" s="292"/>
      <c r="H40" s="292"/>
      <c r="I40" s="292"/>
      <c r="J40" s="292"/>
      <c r="K40" s="292"/>
      <c r="L40" s="292"/>
      <c r="M40" s="292"/>
      <c r="N40" s="292"/>
      <c r="O40" s="292"/>
      <c r="P40" s="292"/>
      <c r="Q40" s="292"/>
      <c r="R40" s="292"/>
      <c r="S40" s="292"/>
      <c r="T40" s="292"/>
      <c r="U40" s="292"/>
      <c r="V40" s="292"/>
      <c r="W40" s="292"/>
      <c r="X40" s="292"/>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zoomScaleNormal="100" workbookViewId="0"/>
  </sheetViews>
  <sheetFormatPr defaultRowHeight="15"/>
  <cols>
    <col min="1" max="1" width="12.140625" style="10" customWidth="1"/>
    <col min="2" max="21" width="7.7109375" style="10" customWidth="1"/>
    <col min="22" max="22" width="11.28515625" style="10" bestFit="1" customWidth="1"/>
    <col min="23" max="16384" width="9.140625" style="10"/>
  </cols>
  <sheetData>
    <row r="1" spans="1:23">
      <c r="A1" s="80" t="s">
        <v>223</v>
      </c>
      <c r="B1" s="78"/>
      <c r="D1" s="78"/>
    </row>
    <row r="2" spans="1:23">
      <c r="A2" s="80"/>
      <c r="B2" s="78"/>
      <c r="D2" s="78"/>
    </row>
    <row r="3" spans="1:23">
      <c r="A3" s="154" t="s">
        <v>0</v>
      </c>
      <c r="B3" s="154">
        <v>1</v>
      </c>
      <c r="C3" s="154">
        <v>2</v>
      </c>
      <c r="D3" s="154">
        <v>3</v>
      </c>
      <c r="E3" s="154">
        <v>4</v>
      </c>
      <c r="F3" s="154">
        <v>5</v>
      </c>
      <c r="G3" s="154">
        <v>6</v>
      </c>
      <c r="H3" s="154">
        <v>7</v>
      </c>
      <c r="I3" s="154">
        <v>8</v>
      </c>
      <c r="J3" s="154">
        <v>9</v>
      </c>
      <c r="K3" s="154">
        <v>10</v>
      </c>
      <c r="L3" s="154">
        <v>11</v>
      </c>
      <c r="M3" s="154">
        <v>12</v>
      </c>
      <c r="N3" s="154">
        <v>13</v>
      </c>
      <c r="O3" s="154">
        <v>14</v>
      </c>
      <c r="P3" s="154">
        <v>15</v>
      </c>
      <c r="Q3" s="154">
        <v>16</v>
      </c>
      <c r="R3" s="154">
        <v>17</v>
      </c>
      <c r="S3" s="154">
        <v>18</v>
      </c>
      <c r="T3" s="154">
        <v>19</v>
      </c>
      <c r="U3" s="154">
        <v>20</v>
      </c>
    </row>
    <row r="4" spans="1:23">
      <c r="A4" s="10" t="s">
        <v>1</v>
      </c>
      <c r="B4" s="76">
        <v>0</v>
      </c>
      <c r="C4" s="76">
        <v>8.9999999999999993E-3</v>
      </c>
      <c r="D4" s="76">
        <v>0.03</v>
      </c>
      <c r="E4" s="76">
        <v>8.4000000000000005E-2</v>
      </c>
      <c r="F4" s="76">
        <v>0.16200000000000001</v>
      </c>
      <c r="G4" s="76">
        <v>0.248</v>
      </c>
      <c r="H4" s="76">
        <v>0.35699999999999998</v>
      </c>
      <c r="I4" s="76">
        <v>0.50800000000000001</v>
      </c>
      <c r="J4" s="76">
        <v>0.66600000000000004</v>
      </c>
      <c r="K4" s="76">
        <v>0.85099999999999998</v>
      </c>
      <c r="L4" s="76">
        <v>1.008</v>
      </c>
      <c r="M4" s="76">
        <v>1.139</v>
      </c>
      <c r="N4" s="76">
        <v>1.2769999999999999</v>
      </c>
      <c r="O4" s="76">
        <v>1.3169999999999999</v>
      </c>
      <c r="P4" s="76">
        <v>1.3540000000000001</v>
      </c>
      <c r="Q4" s="76">
        <v>1.4279999999999999</v>
      </c>
      <c r="R4" s="76">
        <v>1.502</v>
      </c>
      <c r="S4" s="76">
        <v>1.5629999999999999</v>
      </c>
      <c r="T4" s="76">
        <v>1.6339999999999999</v>
      </c>
      <c r="U4" s="76">
        <v>1.6819999999999999</v>
      </c>
      <c r="W4" s="76"/>
    </row>
    <row r="5" spans="1:23">
      <c r="A5" s="10" t="s">
        <v>2</v>
      </c>
      <c r="B5" s="76">
        <v>7.1999999999999995E-2</v>
      </c>
      <c r="C5" s="76">
        <v>0.21299999999999999</v>
      </c>
      <c r="D5" s="76">
        <v>0.34200000000000003</v>
      </c>
      <c r="E5" s="76">
        <v>0.53900000000000003</v>
      </c>
      <c r="F5" s="76">
        <v>0.83399999999999996</v>
      </c>
      <c r="G5" s="76">
        <v>1.167</v>
      </c>
      <c r="H5" s="76">
        <v>1.498</v>
      </c>
      <c r="I5" s="76">
        <v>1.8149999999999999</v>
      </c>
      <c r="J5" s="76">
        <v>2.1179999999999999</v>
      </c>
      <c r="K5" s="76">
        <v>2.464</v>
      </c>
      <c r="L5" s="76">
        <v>2.8610000000000002</v>
      </c>
      <c r="M5" s="76">
        <v>3.2909999999999999</v>
      </c>
      <c r="N5" s="76">
        <v>3.718</v>
      </c>
      <c r="O5" s="76">
        <v>4.1269999999999998</v>
      </c>
      <c r="P5" s="76">
        <v>4.431</v>
      </c>
      <c r="Q5" s="76">
        <v>4.6660000000000004</v>
      </c>
      <c r="R5" s="76">
        <v>4.8769999999999998</v>
      </c>
      <c r="S5" s="76">
        <v>5.1269999999999998</v>
      </c>
      <c r="T5" s="76">
        <v>5.4329999999999998</v>
      </c>
      <c r="U5" s="76">
        <v>5.6890000000000001</v>
      </c>
    </row>
    <row r="6" spans="1:23">
      <c r="A6" s="10" t="s">
        <v>3</v>
      </c>
      <c r="B6" s="76">
        <v>9.9000000000000005E-2</v>
      </c>
      <c r="C6" s="76">
        <v>0.30599999999999999</v>
      </c>
      <c r="D6" s="76">
        <v>0.63400000000000001</v>
      </c>
      <c r="E6" s="76">
        <v>0.996</v>
      </c>
      <c r="F6" s="76">
        <v>1.379</v>
      </c>
      <c r="G6" s="76">
        <v>1.79</v>
      </c>
      <c r="H6" s="76">
        <v>2.2330000000000001</v>
      </c>
      <c r="I6" s="76">
        <v>2.6829999999999998</v>
      </c>
      <c r="J6" s="76">
        <v>3.1669999999999998</v>
      </c>
      <c r="K6" s="76">
        <v>3.6440000000000001</v>
      </c>
      <c r="L6" s="76">
        <v>4.1280000000000001</v>
      </c>
      <c r="M6" s="76">
        <v>4.6020000000000003</v>
      </c>
      <c r="N6" s="76">
        <v>5.0229999999999997</v>
      </c>
      <c r="O6" s="76">
        <v>5.4390000000000001</v>
      </c>
      <c r="P6" s="76">
        <v>5.9290000000000003</v>
      </c>
      <c r="Q6" s="76">
        <v>6.3659999999999997</v>
      </c>
      <c r="R6" s="76">
        <v>6.7350000000000003</v>
      </c>
      <c r="S6" s="76">
        <v>7.1079999999999997</v>
      </c>
      <c r="T6" s="76">
        <v>7.4539999999999997</v>
      </c>
      <c r="U6" s="76">
        <v>7.8029999999999999</v>
      </c>
    </row>
    <row r="7" spans="1:23">
      <c r="A7" s="10" t="s">
        <v>4</v>
      </c>
      <c r="B7" s="76">
        <v>0.28199999999999997</v>
      </c>
      <c r="C7" s="76">
        <v>0.84099999999999997</v>
      </c>
      <c r="D7" s="76">
        <v>1.4910000000000001</v>
      </c>
      <c r="E7" s="76">
        <v>2.1949999999999998</v>
      </c>
      <c r="F7" s="76">
        <v>2.9430000000000001</v>
      </c>
      <c r="G7" s="76">
        <v>3.6869999999999998</v>
      </c>
      <c r="H7" s="76">
        <v>4.3979999999999997</v>
      </c>
      <c r="I7" s="76">
        <v>5.1219999999999999</v>
      </c>
      <c r="J7" s="76">
        <v>5.8760000000000003</v>
      </c>
      <c r="K7" s="76">
        <v>6.6319999999999997</v>
      </c>
      <c r="L7" s="76">
        <v>7.3760000000000003</v>
      </c>
      <c r="M7" s="76">
        <v>8.1180000000000003</v>
      </c>
      <c r="N7" s="76">
        <v>8.8689999999999998</v>
      </c>
      <c r="O7" s="76">
        <v>9.5510000000000002</v>
      </c>
      <c r="P7" s="76">
        <v>10.164</v>
      </c>
      <c r="Q7" s="76">
        <v>10.801</v>
      </c>
      <c r="R7" s="76">
        <v>11.401</v>
      </c>
      <c r="S7" s="76">
        <v>11.932</v>
      </c>
      <c r="T7" s="76">
        <v>12.436999999999999</v>
      </c>
      <c r="U7" s="76">
        <v>12.972</v>
      </c>
    </row>
    <row r="8" spans="1:23">
      <c r="A8" s="10" t="s">
        <v>5</v>
      </c>
      <c r="B8" s="76">
        <v>1.3480000000000001</v>
      </c>
      <c r="C8" s="76">
        <v>3.2040000000000002</v>
      </c>
      <c r="D8" s="76">
        <v>5.2629999999999999</v>
      </c>
      <c r="E8" s="76">
        <v>7.4279999999999999</v>
      </c>
      <c r="F8" s="76">
        <v>9.4849999999999994</v>
      </c>
      <c r="G8" s="76">
        <v>11.44</v>
      </c>
      <c r="H8" s="76">
        <v>13.215999999999999</v>
      </c>
      <c r="I8" s="76">
        <v>14.946</v>
      </c>
      <c r="J8" s="76">
        <v>16.594999999999999</v>
      </c>
      <c r="K8" s="76">
        <v>18.332999999999998</v>
      </c>
      <c r="L8" s="76">
        <v>19.882000000000001</v>
      </c>
      <c r="M8" s="76">
        <v>21.423999999999999</v>
      </c>
      <c r="N8" s="76">
        <v>22.914999999999999</v>
      </c>
      <c r="O8" s="76">
        <v>24.248000000000001</v>
      </c>
      <c r="P8" s="76">
        <v>25.486000000000001</v>
      </c>
      <c r="Q8" s="76">
        <v>26.63</v>
      </c>
      <c r="R8" s="76">
        <v>27.774999999999999</v>
      </c>
      <c r="S8" s="76">
        <v>28.844999999999999</v>
      </c>
      <c r="T8" s="76">
        <v>29.795999999999999</v>
      </c>
      <c r="U8" s="76">
        <v>30.698</v>
      </c>
    </row>
    <row r="9" spans="1:23">
      <c r="A9" s="10" t="s">
        <v>6</v>
      </c>
      <c r="B9" s="76">
        <v>3.714</v>
      </c>
      <c r="C9" s="76">
        <v>8.4369999999999994</v>
      </c>
      <c r="D9" s="76">
        <v>13.124000000000001</v>
      </c>
      <c r="E9" s="76">
        <v>17.273</v>
      </c>
      <c r="F9" s="76">
        <v>20.943999999999999</v>
      </c>
      <c r="G9" s="76">
        <v>24.228999999999999</v>
      </c>
      <c r="H9" s="76">
        <v>27.26</v>
      </c>
      <c r="I9" s="76">
        <v>29.808</v>
      </c>
      <c r="J9" s="76">
        <v>32.073999999999998</v>
      </c>
      <c r="K9" s="76">
        <v>34.088000000000001</v>
      </c>
      <c r="L9" s="76">
        <v>35.89</v>
      </c>
      <c r="M9" s="76">
        <v>37.576000000000001</v>
      </c>
      <c r="N9" s="76">
        <v>39.18</v>
      </c>
      <c r="O9" s="76">
        <v>40.725000000000001</v>
      </c>
      <c r="P9" s="76">
        <v>42.139000000000003</v>
      </c>
      <c r="Q9" s="76">
        <v>43.505000000000003</v>
      </c>
      <c r="R9" s="76">
        <v>44.7</v>
      </c>
      <c r="S9" s="76">
        <v>45.677</v>
      </c>
      <c r="T9" s="76">
        <v>46.384</v>
      </c>
      <c r="U9" s="76">
        <v>46.856000000000002</v>
      </c>
    </row>
    <row r="10" spans="1:23">
      <c r="A10" s="10" t="s">
        <v>71</v>
      </c>
      <c r="B10" s="76">
        <v>13.83</v>
      </c>
      <c r="C10" s="76">
        <v>23.373999999999999</v>
      </c>
      <c r="D10" s="76">
        <v>30.462</v>
      </c>
      <c r="E10" s="76">
        <v>35.936</v>
      </c>
      <c r="F10" s="76">
        <v>40.375</v>
      </c>
      <c r="G10" s="76">
        <v>43.750999999999998</v>
      </c>
      <c r="H10" s="76">
        <v>46.417000000000002</v>
      </c>
      <c r="I10" s="76">
        <v>48.728000000000002</v>
      </c>
      <c r="J10" s="76">
        <v>50.960999999999999</v>
      </c>
      <c r="K10" s="76">
        <v>52.85</v>
      </c>
      <c r="L10" s="76">
        <v>54.819000000000003</v>
      </c>
      <c r="M10" s="76">
        <v>56.805999999999997</v>
      </c>
      <c r="N10" s="76">
        <v>58.652999999999999</v>
      </c>
      <c r="O10" s="76">
        <v>60.496000000000002</v>
      </c>
      <c r="P10" s="76">
        <v>62.359000000000002</v>
      </c>
      <c r="Q10" s="76">
        <v>64.126000000000005</v>
      </c>
      <c r="R10" s="76">
        <v>65.691999999999993</v>
      </c>
      <c r="S10" s="76">
        <v>67.105999999999995</v>
      </c>
      <c r="T10" s="76">
        <v>68.421000000000006</v>
      </c>
      <c r="U10" s="76">
        <v>69.718999999999994</v>
      </c>
    </row>
    <row r="11" spans="1:23">
      <c r="A11" s="296" t="s">
        <v>41</v>
      </c>
      <c r="B11" s="76">
        <v>0.158</v>
      </c>
      <c r="C11" s="76">
        <v>0.47099999999999997</v>
      </c>
      <c r="D11" s="76">
        <v>0.85899999999999999</v>
      </c>
      <c r="E11" s="76">
        <v>1.292</v>
      </c>
      <c r="F11" s="76">
        <v>1.768</v>
      </c>
      <c r="G11" s="76">
        <v>2.2589999999999999</v>
      </c>
      <c r="H11" s="76">
        <v>2.7509999999999999</v>
      </c>
      <c r="I11" s="76">
        <v>3.2480000000000002</v>
      </c>
      <c r="J11" s="76">
        <v>3.7629999999999999</v>
      </c>
      <c r="K11" s="76">
        <v>4.2859999999999996</v>
      </c>
      <c r="L11" s="76">
        <v>4.8140000000000001</v>
      </c>
      <c r="M11" s="76">
        <v>5.3410000000000002</v>
      </c>
      <c r="N11" s="76">
        <v>5.8490000000000002</v>
      </c>
      <c r="O11" s="76">
        <v>6.319</v>
      </c>
      <c r="P11" s="76">
        <v>6.7720000000000002</v>
      </c>
      <c r="Q11" s="76">
        <v>7.1989999999999998</v>
      </c>
      <c r="R11" s="76">
        <v>7.5819999999999999</v>
      </c>
      <c r="S11" s="76">
        <v>7.95</v>
      </c>
      <c r="T11" s="76">
        <v>8.3119999999999994</v>
      </c>
      <c r="U11" s="76">
        <v>8.6720000000000006</v>
      </c>
    </row>
    <row r="12" spans="1:23">
      <c r="A12" s="296" t="s">
        <v>42</v>
      </c>
      <c r="B12" s="76">
        <v>3.863</v>
      </c>
      <c r="C12" s="76">
        <v>7.8070000000000004</v>
      </c>
      <c r="D12" s="76">
        <v>11.493</v>
      </c>
      <c r="E12" s="76">
        <v>14.784000000000001</v>
      </c>
      <c r="F12" s="76">
        <v>17.681999999999999</v>
      </c>
      <c r="G12" s="76">
        <v>20.242000000000001</v>
      </c>
      <c r="H12" s="76">
        <v>22.521000000000001</v>
      </c>
      <c r="I12" s="76">
        <v>24.552</v>
      </c>
      <c r="J12" s="76">
        <v>26.422000000000001</v>
      </c>
      <c r="K12" s="76">
        <v>28.22</v>
      </c>
      <c r="L12" s="76">
        <v>29.843</v>
      </c>
      <c r="M12" s="76">
        <v>31.422999999999998</v>
      </c>
      <c r="N12" s="76">
        <v>32.933999999999997</v>
      </c>
      <c r="O12" s="76">
        <v>34.332000000000001</v>
      </c>
      <c r="P12" s="76">
        <v>35.637999999999998</v>
      </c>
      <c r="Q12" s="76">
        <v>36.866999999999997</v>
      </c>
      <c r="R12" s="76">
        <v>38.036000000000001</v>
      </c>
      <c r="S12" s="76">
        <v>39.091999999999999</v>
      </c>
      <c r="T12" s="76">
        <v>40</v>
      </c>
      <c r="U12" s="76">
        <v>40.822000000000003</v>
      </c>
    </row>
    <row r="13" spans="1:23">
      <c r="A13" s="297" t="s">
        <v>43</v>
      </c>
      <c r="B13" s="273">
        <v>1.579</v>
      </c>
      <c r="C13" s="273">
        <v>3.2250000000000001</v>
      </c>
      <c r="D13" s="273">
        <v>4.7670000000000003</v>
      </c>
      <c r="E13" s="273">
        <v>6.15</v>
      </c>
      <c r="F13" s="273">
        <v>7.3879999999999999</v>
      </c>
      <c r="G13" s="273">
        <v>8.4939999999999998</v>
      </c>
      <c r="H13" s="273">
        <v>9.4870000000000001</v>
      </c>
      <c r="I13" s="273">
        <v>10.393000000000001</v>
      </c>
      <c r="J13" s="273">
        <v>11.253</v>
      </c>
      <c r="K13" s="273">
        <v>12.086</v>
      </c>
      <c r="L13" s="273">
        <v>12.868</v>
      </c>
      <c r="M13" s="273">
        <v>13.63</v>
      </c>
      <c r="N13" s="273">
        <v>14.355</v>
      </c>
      <c r="O13" s="273">
        <v>15.021000000000001</v>
      </c>
      <c r="P13" s="273">
        <v>15.647</v>
      </c>
      <c r="Q13" s="273">
        <v>16.233000000000001</v>
      </c>
      <c r="R13" s="273">
        <v>16.77</v>
      </c>
      <c r="S13" s="273">
        <v>17.27</v>
      </c>
      <c r="T13" s="273">
        <v>17.733000000000001</v>
      </c>
      <c r="U13" s="273">
        <v>18.175999999999998</v>
      </c>
    </row>
    <row r="14" spans="1:23">
      <c r="A14" s="298" t="s">
        <v>72</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4"/>
  <sheetViews>
    <sheetView zoomScaleNormal="100" workbookViewId="0"/>
  </sheetViews>
  <sheetFormatPr defaultRowHeight="15"/>
  <cols>
    <col min="1" max="1" width="12.140625" style="10" customWidth="1"/>
    <col min="2" max="21" width="7.7109375" style="10" customWidth="1"/>
    <col min="22" max="22" width="11.28515625" style="10" bestFit="1" customWidth="1"/>
    <col min="23" max="16384" width="9.140625" style="10"/>
  </cols>
  <sheetData>
    <row r="1" spans="1:23">
      <c r="A1" s="80" t="s">
        <v>224</v>
      </c>
      <c r="B1" s="78"/>
      <c r="D1" s="78"/>
    </row>
    <row r="2" spans="1:23">
      <c r="A2" s="80"/>
      <c r="B2" s="78"/>
      <c r="D2" s="78"/>
    </row>
    <row r="3" spans="1:23">
      <c r="A3" s="154" t="s">
        <v>0</v>
      </c>
      <c r="B3" s="154">
        <v>1</v>
      </c>
      <c r="C3" s="154">
        <v>2</v>
      </c>
      <c r="D3" s="154">
        <v>3</v>
      </c>
      <c r="E3" s="154">
        <v>4</v>
      </c>
      <c r="F3" s="154">
        <v>5</v>
      </c>
      <c r="G3" s="154">
        <v>6</v>
      </c>
      <c r="H3" s="154">
        <v>7</v>
      </c>
      <c r="I3" s="154">
        <v>8</v>
      </c>
      <c r="J3" s="154">
        <v>9</v>
      </c>
      <c r="K3" s="154">
        <v>10</v>
      </c>
      <c r="L3" s="154">
        <v>11</v>
      </c>
      <c r="M3" s="154">
        <v>12</v>
      </c>
      <c r="N3" s="154">
        <v>13</v>
      </c>
      <c r="O3" s="154">
        <v>14</v>
      </c>
      <c r="P3" s="154">
        <v>15</v>
      </c>
      <c r="Q3" s="154">
        <v>16</v>
      </c>
      <c r="R3" s="154">
        <v>17</v>
      </c>
      <c r="S3" s="154">
        <v>18</v>
      </c>
      <c r="T3" s="154">
        <v>19</v>
      </c>
      <c r="U3" s="154">
        <v>20</v>
      </c>
    </row>
    <row r="4" spans="1:23">
      <c r="A4" s="10" t="s">
        <v>1</v>
      </c>
      <c r="B4" s="76">
        <v>0</v>
      </c>
      <c r="C4" s="76">
        <v>1.2999999999999999E-2</v>
      </c>
      <c r="D4" s="76">
        <v>1.2999999999999999E-2</v>
      </c>
      <c r="E4" s="76">
        <v>3.6999999999999998E-2</v>
      </c>
      <c r="F4" s="76">
        <v>0.104</v>
      </c>
      <c r="G4" s="76">
        <v>0.17</v>
      </c>
      <c r="H4" s="76">
        <v>0.24099999999999999</v>
      </c>
      <c r="I4" s="76">
        <v>0.318</v>
      </c>
      <c r="J4" s="76">
        <v>0.40100000000000002</v>
      </c>
      <c r="K4" s="76">
        <v>0.48899999999999999</v>
      </c>
      <c r="L4" s="76">
        <v>0.58399999999999996</v>
      </c>
      <c r="M4" s="76">
        <v>0.68600000000000005</v>
      </c>
      <c r="N4" s="76">
        <v>0.79</v>
      </c>
      <c r="O4" s="76">
        <v>0.84799999999999998</v>
      </c>
      <c r="P4" s="76">
        <v>0.91</v>
      </c>
      <c r="Q4" s="76">
        <v>0.97699999999999998</v>
      </c>
      <c r="R4" s="76">
        <v>1.048</v>
      </c>
      <c r="S4" s="76">
        <v>1.073</v>
      </c>
      <c r="T4" s="76">
        <v>1.073</v>
      </c>
      <c r="U4" s="76">
        <v>1.073</v>
      </c>
      <c r="W4" s="76"/>
    </row>
    <row r="5" spans="1:23">
      <c r="A5" s="10" t="s">
        <v>2</v>
      </c>
      <c r="B5" s="76">
        <v>2.1999999999999999E-2</v>
      </c>
      <c r="C5" s="76">
        <v>6.8000000000000005E-2</v>
      </c>
      <c r="D5" s="76">
        <v>0.13600000000000001</v>
      </c>
      <c r="E5" s="76">
        <v>0.26</v>
      </c>
      <c r="F5" s="76">
        <v>0.41</v>
      </c>
      <c r="G5" s="76">
        <v>0.55000000000000004</v>
      </c>
      <c r="H5" s="76">
        <v>0.68200000000000005</v>
      </c>
      <c r="I5" s="76">
        <v>0.8</v>
      </c>
      <c r="J5" s="76">
        <v>0.9</v>
      </c>
      <c r="K5" s="76">
        <v>1.0169999999999999</v>
      </c>
      <c r="L5" s="76">
        <v>1.1619999999999999</v>
      </c>
      <c r="M5" s="76">
        <v>1.349</v>
      </c>
      <c r="N5" s="76">
        <v>1.5669999999999999</v>
      </c>
      <c r="O5" s="76">
        <v>1.74</v>
      </c>
      <c r="P5" s="76">
        <v>1.871</v>
      </c>
      <c r="Q5" s="76">
        <v>2.0139999999999998</v>
      </c>
      <c r="R5" s="76">
        <v>2.1930000000000001</v>
      </c>
      <c r="S5" s="76">
        <v>2.4289999999999998</v>
      </c>
      <c r="T5" s="76">
        <v>2.8</v>
      </c>
      <c r="U5" s="76">
        <v>3.1669999999999998</v>
      </c>
    </row>
    <row r="6" spans="1:23">
      <c r="A6" s="10" t="s">
        <v>3</v>
      </c>
      <c r="B6" s="76">
        <v>6.2E-2</v>
      </c>
      <c r="C6" s="76">
        <v>0.19900000000000001</v>
      </c>
      <c r="D6" s="76">
        <v>0.434</v>
      </c>
      <c r="E6" s="76">
        <v>0.67900000000000005</v>
      </c>
      <c r="F6" s="76">
        <v>0.95799999999999996</v>
      </c>
      <c r="G6" s="76">
        <v>1.2709999999999999</v>
      </c>
      <c r="H6" s="76">
        <v>1.615</v>
      </c>
      <c r="I6" s="76">
        <v>1.9950000000000001</v>
      </c>
      <c r="J6" s="76">
        <v>2.387</v>
      </c>
      <c r="K6" s="76">
        <v>2.7589999999999999</v>
      </c>
      <c r="L6" s="76">
        <v>3.1139999999999999</v>
      </c>
      <c r="M6" s="76">
        <v>3.456</v>
      </c>
      <c r="N6" s="76">
        <v>3.7970000000000002</v>
      </c>
      <c r="O6" s="76">
        <v>4.1529999999999996</v>
      </c>
      <c r="P6" s="76">
        <v>4.5830000000000002</v>
      </c>
      <c r="Q6" s="76">
        <v>5.0270000000000001</v>
      </c>
      <c r="R6" s="76">
        <v>5.52</v>
      </c>
      <c r="S6" s="76">
        <v>6.0529999999999999</v>
      </c>
      <c r="T6" s="76">
        <v>6.5350000000000001</v>
      </c>
      <c r="U6" s="76">
        <v>7.0439999999999996</v>
      </c>
    </row>
    <row r="7" spans="1:23">
      <c r="A7" s="10" t="s">
        <v>4</v>
      </c>
      <c r="B7" s="76">
        <v>0.17399999999999999</v>
      </c>
      <c r="C7" s="76">
        <v>0.504</v>
      </c>
      <c r="D7" s="76">
        <v>0.90600000000000003</v>
      </c>
      <c r="E7" s="76">
        <v>1.373</v>
      </c>
      <c r="F7" s="76">
        <v>1.8620000000000001</v>
      </c>
      <c r="G7" s="76">
        <v>2.375</v>
      </c>
      <c r="H7" s="76">
        <v>2.8719999999999999</v>
      </c>
      <c r="I7" s="76">
        <v>3.3860000000000001</v>
      </c>
      <c r="J7" s="76">
        <v>3.9649999999999999</v>
      </c>
      <c r="K7" s="76">
        <v>4.6230000000000002</v>
      </c>
      <c r="L7" s="76">
        <v>5.3109999999999999</v>
      </c>
      <c r="M7" s="76">
        <v>6.0259999999999998</v>
      </c>
      <c r="N7" s="76">
        <v>6.7789999999999999</v>
      </c>
      <c r="O7" s="76">
        <v>7.548</v>
      </c>
      <c r="P7" s="76">
        <v>8.3059999999999992</v>
      </c>
      <c r="Q7" s="76">
        <v>9.1349999999999998</v>
      </c>
      <c r="R7" s="76">
        <v>9.9320000000000004</v>
      </c>
      <c r="S7" s="76">
        <v>10.675000000000001</v>
      </c>
      <c r="T7" s="76">
        <v>11.339</v>
      </c>
      <c r="U7" s="76">
        <v>11.989000000000001</v>
      </c>
    </row>
    <row r="8" spans="1:23">
      <c r="A8" s="10" t="s">
        <v>5</v>
      </c>
      <c r="B8" s="76">
        <v>1.1100000000000001</v>
      </c>
      <c r="C8" s="76">
        <v>3.0710000000000002</v>
      </c>
      <c r="D8" s="76">
        <v>5.3710000000000004</v>
      </c>
      <c r="E8" s="76">
        <v>7.8390000000000004</v>
      </c>
      <c r="F8" s="76">
        <v>10.065</v>
      </c>
      <c r="G8" s="76">
        <v>12.122999999999999</v>
      </c>
      <c r="H8" s="76">
        <v>13.911</v>
      </c>
      <c r="I8" s="76">
        <v>15.7</v>
      </c>
      <c r="J8" s="76">
        <v>17.478999999999999</v>
      </c>
      <c r="K8" s="76">
        <v>19.323</v>
      </c>
      <c r="L8" s="76">
        <v>21.196000000000002</v>
      </c>
      <c r="M8" s="76">
        <v>23.103000000000002</v>
      </c>
      <c r="N8" s="76">
        <v>24.914000000000001</v>
      </c>
      <c r="O8" s="76">
        <v>26.7</v>
      </c>
      <c r="P8" s="76">
        <v>28.5</v>
      </c>
      <c r="Q8" s="76">
        <v>30.164999999999999</v>
      </c>
      <c r="R8" s="76">
        <v>31.68</v>
      </c>
      <c r="S8" s="76">
        <v>32.965000000000003</v>
      </c>
      <c r="T8" s="76">
        <v>34.302999999999997</v>
      </c>
      <c r="U8" s="76">
        <v>35.409999999999997</v>
      </c>
    </row>
    <row r="9" spans="1:23">
      <c r="A9" s="10" t="s">
        <v>6</v>
      </c>
      <c r="B9" s="76">
        <v>3.9039999999999999</v>
      </c>
      <c r="C9" s="76">
        <v>9.2739999999999991</v>
      </c>
      <c r="D9" s="76">
        <v>14.723000000000001</v>
      </c>
      <c r="E9" s="76">
        <v>19.509</v>
      </c>
      <c r="F9" s="76">
        <v>23.869</v>
      </c>
      <c r="G9" s="76">
        <v>27.957000000000001</v>
      </c>
      <c r="H9" s="76">
        <v>31.774000000000001</v>
      </c>
      <c r="I9" s="76">
        <v>34.993000000000002</v>
      </c>
      <c r="J9" s="76">
        <v>37.936</v>
      </c>
      <c r="K9" s="76">
        <v>40.56</v>
      </c>
      <c r="L9" s="76">
        <v>42.731999999999999</v>
      </c>
      <c r="M9" s="76">
        <v>44.776000000000003</v>
      </c>
      <c r="N9" s="76">
        <v>46.658999999999999</v>
      </c>
      <c r="O9" s="76">
        <v>48.558</v>
      </c>
      <c r="P9" s="76">
        <v>50.274999999999999</v>
      </c>
      <c r="Q9" s="76">
        <v>51.719000000000001</v>
      </c>
      <c r="R9" s="76">
        <v>52.863</v>
      </c>
      <c r="S9" s="76">
        <v>54.027000000000001</v>
      </c>
      <c r="T9" s="76">
        <v>54.890999999999998</v>
      </c>
      <c r="U9" s="76">
        <v>55.892000000000003</v>
      </c>
    </row>
    <row r="10" spans="1:23">
      <c r="A10" s="10" t="s">
        <v>7</v>
      </c>
      <c r="B10" s="76">
        <v>15.894</v>
      </c>
      <c r="C10" s="76">
        <v>27.003</v>
      </c>
      <c r="D10" s="76">
        <v>35.799999999999997</v>
      </c>
      <c r="E10" s="76">
        <v>42.795999999999999</v>
      </c>
      <c r="F10" s="76">
        <v>48.828000000000003</v>
      </c>
      <c r="G10" s="76">
        <v>53.27</v>
      </c>
      <c r="H10" s="76">
        <v>56.878</v>
      </c>
      <c r="I10" s="76">
        <v>60.366</v>
      </c>
      <c r="J10" s="76">
        <v>63.73</v>
      </c>
      <c r="K10" s="76">
        <v>66.212000000000003</v>
      </c>
      <c r="L10" s="76">
        <v>68.302000000000007</v>
      </c>
      <c r="M10" s="76">
        <v>69.765000000000001</v>
      </c>
      <c r="N10" s="76">
        <v>71.650000000000006</v>
      </c>
      <c r="O10" s="76">
        <v>72.379000000000005</v>
      </c>
      <c r="P10" s="76">
        <v>73.152000000000001</v>
      </c>
      <c r="Q10" s="76">
        <v>74.572000000000003</v>
      </c>
      <c r="R10" s="76">
        <v>74.945999999999998</v>
      </c>
      <c r="S10" s="76">
        <v>74.945999999999998</v>
      </c>
      <c r="T10" s="76">
        <v>74.945999999999998</v>
      </c>
      <c r="U10" s="76">
        <v>74.945999999999998</v>
      </c>
    </row>
    <row r="11" spans="1:23">
      <c r="A11" s="296" t="s">
        <v>41</v>
      </c>
      <c r="B11" s="76">
        <v>9.0999999999999998E-2</v>
      </c>
      <c r="C11" s="76">
        <v>0.27200000000000002</v>
      </c>
      <c r="D11" s="76">
        <v>0.51900000000000002</v>
      </c>
      <c r="E11" s="76">
        <v>0.80200000000000005</v>
      </c>
      <c r="F11" s="76">
        <v>1.113</v>
      </c>
      <c r="G11" s="76">
        <v>1.4410000000000001</v>
      </c>
      <c r="H11" s="76">
        <v>1.776</v>
      </c>
      <c r="I11" s="76">
        <v>2.1259999999999999</v>
      </c>
      <c r="J11" s="76">
        <v>2.4980000000000002</v>
      </c>
      <c r="K11" s="76">
        <v>2.887</v>
      </c>
      <c r="L11" s="76">
        <v>3.2810000000000001</v>
      </c>
      <c r="M11" s="76">
        <v>3.6829999999999998</v>
      </c>
      <c r="N11" s="76">
        <v>4.0990000000000002</v>
      </c>
      <c r="O11" s="76">
        <v>4.51</v>
      </c>
      <c r="P11" s="76">
        <v>4.9379999999999997</v>
      </c>
      <c r="Q11" s="76">
        <v>5.391</v>
      </c>
      <c r="R11" s="76">
        <v>5.86</v>
      </c>
      <c r="S11" s="76">
        <v>6.3380000000000001</v>
      </c>
      <c r="T11" s="76">
        <v>6.7960000000000003</v>
      </c>
      <c r="U11" s="76">
        <v>7.26</v>
      </c>
    </row>
    <row r="12" spans="1:23">
      <c r="A12" s="296" t="s">
        <v>42</v>
      </c>
      <c r="B12" s="76">
        <v>4.46</v>
      </c>
      <c r="C12" s="76">
        <v>9.1609999999999996</v>
      </c>
      <c r="D12" s="76">
        <v>13.634</v>
      </c>
      <c r="E12" s="76">
        <v>17.571000000000002</v>
      </c>
      <c r="F12" s="76">
        <v>21.013999999999999</v>
      </c>
      <c r="G12" s="76">
        <v>24.042000000000002</v>
      </c>
      <c r="H12" s="76">
        <v>26.69</v>
      </c>
      <c r="I12" s="76">
        <v>29.035</v>
      </c>
      <c r="J12" s="76">
        <v>31.212</v>
      </c>
      <c r="K12" s="76">
        <v>33.234000000000002</v>
      </c>
      <c r="L12" s="76">
        <v>35.079000000000001</v>
      </c>
      <c r="M12" s="76">
        <v>36.866</v>
      </c>
      <c r="N12" s="76">
        <v>38.540999999999997</v>
      </c>
      <c r="O12" s="76">
        <v>40.167000000000002</v>
      </c>
      <c r="P12" s="76">
        <v>41.744</v>
      </c>
      <c r="Q12" s="76">
        <v>43.179000000000002</v>
      </c>
      <c r="R12" s="76">
        <v>44.426000000000002</v>
      </c>
      <c r="S12" s="76">
        <v>45.512</v>
      </c>
      <c r="T12" s="76">
        <v>46.579000000000001</v>
      </c>
      <c r="U12" s="76">
        <v>47.506999999999998</v>
      </c>
    </row>
    <row r="13" spans="1:23">
      <c r="A13" s="297" t="s">
        <v>43</v>
      </c>
      <c r="B13" s="273">
        <v>1.675</v>
      </c>
      <c r="C13" s="273">
        <v>3.407</v>
      </c>
      <c r="D13" s="273">
        <v>5.0149999999999997</v>
      </c>
      <c r="E13" s="273">
        <v>6.3979999999999997</v>
      </c>
      <c r="F13" s="273">
        <v>7.5869999999999997</v>
      </c>
      <c r="G13" s="273">
        <v>8.6189999999999998</v>
      </c>
      <c r="H13" s="273">
        <v>9.5129999999999999</v>
      </c>
      <c r="I13" s="273">
        <v>10.311999999999999</v>
      </c>
      <c r="J13" s="273">
        <v>11.061999999999999</v>
      </c>
      <c r="K13" s="273">
        <v>11.771000000000001</v>
      </c>
      <c r="L13" s="273">
        <v>12.43</v>
      </c>
      <c r="M13" s="273">
        <v>13.069000000000001</v>
      </c>
      <c r="N13" s="273">
        <v>13.689</v>
      </c>
      <c r="O13" s="273">
        <v>14.287000000000001</v>
      </c>
      <c r="P13" s="273">
        <v>14.881</v>
      </c>
      <c r="Q13" s="273">
        <v>15.464</v>
      </c>
      <c r="R13" s="273">
        <v>16.026</v>
      </c>
      <c r="S13" s="273">
        <v>16.568000000000001</v>
      </c>
      <c r="T13" s="273">
        <v>17.09</v>
      </c>
      <c r="U13" s="273">
        <v>17.594999999999999</v>
      </c>
    </row>
    <row r="14" spans="1:23">
      <c r="A14" s="298" t="s">
        <v>72</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5"/>
  <sheetViews>
    <sheetView zoomScaleNormal="100" workbookViewId="0"/>
  </sheetViews>
  <sheetFormatPr defaultRowHeight="15"/>
  <cols>
    <col min="1" max="1" width="12.140625" style="10" customWidth="1"/>
    <col min="2" max="21" width="7.7109375" style="10" customWidth="1"/>
    <col min="22" max="22" width="11.28515625" style="10" bestFit="1" customWidth="1"/>
    <col min="23" max="16384" width="9.140625" style="10"/>
  </cols>
  <sheetData>
    <row r="1" spans="1:23">
      <c r="A1" s="80" t="s">
        <v>225</v>
      </c>
      <c r="B1" s="78"/>
      <c r="D1" s="78"/>
    </row>
    <row r="2" spans="1:23">
      <c r="A2" s="80"/>
      <c r="B2" s="78"/>
      <c r="D2" s="78"/>
    </row>
    <row r="3" spans="1:23">
      <c r="A3" s="154" t="s">
        <v>0</v>
      </c>
      <c r="B3" s="154">
        <v>1</v>
      </c>
      <c r="C3" s="154">
        <v>2</v>
      </c>
      <c r="D3" s="154">
        <v>3</v>
      </c>
      <c r="E3" s="154">
        <v>4</v>
      </c>
      <c r="F3" s="154">
        <v>5</v>
      </c>
      <c r="G3" s="154">
        <v>6</v>
      </c>
      <c r="H3" s="154">
        <v>7</v>
      </c>
      <c r="I3" s="154">
        <v>8</v>
      </c>
      <c r="J3" s="154">
        <v>9</v>
      </c>
      <c r="K3" s="154">
        <v>10</v>
      </c>
      <c r="L3" s="154">
        <v>11</v>
      </c>
      <c r="M3" s="154">
        <v>12</v>
      </c>
      <c r="N3" s="154">
        <v>13</v>
      </c>
      <c r="O3" s="154">
        <v>14</v>
      </c>
      <c r="P3" s="154">
        <v>15</v>
      </c>
      <c r="Q3" s="154">
        <v>16</v>
      </c>
      <c r="R3" s="154">
        <v>17</v>
      </c>
      <c r="S3" s="154">
        <v>18</v>
      </c>
      <c r="T3" s="154">
        <v>19</v>
      </c>
      <c r="U3" s="154">
        <v>20</v>
      </c>
    </row>
    <row r="4" spans="1:23">
      <c r="A4" s="10" t="s">
        <v>1</v>
      </c>
      <c r="B4" s="76">
        <v>0</v>
      </c>
      <c r="C4" s="76">
        <v>1.6E-2</v>
      </c>
      <c r="D4" s="76">
        <v>1.6E-2</v>
      </c>
      <c r="E4" s="76">
        <v>4.8000000000000001E-2</v>
      </c>
      <c r="F4" s="76">
        <v>8.5000000000000006E-2</v>
      </c>
      <c r="G4" s="76">
        <v>0.13</v>
      </c>
      <c r="H4" s="76">
        <v>0.17899999999999999</v>
      </c>
      <c r="I4" s="76">
        <v>0.183</v>
      </c>
      <c r="J4" s="76">
        <v>0.183</v>
      </c>
      <c r="K4" s="76">
        <v>0.183</v>
      </c>
      <c r="L4" s="76">
        <v>0.183</v>
      </c>
      <c r="M4" s="76">
        <v>0.183</v>
      </c>
      <c r="N4" s="76">
        <v>0.183</v>
      </c>
      <c r="O4" s="76">
        <v>0.183</v>
      </c>
      <c r="P4" s="76">
        <v>0.183</v>
      </c>
      <c r="Q4" s="76">
        <v>0.183</v>
      </c>
      <c r="R4" s="76">
        <v>0.183</v>
      </c>
      <c r="S4" s="76">
        <v>0.183</v>
      </c>
      <c r="T4" s="76">
        <v>0.183</v>
      </c>
      <c r="U4" s="76">
        <v>0.183</v>
      </c>
      <c r="W4" s="76"/>
    </row>
    <row r="5" spans="1:23">
      <c r="A5" s="10" t="s">
        <v>2</v>
      </c>
      <c r="B5" s="76">
        <v>2.5000000000000001E-2</v>
      </c>
      <c r="C5" s="76">
        <v>7.6999999999999999E-2</v>
      </c>
      <c r="D5" s="76">
        <v>0.154</v>
      </c>
      <c r="E5" s="76">
        <v>0.29099999999999998</v>
      </c>
      <c r="F5" s="76">
        <v>0.45100000000000001</v>
      </c>
      <c r="G5" s="76">
        <v>0.56999999999999995</v>
      </c>
      <c r="H5" s="76">
        <v>0.67</v>
      </c>
      <c r="I5" s="76">
        <v>0.76</v>
      </c>
      <c r="J5" s="76">
        <v>0.85399999999999998</v>
      </c>
      <c r="K5" s="76">
        <v>0.98299999999999998</v>
      </c>
      <c r="L5" s="76">
        <v>1.147</v>
      </c>
      <c r="M5" s="76">
        <v>1.367</v>
      </c>
      <c r="N5" s="76">
        <v>1.593</v>
      </c>
      <c r="O5" s="76">
        <v>1.7490000000000001</v>
      </c>
      <c r="P5" s="76">
        <v>1.893</v>
      </c>
      <c r="Q5" s="76">
        <v>2.0419999999999998</v>
      </c>
      <c r="R5" s="76">
        <v>2.2320000000000002</v>
      </c>
      <c r="S5" s="76">
        <v>2.5379999999999998</v>
      </c>
      <c r="T5" s="76">
        <v>2.988</v>
      </c>
      <c r="U5" s="76">
        <v>3.3809999999999998</v>
      </c>
    </row>
    <row r="6" spans="1:23">
      <c r="A6" s="10" t="s">
        <v>3</v>
      </c>
      <c r="B6" s="76">
        <v>6.9000000000000006E-2</v>
      </c>
      <c r="C6" s="76">
        <v>0.22600000000000001</v>
      </c>
      <c r="D6" s="76">
        <v>0.501</v>
      </c>
      <c r="E6" s="76">
        <v>0.78200000000000003</v>
      </c>
      <c r="F6" s="76">
        <v>1.103</v>
      </c>
      <c r="G6" s="76">
        <v>1.458</v>
      </c>
      <c r="H6" s="76">
        <v>1.8460000000000001</v>
      </c>
      <c r="I6" s="76">
        <v>2.2650000000000001</v>
      </c>
      <c r="J6" s="76">
        <v>2.6709999999999998</v>
      </c>
      <c r="K6" s="76">
        <v>3.0339999999999998</v>
      </c>
      <c r="L6" s="76">
        <v>3.3620000000000001</v>
      </c>
      <c r="M6" s="76">
        <v>3.677</v>
      </c>
      <c r="N6" s="76">
        <v>4.016</v>
      </c>
      <c r="O6" s="76">
        <v>4.42</v>
      </c>
      <c r="P6" s="76">
        <v>4.923</v>
      </c>
      <c r="Q6" s="76">
        <v>5.4630000000000001</v>
      </c>
      <c r="R6" s="76">
        <v>6.085</v>
      </c>
      <c r="S6" s="76">
        <v>6.8049999999999997</v>
      </c>
      <c r="T6" s="76">
        <v>7.3659999999999997</v>
      </c>
      <c r="U6" s="76">
        <v>7.9359999999999999</v>
      </c>
    </row>
    <row r="7" spans="1:23">
      <c r="A7" s="10" t="s">
        <v>4</v>
      </c>
      <c r="B7" s="76">
        <v>0.19</v>
      </c>
      <c r="C7" s="76">
        <v>0.54800000000000004</v>
      </c>
      <c r="D7" s="76">
        <v>0.95599999999999996</v>
      </c>
      <c r="E7" s="76">
        <v>1.423</v>
      </c>
      <c r="F7" s="76">
        <v>1.93</v>
      </c>
      <c r="G7" s="76">
        <v>2.4500000000000002</v>
      </c>
      <c r="H7" s="76">
        <v>2.944</v>
      </c>
      <c r="I7" s="76">
        <v>3.4369999999999998</v>
      </c>
      <c r="J7" s="76">
        <v>3.9369999999999998</v>
      </c>
      <c r="K7" s="76">
        <v>4.5039999999999996</v>
      </c>
      <c r="L7" s="76">
        <v>5.1210000000000004</v>
      </c>
      <c r="M7" s="76">
        <v>5.7480000000000002</v>
      </c>
      <c r="N7" s="76">
        <v>6.49</v>
      </c>
      <c r="O7" s="76">
        <v>7.25</v>
      </c>
      <c r="P7" s="76">
        <v>7.9889999999999999</v>
      </c>
      <c r="Q7" s="76">
        <v>8.86</v>
      </c>
      <c r="R7" s="76">
        <v>9.7479999999999993</v>
      </c>
      <c r="S7" s="76">
        <v>10.558</v>
      </c>
      <c r="T7" s="76">
        <v>11.292</v>
      </c>
      <c r="U7" s="76">
        <v>11.859</v>
      </c>
    </row>
    <row r="8" spans="1:23">
      <c r="A8" s="10" t="s">
        <v>5</v>
      </c>
      <c r="B8" s="76">
        <v>1.137</v>
      </c>
      <c r="C8" s="76">
        <v>3.2650000000000001</v>
      </c>
      <c r="D8" s="76">
        <v>5.8440000000000003</v>
      </c>
      <c r="E8" s="76">
        <v>8.5830000000000002</v>
      </c>
      <c r="F8" s="76">
        <v>10.901</v>
      </c>
      <c r="G8" s="76">
        <v>13.035</v>
      </c>
      <c r="H8" s="76">
        <v>14.917</v>
      </c>
      <c r="I8" s="76">
        <v>16.724</v>
      </c>
      <c r="J8" s="76">
        <v>18.408000000000001</v>
      </c>
      <c r="K8" s="76">
        <v>20.097999999999999</v>
      </c>
      <c r="L8" s="76">
        <v>21.754999999999999</v>
      </c>
      <c r="M8" s="76">
        <v>23.451000000000001</v>
      </c>
      <c r="N8" s="76">
        <v>25.085000000000001</v>
      </c>
      <c r="O8" s="76">
        <v>26.853999999999999</v>
      </c>
      <c r="P8" s="76">
        <v>28.654</v>
      </c>
      <c r="Q8" s="76">
        <v>30.146000000000001</v>
      </c>
      <c r="R8" s="76">
        <v>31.515000000000001</v>
      </c>
      <c r="S8" s="76">
        <v>32.735999999999997</v>
      </c>
      <c r="T8" s="76">
        <v>34.25</v>
      </c>
      <c r="U8" s="76">
        <v>35.302</v>
      </c>
    </row>
    <row r="9" spans="1:23">
      <c r="A9" s="10" t="s">
        <v>6</v>
      </c>
      <c r="B9" s="76">
        <v>3.8929999999999998</v>
      </c>
      <c r="C9" s="76">
        <v>9.3260000000000005</v>
      </c>
      <c r="D9" s="76">
        <v>14.845000000000001</v>
      </c>
      <c r="E9" s="76">
        <v>19.678000000000001</v>
      </c>
      <c r="F9" s="76">
        <v>24.093</v>
      </c>
      <c r="G9" s="76">
        <v>28.260999999999999</v>
      </c>
      <c r="H9" s="76">
        <v>32.134</v>
      </c>
      <c r="I9" s="76">
        <v>35.390999999999998</v>
      </c>
      <c r="J9" s="76">
        <v>38.283999999999999</v>
      </c>
      <c r="K9" s="76">
        <v>40.832000000000001</v>
      </c>
      <c r="L9" s="76">
        <v>42.905000000000001</v>
      </c>
      <c r="M9" s="76">
        <v>44.901000000000003</v>
      </c>
      <c r="N9" s="76">
        <v>46.801000000000002</v>
      </c>
      <c r="O9" s="76">
        <v>48.734000000000002</v>
      </c>
      <c r="P9" s="76">
        <v>50.414000000000001</v>
      </c>
      <c r="Q9" s="76">
        <v>51.670999999999999</v>
      </c>
      <c r="R9" s="76">
        <v>52.927</v>
      </c>
      <c r="S9" s="76">
        <v>54.47</v>
      </c>
      <c r="T9" s="76">
        <v>55.639000000000003</v>
      </c>
      <c r="U9" s="76">
        <v>57.058999999999997</v>
      </c>
    </row>
    <row r="10" spans="1:23">
      <c r="A10" s="10" t="s">
        <v>30</v>
      </c>
      <c r="B10" s="76">
        <v>13.18</v>
      </c>
      <c r="C10" s="76">
        <v>24.158999999999999</v>
      </c>
      <c r="D10" s="76">
        <v>32.975999999999999</v>
      </c>
      <c r="E10" s="76">
        <v>40.137999999999998</v>
      </c>
      <c r="F10" s="76">
        <v>46.319000000000003</v>
      </c>
      <c r="G10" s="76">
        <v>51.012999999999998</v>
      </c>
      <c r="H10" s="76">
        <v>54.743000000000002</v>
      </c>
      <c r="I10" s="76">
        <v>58.27</v>
      </c>
      <c r="J10" s="76">
        <v>62.296999999999997</v>
      </c>
      <c r="K10" s="76">
        <v>65.863</v>
      </c>
      <c r="L10" s="76">
        <v>69.085999999999999</v>
      </c>
      <c r="M10" s="76">
        <v>71.542000000000002</v>
      </c>
      <c r="N10" s="76">
        <v>75.23</v>
      </c>
      <c r="O10" s="76">
        <v>76.858999999999995</v>
      </c>
      <c r="P10" s="76">
        <v>78.914000000000001</v>
      </c>
      <c r="Q10" s="76">
        <v>82.784000000000006</v>
      </c>
      <c r="R10" s="76">
        <v>83.816999999999993</v>
      </c>
      <c r="S10" s="76">
        <v>83.816999999999993</v>
      </c>
      <c r="T10" s="76">
        <v>83.816999999999993</v>
      </c>
      <c r="U10" s="76">
        <v>83.816999999999993</v>
      </c>
    </row>
    <row r="11" spans="1:23">
      <c r="A11" s="296" t="s">
        <v>31</v>
      </c>
      <c r="B11" s="76">
        <v>42.703000000000003</v>
      </c>
      <c r="C11" s="76">
        <v>54.997</v>
      </c>
      <c r="D11" s="76">
        <v>64.203999999999994</v>
      </c>
      <c r="E11" s="76">
        <v>70.828000000000003</v>
      </c>
      <c r="F11" s="76">
        <v>76.338999999999999</v>
      </c>
      <c r="G11" s="76">
        <v>78.015000000000001</v>
      </c>
      <c r="H11" s="76">
        <v>80.614999999999995</v>
      </c>
      <c r="I11" s="76">
        <v>84.024000000000001</v>
      </c>
      <c r="J11" s="76">
        <v>85.162999999999997</v>
      </c>
      <c r="K11" s="76">
        <v>85.162999999999997</v>
      </c>
      <c r="L11" s="76">
        <v>85.162999999999997</v>
      </c>
      <c r="M11" s="76">
        <v>85.162999999999997</v>
      </c>
      <c r="N11" s="76">
        <v>85.162999999999997</v>
      </c>
      <c r="O11" s="76">
        <v>85.162999999999997</v>
      </c>
      <c r="P11" s="76">
        <v>85.162999999999997</v>
      </c>
      <c r="Q11" s="76">
        <v>85.162999999999997</v>
      </c>
      <c r="R11" s="76">
        <v>85.162999999999997</v>
      </c>
      <c r="S11" s="76">
        <v>85.162999999999997</v>
      </c>
      <c r="T11" s="303" t="s">
        <v>44</v>
      </c>
      <c r="U11" s="303" t="s">
        <v>44</v>
      </c>
    </row>
    <row r="12" spans="1:23">
      <c r="A12" s="296" t="s">
        <v>41</v>
      </c>
      <c r="B12" s="76">
        <v>9.9000000000000005E-2</v>
      </c>
      <c r="C12" s="76">
        <v>0.29599999999999999</v>
      </c>
      <c r="D12" s="76">
        <v>0.55900000000000005</v>
      </c>
      <c r="E12" s="76">
        <v>0.85599999999999998</v>
      </c>
      <c r="F12" s="76">
        <v>1.1850000000000001</v>
      </c>
      <c r="G12" s="76">
        <v>1.5229999999999999</v>
      </c>
      <c r="H12" s="76">
        <v>1.861</v>
      </c>
      <c r="I12" s="76">
        <v>2.2050000000000001</v>
      </c>
      <c r="J12" s="76">
        <v>2.544</v>
      </c>
      <c r="K12" s="76">
        <v>2.8889999999999998</v>
      </c>
      <c r="L12" s="76">
        <v>3.2370000000000001</v>
      </c>
      <c r="M12" s="76">
        <v>3.5910000000000002</v>
      </c>
      <c r="N12" s="76">
        <v>3.9820000000000002</v>
      </c>
      <c r="O12" s="76">
        <v>4.3849999999999998</v>
      </c>
      <c r="P12" s="76">
        <v>4.8159999999999998</v>
      </c>
      <c r="Q12" s="76">
        <v>5.2910000000000004</v>
      </c>
      <c r="R12" s="76">
        <v>5.8079999999999998</v>
      </c>
      <c r="S12" s="76">
        <v>6.3739999999999997</v>
      </c>
      <c r="T12" s="76">
        <v>6.8860000000000001</v>
      </c>
      <c r="U12" s="76">
        <v>7.3490000000000002</v>
      </c>
    </row>
    <row r="13" spans="1:23">
      <c r="A13" s="299" t="s">
        <v>42</v>
      </c>
      <c r="B13" s="300">
        <v>4.6710000000000003</v>
      </c>
      <c r="C13" s="300">
        <v>9.6620000000000008</v>
      </c>
      <c r="D13" s="300">
        <v>14.465</v>
      </c>
      <c r="E13" s="300">
        <v>18.690999999999999</v>
      </c>
      <c r="F13" s="300">
        <v>22.347000000000001</v>
      </c>
      <c r="G13" s="300">
        <v>25.574999999999999</v>
      </c>
      <c r="H13" s="300">
        <v>28.428000000000001</v>
      </c>
      <c r="I13" s="300">
        <v>30.905999999999999</v>
      </c>
      <c r="J13" s="300">
        <v>33.125999999999998</v>
      </c>
      <c r="K13" s="300">
        <v>35.130000000000003</v>
      </c>
      <c r="L13" s="300">
        <v>36.875</v>
      </c>
      <c r="M13" s="300">
        <v>38.566000000000003</v>
      </c>
      <c r="N13" s="300">
        <v>40.186</v>
      </c>
      <c r="O13" s="300">
        <v>41.841000000000001</v>
      </c>
      <c r="P13" s="300">
        <v>43.418999999999997</v>
      </c>
      <c r="Q13" s="300">
        <v>44.710999999999999</v>
      </c>
      <c r="R13" s="300">
        <v>45.886000000000003</v>
      </c>
      <c r="S13" s="300">
        <v>47.030999999999999</v>
      </c>
      <c r="T13" s="300">
        <v>48.252000000000002</v>
      </c>
      <c r="U13" s="300">
        <v>49.241999999999997</v>
      </c>
    </row>
    <row r="14" spans="1:23">
      <c r="A14" s="301" t="s">
        <v>43</v>
      </c>
      <c r="B14" s="160">
        <v>1.855</v>
      </c>
      <c r="C14" s="160">
        <v>3.798</v>
      </c>
      <c r="D14" s="160">
        <v>5.6159999999999997</v>
      </c>
      <c r="E14" s="160">
        <v>7.1719999999999997</v>
      </c>
      <c r="F14" s="160">
        <v>8.4920000000000009</v>
      </c>
      <c r="G14" s="160">
        <v>9.6280000000000001</v>
      </c>
      <c r="H14" s="160">
        <v>10.606999999999999</v>
      </c>
      <c r="I14" s="160">
        <v>11.454000000000001</v>
      </c>
      <c r="J14" s="160">
        <v>12.205</v>
      </c>
      <c r="K14" s="160">
        <v>12.888</v>
      </c>
      <c r="L14" s="160">
        <v>13.499000000000001</v>
      </c>
      <c r="M14" s="160">
        <v>14.087</v>
      </c>
      <c r="N14" s="160">
        <v>14.679</v>
      </c>
      <c r="O14" s="160">
        <v>15.273</v>
      </c>
      <c r="P14" s="160">
        <v>15.864000000000001</v>
      </c>
      <c r="Q14" s="160">
        <v>16.434000000000001</v>
      </c>
      <c r="R14" s="160">
        <v>17.013999999999999</v>
      </c>
      <c r="S14" s="160">
        <v>17.625</v>
      </c>
      <c r="T14" s="160">
        <v>18.201000000000001</v>
      </c>
      <c r="U14" s="160">
        <v>18.704000000000001</v>
      </c>
    </row>
    <row r="15" spans="1:23">
      <c r="A15" s="10" t="s">
        <v>72</v>
      </c>
    </row>
  </sheetData>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7"/>
  <sheetViews>
    <sheetView zoomScaleNormal="100" workbookViewId="0"/>
  </sheetViews>
  <sheetFormatPr defaultRowHeight="15"/>
  <cols>
    <col min="1" max="1" width="11.85546875" style="10" customWidth="1"/>
    <col min="2" max="21" width="7.28515625" style="10" customWidth="1"/>
    <col min="22" max="22" width="11.28515625" style="10" bestFit="1" customWidth="1"/>
    <col min="23" max="16384" width="9.140625" style="10"/>
  </cols>
  <sheetData>
    <row r="1" spans="1:23">
      <c r="A1" s="80" t="s">
        <v>226</v>
      </c>
      <c r="C1" s="78"/>
      <c r="E1" s="78"/>
    </row>
    <row r="2" spans="1:23">
      <c r="A2" s="80"/>
      <c r="C2" s="78"/>
      <c r="E2" s="78"/>
    </row>
    <row r="3" spans="1:23">
      <c r="A3" s="154" t="s">
        <v>0</v>
      </c>
      <c r="B3" s="154">
        <v>1</v>
      </c>
      <c r="C3" s="154">
        <v>2</v>
      </c>
      <c r="D3" s="154">
        <v>3</v>
      </c>
      <c r="E3" s="154">
        <v>4</v>
      </c>
      <c r="F3" s="154">
        <v>5</v>
      </c>
      <c r="G3" s="154">
        <v>6</v>
      </c>
      <c r="H3" s="154">
        <v>7</v>
      </c>
      <c r="I3" s="154">
        <v>8</v>
      </c>
      <c r="J3" s="154">
        <v>9</v>
      </c>
      <c r="K3" s="154">
        <v>10</v>
      </c>
      <c r="L3" s="154">
        <v>11</v>
      </c>
      <c r="M3" s="154">
        <v>12</v>
      </c>
      <c r="N3" s="154">
        <v>13</v>
      </c>
      <c r="O3" s="154">
        <v>14</v>
      </c>
      <c r="P3" s="154">
        <v>15</v>
      </c>
      <c r="Q3" s="154">
        <v>16</v>
      </c>
      <c r="R3" s="154">
        <v>17</v>
      </c>
      <c r="S3" s="154">
        <v>18</v>
      </c>
      <c r="T3" s="154">
        <v>19</v>
      </c>
      <c r="U3" s="154">
        <v>20</v>
      </c>
    </row>
    <row r="4" spans="1:23">
      <c r="A4" s="10" t="s">
        <v>1</v>
      </c>
      <c r="B4" s="302">
        <v>0</v>
      </c>
      <c r="C4" s="302">
        <v>1.6E-2</v>
      </c>
      <c r="D4" s="302">
        <v>1.6E-2</v>
      </c>
      <c r="E4" s="302">
        <v>4.8000000000000001E-2</v>
      </c>
      <c r="F4" s="302">
        <v>8.5000000000000006E-2</v>
      </c>
      <c r="G4" s="302">
        <v>0.13</v>
      </c>
      <c r="H4" s="302">
        <v>0.17899999999999999</v>
      </c>
      <c r="I4" s="302">
        <v>0.183</v>
      </c>
      <c r="J4" s="302">
        <v>0.183</v>
      </c>
      <c r="K4" s="302">
        <v>0.183</v>
      </c>
      <c r="L4" s="302">
        <v>0.183</v>
      </c>
      <c r="M4" s="302">
        <v>0.183</v>
      </c>
      <c r="N4" s="302">
        <v>0.183</v>
      </c>
      <c r="O4" s="302">
        <v>0.183</v>
      </c>
      <c r="P4" s="302">
        <v>0.183</v>
      </c>
      <c r="Q4" s="302">
        <v>0.183</v>
      </c>
      <c r="R4" s="302">
        <v>0.183</v>
      </c>
      <c r="S4" s="302">
        <v>0.183</v>
      </c>
      <c r="T4" s="302">
        <v>0.183</v>
      </c>
      <c r="U4" s="302">
        <v>0.183</v>
      </c>
      <c r="W4" s="82"/>
    </row>
    <row r="5" spans="1:23">
      <c r="A5" s="10" t="s">
        <v>29</v>
      </c>
      <c r="B5" s="302">
        <v>0</v>
      </c>
      <c r="C5" s="302">
        <v>0</v>
      </c>
      <c r="D5" s="302">
        <v>0</v>
      </c>
      <c r="E5" s="302">
        <v>8.6999999999999994E-2</v>
      </c>
      <c r="F5" s="302">
        <v>0.161</v>
      </c>
      <c r="G5" s="302">
        <v>0.24299999999999999</v>
      </c>
      <c r="H5" s="302">
        <v>0.249</v>
      </c>
      <c r="I5" s="302">
        <v>0.249</v>
      </c>
      <c r="J5" s="302">
        <v>0.249</v>
      </c>
      <c r="K5" s="302">
        <v>0.249</v>
      </c>
      <c r="L5" s="302">
        <v>0.249</v>
      </c>
      <c r="M5" s="302">
        <v>0.249</v>
      </c>
      <c r="N5" s="302">
        <v>0.39400000000000002</v>
      </c>
      <c r="O5" s="302">
        <v>0.57199999999999995</v>
      </c>
      <c r="P5" s="302">
        <v>0.77400000000000002</v>
      </c>
      <c r="Q5" s="302">
        <v>0.84699999999999998</v>
      </c>
      <c r="R5" s="302">
        <v>0.84699999999999998</v>
      </c>
      <c r="S5" s="302">
        <v>0.84699999999999998</v>
      </c>
      <c r="T5" s="302">
        <v>0.84699999999999998</v>
      </c>
      <c r="U5" s="302">
        <v>0.84699999999999998</v>
      </c>
    </row>
    <row r="6" spans="1:23">
      <c r="A6" s="10" t="s">
        <v>28</v>
      </c>
      <c r="B6" s="302">
        <v>0</v>
      </c>
      <c r="C6" s="302">
        <v>1.7000000000000001E-2</v>
      </c>
      <c r="D6" s="302">
        <v>0.152</v>
      </c>
      <c r="E6" s="302">
        <v>0.32900000000000001</v>
      </c>
      <c r="F6" s="302">
        <v>0.496</v>
      </c>
      <c r="G6" s="302">
        <v>0.623</v>
      </c>
      <c r="H6" s="302">
        <v>0.76500000000000001</v>
      </c>
      <c r="I6" s="302">
        <v>0.92300000000000004</v>
      </c>
      <c r="J6" s="302">
        <v>1.1000000000000001</v>
      </c>
      <c r="K6" s="302">
        <v>1.298</v>
      </c>
      <c r="L6" s="302">
        <v>1.5169999999999999</v>
      </c>
      <c r="M6" s="302">
        <v>1.7609999999999999</v>
      </c>
      <c r="N6" s="302">
        <v>1.978</v>
      </c>
      <c r="O6" s="302">
        <v>2.0779999999999998</v>
      </c>
      <c r="P6" s="302">
        <v>2.1890000000000001</v>
      </c>
      <c r="Q6" s="302">
        <v>2.3969999999999998</v>
      </c>
      <c r="R6" s="302">
        <v>2.6749999999999998</v>
      </c>
      <c r="S6" s="302">
        <v>2.9860000000000002</v>
      </c>
      <c r="T6" s="302">
        <v>3.4260000000000002</v>
      </c>
      <c r="U6" s="302">
        <v>3.7029999999999998</v>
      </c>
    </row>
    <row r="7" spans="1:23">
      <c r="A7" s="10" t="s">
        <v>24</v>
      </c>
      <c r="B7" s="302">
        <v>5.0999999999999997E-2</v>
      </c>
      <c r="C7" s="302">
        <v>0.14799999999999999</v>
      </c>
      <c r="D7" s="302">
        <v>0.222</v>
      </c>
      <c r="E7" s="302">
        <v>0.35299999999999998</v>
      </c>
      <c r="F7" s="302">
        <v>0.54500000000000004</v>
      </c>
      <c r="G7" s="302">
        <v>0.67500000000000004</v>
      </c>
      <c r="H7" s="302">
        <v>0.78400000000000003</v>
      </c>
      <c r="I7" s="302">
        <v>0.86399999999999999</v>
      </c>
      <c r="J7" s="302">
        <v>0.94199999999999995</v>
      </c>
      <c r="K7" s="302">
        <v>1.075</v>
      </c>
      <c r="L7" s="302">
        <v>1.2649999999999999</v>
      </c>
      <c r="M7" s="302">
        <v>1.5509999999999999</v>
      </c>
      <c r="N7" s="302">
        <v>1.8140000000000001</v>
      </c>
      <c r="O7" s="302">
        <v>2</v>
      </c>
      <c r="P7" s="302">
        <v>2.1440000000000001</v>
      </c>
      <c r="Q7" s="302">
        <v>2.2810000000000001</v>
      </c>
      <c r="R7" s="302">
        <v>2.4769999999999999</v>
      </c>
      <c r="S7" s="302">
        <v>2.8940000000000001</v>
      </c>
      <c r="T7" s="302">
        <v>3.5219999999999998</v>
      </c>
      <c r="U7" s="302">
        <v>4.1550000000000002</v>
      </c>
    </row>
    <row r="8" spans="1:23">
      <c r="A8" s="10" t="s">
        <v>23</v>
      </c>
      <c r="B8" s="302">
        <v>8.1000000000000003E-2</v>
      </c>
      <c r="C8" s="302">
        <v>0.252</v>
      </c>
      <c r="D8" s="302">
        <v>0.54800000000000004</v>
      </c>
      <c r="E8" s="302">
        <v>0.85099999999999998</v>
      </c>
      <c r="F8" s="302">
        <v>1.1599999999999999</v>
      </c>
      <c r="G8" s="302">
        <v>1.4419999999999999</v>
      </c>
      <c r="H8" s="302">
        <v>1.6759999999999999</v>
      </c>
      <c r="I8" s="302">
        <v>1.8779999999999999</v>
      </c>
      <c r="J8" s="302">
        <v>2.09</v>
      </c>
      <c r="K8" s="302">
        <v>2.33</v>
      </c>
      <c r="L8" s="302">
        <v>2.5960000000000001</v>
      </c>
      <c r="M8" s="302">
        <v>2.8690000000000002</v>
      </c>
      <c r="N8" s="302">
        <v>3.1739999999999999</v>
      </c>
      <c r="O8" s="302">
        <v>3.5670000000000002</v>
      </c>
      <c r="P8" s="302">
        <v>3.9980000000000002</v>
      </c>
      <c r="Q8" s="302">
        <v>4.476</v>
      </c>
      <c r="R8" s="302">
        <v>4.97</v>
      </c>
      <c r="S8" s="302">
        <v>5.4379999999999997</v>
      </c>
      <c r="T8" s="302">
        <v>5.694</v>
      </c>
      <c r="U8" s="302">
        <v>5.9669999999999996</v>
      </c>
    </row>
    <row r="9" spans="1:23">
      <c r="A9" s="10" t="s">
        <v>25</v>
      </c>
      <c r="B9" s="302">
        <v>6.8000000000000005E-2</v>
      </c>
      <c r="C9" s="302">
        <v>0.21199999999999999</v>
      </c>
      <c r="D9" s="302">
        <v>0.433</v>
      </c>
      <c r="E9" s="302">
        <v>0.69099999999999995</v>
      </c>
      <c r="F9" s="302">
        <v>0.99099999999999999</v>
      </c>
      <c r="G9" s="302">
        <v>1.415</v>
      </c>
      <c r="H9" s="302">
        <v>1.9079999999999999</v>
      </c>
      <c r="I9" s="302">
        <v>2.4470000000000001</v>
      </c>
      <c r="J9" s="302">
        <v>2.952</v>
      </c>
      <c r="K9" s="302">
        <v>3.4209999999999998</v>
      </c>
      <c r="L9" s="302">
        <v>3.8</v>
      </c>
      <c r="M9" s="302">
        <v>4.085</v>
      </c>
      <c r="N9" s="302">
        <v>4.3959999999999999</v>
      </c>
      <c r="O9" s="302">
        <v>4.79</v>
      </c>
      <c r="P9" s="302">
        <v>5.2770000000000001</v>
      </c>
      <c r="Q9" s="302">
        <v>5.8339999999999996</v>
      </c>
      <c r="R9" s="302">
        <v>6.6580000000000004</v>
      </c>
      <c r="S9" s="302">
        <v>7.532</v>
      </c>
      <c r="T9" s="302">
        <v>8.1709999999999994</v>
      </c>
      <c r="U9" s="302">
        <v>8.8019999999999996</v>
      </c>
    </row>
    <row r="10" spans="1:23">
      <c r="A10" s="10" t="s">
        <v>27</v>
      </c>
      <c r="B10" s="302">
        <v>0.06</v>
      </c>
      <c r="C10" s="302">
        <v>0.219</v>
      </c>
      <c r="D10" s="302">
        <v>0.53300000000000003</v>
      </c>
      <c r="E10" s="302">
        <v>0.81899999999999995</v>
      </c>
      <c r="F10" s="302">
        <v>1.1739999999999999</v>
      </c>
      <c r="G10" s="302">
        <v>1.5209999999999999</v>
      </c>
      <c r="H10" s="302">
        <v>1.9370000000000001</v>
      </c>
      <c r="I10" s="302">
        <v>2.4260000000000002</v>
      </c>
      <c r="J10" s="302">
        <v>2.91</v>
      </c>
      <c r="K10" s="302">
        <v>3.2719999999999998</v>
      </c>
      <c r="L10" s="302">
        <v>3.601</v>
      </c>
      <c r="M10" s="302">
        <v>4.0010000000000003</v>
      </c>
      <c r="N10" s="302">
        <v>4.4139999999999997</v>
      </c>
      <c r="O10" s="302">
        <v>4.8470000000000004</v>
      </c>
      <c r="P10" s="302">
        <v>5.4530000000000003</v>
      </c>
      <c r="Q10" s="302">
        <v>6.0469999999999997</v>
      </c>
      <c r="R10" s="302">
        <v>6.5540000000000003</v>
      </c>
      <c r="S10" s="302">
        <v>7.367</v>
      </c>
      <c r="T10" s="302">
        <v>8.1769999999999996</v>
      </c>
      <c r="U10" s="302">
        <v>9.01</v>
      </c>
    </row>
    <row r="11" spans="1:23">
      <c r="A11" s="10" t="s">
        <v>15</v>
      </c>
      <c r="B11" s="302">
        <v>0.156</v>
      </c>
      <c r="C11" s="302">
        <v>0.42599999999999999</v>
      </c>
      <c r="D11" s="302">
        <v>0.70399999999999996</v>
      </c>
      <c r="E11" s="302">
        <v>0.995</v>
      </c>
      <c r="F11" s="302">
        <v>1.3320000000000001</v>
      </c>
      <c r="G11" s="302">
        <v>1.667</v>
      </c>
      <c r="H11" s="302">
        <v>1.9870000000000001</v>
      </c>
      <c r="I11" s="302">
        <v>2.2229999999999999</v>
      </c>
      <c r="J11" s="302">
        <v>2.4169999999999998</v>
      </c>
      <c r="K11" s="302">
        <v>2.661</v>
      </c>
      <c r="L11" s="302">
        <v>2.9889999999999999</v>
      </c>
      <c r="M11" s="302">
        <v>3.4630000000000001</v>
      </c>
      <c r="N11" s="302">
        <v>4.0119999999999996</v>
      </c>
      <c r="O11" s="302">
        <v>4.548</v>
      </c>
      <c r="P11" s="302">
        <v>5.2220000000000004</v>
      </c>
      <c r="Q11" s="302">
        <v>6.1139999999999999</v>
      </c>
      <c r="R11" s="302">
        <v>6.8639999999999999</v>
      </c>
      <c r="S11" s="302">
        <v>7.327</v>
      </c>
      <c r="T11" s="302">
        <v>7.48</v>
      </c>
      <c r="U11" s="302">
        <v>7.6970000000000001</v>
      </c>
    </row>
    <row r="12" spans="1:23">
      <c r="A12" s="10" t="s">
        <v>21</v>
      </c>
      <c r="B12" s="302">
        <v>0.16900000000000001</v>
      </c>
      <c r="C12" s="302">
        <v>0.48799999999999999</v>
      </c>
      <c r="D12" s="302">
        <v>0.86</v>
      </c>
      <c r="E12" s="302">
        <v>1.3819999999999999</v>
      </c>
      <c r="F12" s="302">
        <v>1.843</v>
      </c>
      <c r="G12" s="302">
        <v>2.37</v>
      </c>
      <c r="H12" s="302">
        <v>2.8519999999999999</v>
      </c>
      <c r="I12" s="302">
        <v>3.298</v>
      </c>
      <c r="J12" s="302">
        <v>3.8380000000000001</v>
      </c>
      <c r="K12" s="302">
        <v>4.5010000000000003</v>
      </c>
      <c r="L12" s="302">
        <v>5.3360000000000003</v>
      </c>
      <c r="M12" s="302">
        <v>6.21</v>
      </c>
      <c r="N12" s="302">
        <v>7.0140000000000002</v>
      </c>
      <c r="O12" s="302">
        <v>7.7729999999999997</v>
      </c>
      <c r="P12" s="302">
        <v>8.5229999999999997</v>
      </c>
      <c r="Q12" s="302">
        <v>9.2159999999999993</v>
      </c>
      <c r="R12" s="302">
        <v>10.023999999999999</v>
      </c>
      <c r="S12" s="302">
        <v>10.962999999999999</v>
      </c>
      <c r="T12" s="302">
        <v>11.961</v>
      </c>
      <c r="U12" s="302">
        <v>12.519</v>
      </c>
    </row>
    <row r="13" spans="1:23">
      <c r="A13" s="10" t="s">
        <v>26</v>
      </c>
      <c r="B13" s="302">
        <v>0.25700000000000001</v>
      </c>
      <c r="C13" s="302">
        <v>0.76400000000000001</v>
      </c>
      <c r="D13" s="302">
        <v>1.3740000000000001</v>
      </c>
      <c r="E13" s="302">
        <v>1.9850000000000001</v>
      </c>
      <c r="F13" s="302">
        <v>2.762</v>
      </c>
      <c r="G13" s="302">
        <v>3.5049999999999999</v>
      </c>
      <c r="H13" s="302">
        <v>4.24</v>
      </c>
      <c r="I13" s="302">
        <v>5.1379999999999999</v>
      </c>
      <c r="J13" s="302">
        <v>5.9960000000000004</v>
      </c>
      <c r="K13" s="302">
        <v>6.8710000000000004</v>
      </c>
      <c r="L13" s="302">
        <v>7.5860000000000003</v>
      </c>
      <c r="M13" s="302">
        <v>8.0850000000000009</v>
      </c>
      <c r="N13" s="302">
        <v>9.0050000000000008</v>
      </c>
      <c r="O13" s="302">
        <v>10.061999999999999</v>
      </c>
      <c r="P13" s="302">
        <v>10.869</v>
      </c>
      <c r="Q13" s="302">
        <v>11.93</v>
      </c>
      <c r="R13" s="302">
        <v>13.069000000000001</v>
      </c>
      <c r="S13" s="302">
        <v>14.116</v>
      </c>
      <c r="T13" s="302">
        <v>15.177</v>
      </c>
      <c r="U13" s="302">
        <v>16.125</v>
      </c>
    </row>
    <row r="14" spans="1:23">
      <c r="A14" s="10" t="s">
        <v>18</v>
      </c>
      <c r="B14" s="302">
        <v>0.67400000000000004</v>
      </c>
      <c r="C14" s="302">
        <v>2.012</v>
      </c>
      <c r="D14" s="302">
        <v>3.7040000000000002</v>
      </c>
      <c r="E14" s="302">
        <v>5.5750000000000002</v>
      </c>
      <c r="F14" s="302">
        <v>7.3520000000000003</v>
      </c>
      <c r="G14" s="302">
        <v>9.2379999999999995</v>
      </c>
      <c r="H14" s="302">
        <v>10.698</v>
      </c>
      <c r="I14" s="302">
        <v>11.768000000000001</v>
      </c>
      <c r="J14" s="302">
        <v>12.747</v>
      </c>
      <c r="K14" s="302">
        <v>13.872999999999999</v>
      </c>
      <c r="L14" s="302">
        <v>15.179</v>
      </c>
      <c r="M14" s="302">
        <v>16.696000000000002</v>
      </c>
      <c r="N14" s="302">
        <v>17.756</v>
      </c>
      <c r="O14" s="302">
        <v>18.635999999999999</v>
      </c>
      <c r="P14" s="302">
        <v>20.045000000000002</v>
      </c>
      <c r="Q14" s="302">
        <v>21.202999999999999</v>
      </c>
      <c r="R14" s="302">
        <v>22.475000000000001</v>
      </c>
      <c r="S14" s="302">
        <v>24.077000000000002</v>
      </c>
      <c r="T14" s="302">
        <v>26.42</v>
      </c>
      <c r="U14" s="302">
        <v>27.943000000000001</v>
      </c>
    </row>
    <row r="15" spans="1:23">
      <c r="A15" s="10" t="s">
        <v>22</v>
      </c>
      <c r="B15" s="302">
        <v>0.754</v>
      </c>
      <c r="C15" s="302">
        <v>2.113</v>
      </c>
      <c r="D15" s="302">
        <v>3.7959999999999998</v>
      </c>
      <c r="E15" s="302">
        <v>5.6340000000000003</v>
      </c>
      <c r="F15" s="302">
        <v>7.2869999999999999</v>
      </c>
      <c r="G15" s="302">
        <v>8.577</v>
      </c>
      <c r="H15" s="302">
        <v>9.9359999999999999</v>
      </c>
      <c r="I15" s="302">
        <v>11.433</v>
      </c>
      <c r="J15" s="302">
        <v>12.792999999999999</v>
      </c>
      <c r="K15" s="302">
        <v>14.01</v>
      </c>
      <c r="L15" s="302">
        <v>15.565</v>
      </c>
      <c r="M15" s="302">
        <v>17.347999999999999</v>
      </c>
      <c r="N15" s="302">
        <v>19.256</v>
      </c>
      <c r="O15" s="302">
        <v>21.039000000000001</v>
      </c>
      <c r="P15" s="302">
        <v>23.248999999999999</v>
      </c>
      <c r="Q15" s="302">
        <v>24.834</v>
      </c>
      <c r="R15" s="302">
        <v>26.231000000000002</v>
      </c>
      <c r="S15" s="302">
        <v>26.704000000000001</v>
      </c>
      <c r="T15" s="302">
        <v>26.901</v>
      </c>
      <c r="U15" s="302">
        <v>26.901</v>
      </c>
    </row>
    <row r="16" spans="1:23">
      <c r="A16" s="10" t="s">
        <v>16</v>
      </c>
      <c r="B16" s="302">
        <v>1.7330000000000001</v>
      </c>
      <c r="C16" s="302">
        <v>4.9669999999999996</v>
      </c>
      <c r="D16" s="302">
        <v>8.8190000000000008</v>
      </c>
      <c r="E16" s="302">
        <v>12.835000000000001</v>
      </c>
      <c r="F16" s="302">
        <v>16.036999999999999</v>
      </c>
      <c r="G16" s="302">
        <v>18.978000000000002</v>
      </c>
      <c r="H16" s="302">
        <v>21.599</v>
      </c>
      <c r="I16" s="302">
        <v>24.294</v>
      </c>
      <c r="J16" s="302">
        <v>26.881</v>
      </c>
      <c r="K16" s="302">
        <v>29.486000000000001</v>
      </c>
      <c r="L16" s="302">
        <v>31.597000000000001</v>
      </c>
      <c r="M16" s="302">
        <v>33.462000000000003</v>
      </c>
      <c r="N16" s="302">
        <v>35.567999999999998</v>
      </c>
      <c r="O16" s="302">
        <v>38.465000000000003</v>
      </c>
      <c r="P16" s="302">
        <v>40.473999999999997</v>
      </c>
      <c r="Q16" s="302">
        <v>42.427</v>
      </c>
      <c r="R16" s="302">
        <v>44.027000000000001</v>
      </c>
      <c r="S16" s="302">
        <v>45.488</v>
      </c>
      <c r="T16" s="302">
        <v>47.040999999999997</v>
      </c>
      <c r="U16" s="302">
        <v>48.47</v>
      </c>
    </row>
    <row r="17" spans="1:21">
      <c r="A17" s="10" t="s">
        <v>14</v>
      </c>
      <c r="B17" s="302">
        <v>2.3210000000000002</v>
      </c>
      <c r="C17" s="302">
        <v>6.4669999999999996</v>
      </c>
      <c r="D17" s="302">
        <v>10.929</v>
      </c>
      <c r="E17" s="302">
        <v>14.911</v>
      </c>
      <c r="F17" s="302">
        <v>18.984000000000002</v>
      </c>
      <c r="G17" s="302">
        <v>23.029</v>
      </c>
      <c r="H17" s="302">
        <v>27.32</v>
      </c>
      <c r="I17" s="302">
        <v>30.835999999999999</v>
      </c>
      <c r="J17" s="302">
        <v>33.896999999999998</v>
      </c>
      <c r="K17" s="302">
        <v>36.847000000000001</v>
      </c>
      <c r="L17" s="302">
        <v>39.268000000000001</v>
      </c>
      <c r="M17" s="302">
        <v>41.814999999999998</v>
      </c>
      <c r="N17" s="302">
        <v>44.393999999999998</v>
      </c>
      <c r="O17" s="302">
        <v>47.005000000000003</v>
      </c>
      <c r="P17" s="302">
        <v>48.628</v>
      </c>
      <c r="Q17" s="302">
        <v>50.098999999999997</v>
      </c>
      <c r="R17" s="302">
        <v>51.927</v>
      </c>
      <c r="S17" s="302">
        <v>53.542000000000002</v>
      </c>
      <c r="T17" s="302">
        <v>55.475999999999999</v>
      </c>
      <c r="U17" s="302">
        <v>58.030999999999999</v>
      </c>
    </row>
    <row r="18" spans="1:21">
      <c r="A18" s="10" t="s">
        <v>13</v>
      </c>
      <c r="B18" s="302">
        <v>3.544</v>
      </c>
      <c r="C18" s="302">
        <v>8.9260000000000002</v>
      </c>
      <c r="D18" s="302">
        <v>14.356</v>
      </c>
      <c r="E18" s="302">
        <v>19.353999999999999</v>
      </c>
      <c r="F18" s="302">
        <v>23.663</v>
      </c>
      <c r="G18" s="302">
        <v>27.702999999999999</v>
      </c>
      <c r="H18" s="302">
        <v>31.286999999999999</v>
      </c>
      <c r="I18" s="302">
        <v>34.369999999999997</v>
      </c>
      <c r="J18" s="302">
        <v>37.530999999999999</v>
      </c>
      <c r="K18" s="302">
        <v>39.957000000000001</v>
      </c>
      <c r="L18" s="302">
        <v>41.701000000000001</v>
      </c>
      <c r="M18" s="302">
        <v>42.951000000000001</v>
      </c>
      <c r="N18" s="302">
        <v>44.277999999999999</v>
      </c>
      <c r="O18" s="302">
        <v>45.734999999999999</v>
      </c>
      <c r="P18" s="302">
        <v>48.033999999999999</v>
      </c>
      <c r="Q18" s="302">
        <v>49.944000000000003</v>
      </c>
      <c r="R18" s="302">
        <v>51.029000000000003</v>
      </c>
      <c r="S18" s="302">
        <v>53.667999999999999</v>
      </c>
      <c r="T18" s="302">
        <v>54.07</v>
      </c>
      <c r="U18" s="302">
        <v>54.07</v>
      </c>
    </row>
    <row r="19" spans="1:21">
      <c r="A19" s="10" t="s">
        <v>11</v>
      </c>
      <c r="B19" s="302">
        <v>5.9790000000000001</v>
      </c>
      <c r="C19" s="302">
        <v>12.993</v>
      </c>
      <c r="D19" s="302">
        <v>19.981000000000002</v>
      </c>
      <c r="E19" s="302">
        <v>25.82</v>
      </c>
      <c r="F19" s="302">
        <v>30.954000000000001</v>
      </c>
      <c r="G19" s="302">
        <v>35.616</v>
      </c>
      <c r="H19" s="302">
        <v>39.353000000000002</v>
      </c>
      <c r="I19" s="302">
        <v>42.597999999999999</v>
      </c>
      <c r="J19" s="302">
        <v>44.816000000000003</v>
      </c>
      <c r="K19" s="302">
        <v>46.837000000000003</v>
      </c>
      <c r="L19" s="302">
        <v>48.957999999999998</v>
      </c>
      <c r="M19" s="302">
        <v>51.418999999999997</v>
      </c>
      <c r="N19" s="302">
        <v>52.89</v>
      </c>
      <c r="O19" s="302">
        <v>54.139000000000003</v>
      </c>
      <c r="P19" s="302">
        <v>55.048999999999999</v>
      </c>
      <c r="Q19" s="302">
        <v>55.048999999999999</v>
      </c>
      <c r="R19" s="302">
        <v>55.295000000000002</v>
      </c>
      <c r="S19" s="302">
        <v>55.704999999999998</v>
      </c>
      <c r="T19" s="302">
        <v>55.704999999999998</v>
      </c>
      <c r="U19" s="302">
        <v>55.704999999999998</v>
      </c>
    </row>
    <row r="20" spans="1:21">
      <c r="A20" s="10" t="s">
        <v>19</v>
      </c>
      <c r="B20" s="302">
        <v>7.5309999999999997</v>
      </c>
      <c r="C20" s="302">
        <v>17.062000000000001</v>
      </c>
      <c r="D20" s="302">
        <v>25.664999999999999</v>
      </c>
      <c r="E20" s="302">
        <v>33.031999999999996</v>
      </c>
      <c r="F20" s="302">
        <v>39.856000000000002</v>
      </c>
      <c r="G20" s="302">
        <v>44.764000000000003</v>
      </c>
      <c r="H20" s="302">
        <v>48.182000000000002</v>
      </c>
      <c r="I20" s="302">
        <v>51.268999999999998</v>
      </c>
      <c r="J20" s="302">
        <v>55.515999999999998</v>
      </c>
      <c r="K20" s="302">
        <v>59.524999999999999</v>
      </c>
      <c r="L20" s="302">
        <v>64.525999999999996</v>
      </c>
      <c r="M20" s="302">
        <v>69.83</v>
      </c>
      <c r="N20" s="302">
        <v>78.150999999999996</v>
      </c>
      <c r="O20" s="302">
        <v>82.349000000000004</v>
      </c>
      <c r="P20" s="302">
        <v>82.349000000000004</v>
      </c>
      <c r="Q20" s="302" t="s">
        <v>44</v>
      </c>
      <c r="R20" s="302" t="s">
        <v>44</v>
      </c>
      <c r="S20" s="302" t="s">
        <v>44</v>
      </c>
      <c r="T20" s="302" t="s">
        <v>44</v>
      </c>
      <c r="U20" s="302" t="s">
        <v>44</v>
      </c>
    </row>
    <row r="21" spans="1:21">
      <c r="A21" s="10" t="s">
        <v>17</v>
      </c>
      <c r="B21" s="302">
        <v>17.495000000000001</v>
      </c>
      <c r="C21" s="302">
        <v>29.376000000000001</v>
      </c>
      <c r="D21" s="302">
        <v>38.591000000000001</v>
      </c>
      <c r="E21" s="302">
        <v>45.673000000000002</v>
      </c>
      <c r="F21" s="302">
        <v>50.954000000000001</v>
      </c>
      <c r="G21" s="302">
        <v>55.835000000000001</v>
      </c>
      <c r="H21" s="302">
        <v>59.953000000000003</v>
      </c>
      <c r="I21" s="302">
        <v>63.631999999999998</v>
      </c>
      <c r="J21" s="302">
        <v>67.433999999999997</v>
      </c>
      <c r="K21" s="302">
        <v>70.274000000000001</v>
      </c>
      <c r="L21" s="302">
        <v>72.503</v>
      </c>
      <c r="M21" s="302">
        <v>72.503</v>
      </c>
      <c r="N21" s="302">
        <v>72.503</v>
      </c>
      <c r="O21" s="302">
        <v>72.503</v>
      </c>
      <c r="P21" s="302">
        <v>75.069000000000003</v>
      </c>
      <c r="Q21" s="302">
        <v>79.644999999999996</v>
      </c>
      <c r="R21" s="302">
        <v>80.866</v>
      </c>
      <c r="S21" s="302">
        <v>80.866</v>
      </c>
      <c r="T21" s="302">
        <v>80.866</v>
      </c>
      <c r="U21" s="302">
        <v>80.866</v>
      </c>
    </row>
    <row r="22" spans="1:21">
      <c r="A22" s="10" t="s">
        <v>12</v>
      </c>
      <c r="B22" s="302">
        <v>29.109000000000002</v>
      </c>
      <c r="C22" s="302">
        <v>44.783999999999999</v>
      </c>
      <c r="D22" s="302">
        <v>53.545999999999999</v>
      </c>
      <c r="E22" s="302">
        <v>59.991999999999997</v>
      </c>
      <c r="F22" s="302">
        <v>66.052000000000007</v>
      </c>
      <c r="G22" s="302">
        <v>68.718000000000004</v>
      </c>
      <c r="H22" s="302">
        <v>72.313000000000002</v>
      </c>
      <c r="I22" s="302">
        <v>76.667000000000002</v>
      </c>
      <c r="J22" s="302">
        <v>79.631</v>
      </c>
      <c r="K22" s="302">
        <v>82.616</v>
      </c>
      <c r="L22" s="302">
        <v>82.616</v>
      </c>
      <c r="M22" s="302">
        <v>82.616</v>
      </c>
      <c r="N22" s="302">
        <v>82.616</v>
      </c>
      <c r="O22" s="302" t="s">
        <v>44</v>
      </c>
      <c r="P22" s="302" t="s">
        <v>44</v>
      </c>
      <c r="Q22" s="302" t="s">
        <v>44</v>
      </c>
      <c r="R22" s="302" t="s">
        <v>44</v>
      </c>
      <c r="S22" s="302" t="s">
        <v>44</v>
      </c>
      <c r="T22" s="302" t="s">
        <v>44</v>
      </c>
      <c r="U22" s="302" t="s">
        <v>44</v>
      </c>
    </row>
    <row r="23" spans="1:21">
      <c r="A23" s="10" t="s">
        <v>31</v>
      </c>
      <c r="B23" s="302">
        <v>42.703000000000003</v>
      </c>
      <c r="C23" s="302">
        <v>54.997</v>
      </c>
      <c r="D23" s="302">
        <v>64.203999999999994</v>
      </c>
      <c r="E23" s="302">
        <v>70.828000000000003</v>
      </c>
      <c r="F23" s="302">
        <v>76.338999999999999</v>
      </c>
      <c r="G23" s="302">
        <v>78.015000000000001</v>
      </c>
      <c r="H23" s="302">
        <v>80.614999999999995</v>
      </c>
      <c r="I23" s="302">
        <v>84.024000000000001</v>
      </c>
      <c r="J23" s="302">
        <v>85.162999999999997</v>
      </c>
      <c r="K23" s="302">
        <v>85.162999999999997</v>
      </c>
      <c r="L23" s="302">
        <v>85.162999999999997</v>
      </c>
      <c r="M23" s="302">
        <v>85.162999999999997</v>
      </c>
      <c r="N23" s="302">
        <v>85.162999999999997</v>
      </c>
      <c r="O23" s="302">
        <v>85.162999999999997</v>
      </c>
      <c r="P23" s="302">
        <v>85.162999999999997</v>
      </c>
      <c r="Q23" s="302">
        <v>85.162999999999997</v>
      </c>
      <c r="R23" s="302">
        <v>85.162999999999997</v>
      </c>
      <c r="S23" s="302">
        <v>85.162999999999997</v>
      </c>
      <c r="T23" s="302" t="s">
        <v>44</v>
      </c>
      <c r="U23" s="302" t="s">
        <v>44</v>
      </c>
    </row>
    <row r="24" spans="1:21">
      <c r="A24" s="296" t="s">
        <v>41</v>
      </c>
      <c r="B24" s="302">
        <v>9.9000000000000005E-2</v>
      </c>
      <c r="C24" s="302">
        <v>0.29599999999999999</v>
      </c>
      <c r="D24" s="302">
        <v>0.55900000000000005</v>
      </c>
      <c r="E24" s="302">
        <v>0.85599999999999998</v>
      </c>
      <c r="F24" s="302">
        <v>1.1850000000000001</v>
      </c>
      <c r="G24" s="302">
        <v>1.5229999999999999</v>
      </c>
      <c r="H24" s="302">
        <v>1.861</v>
      </c>
      <c r="I24" s="302">
        <v>2.2050000000000001</v>
      </c>
      <c r="J24" s="302">
        <v>2.544</v>
      </c>
      <c r="K24" s="302">
        <v>2.8889999999999998</v>
      </c>
      <c r="L24" s="302">
        <v>3.2370000000000001</v>
      </c>
      <c r="M24" s="302">
        <v>3.5910000000000002</v>
      </c>
      <c r="N24" s="302">
        <v>3.9820000000000002</v>
      </c>
      <c r="O24" s="302">
        <v>4.3849999999999998</v>
      </c>
      <c r="P24" s="302">
        <v>4.8159999999999998</v>
      </c>
      <c r="Q24" s="302">
        <v>5.2910000000000004</v>
      </c>
      <c r="R24" s="302">
        <v>5.8079999999999998</v>
      </c>
      <c r="S24" s="302">
        <v>6.3739999999999997</v>
      </c>
      <c r="T24" s="302">
        <v>6.8860000000000001</v>
      </c>
      <c r="U24" s="302">
        <v>7.3490000000000002</v>
      </c>
    </row>
    <row r="25" spans="1:21">
      <c r="A25" s="296" t="s">
        <v>42</v>
      </c>
      <c r="B25" s="302">
        <v>4.6710000000000003</v>
      </c>
      <c r="C25" s="302">
        <v>9.6620000000000008</v>
      </c>
      <c r="D25" s="302">
        <v>14.465</v>
      </c>
      <c r="E25" s="302">
        <v>18.690999999999999</v>
      </c>
      <c r="F25" s="302">
        <v>22.347000000000001</v>
      </c>
      <c r="G25" s="302">
        <v>25.574999999999999</v>
      </c>
      <c r="H25" s="302">
        <v>28.428000000000001</v>
      </c>
      <c r="I25" s="302">
        <v>30.905999999999999</v>
      </c>
      <c r="J25" s="302">
        <v>33.125999999999998</v>
      </c>
      <c r="K25" s="302">
        <v>35.130000000000003</v>
      </c>
      <c r="L25" s="302">
        <v>36.875</v>
      </c>
      <c r="M25" s="302">
        <v>38.566000000000003</v>
      </c>
      <c r="N25" s="302">
        <v>40.186</v>
      </c>
      <c r="O25" s="302">
        <v>41.841000000000001</v>
      </c>
      <c r="P25" s="302">
        <v>43.418999999999997</v>
      </c>
      <c r="Q25" s="302">
        <v>44.710999999999999</v>
      </c>
      <c r="R25" s="302">
        <v>45.886000000000003</v>
      </c>
      <c r="S25" s="302">
        <v>47.030999999999999</v>
      </c>
      <c r="T25" s="302">
        <v>48.252000000000002</v>
      </c>
      <c r="U25" s="302">
        <v>49.241999999999997</v>
      </c>
    </row>
    <row r="26" spans="1:21">
      <c r="A26" s="297" t="s">
        <v>43</v>
      </c>
      <c r="B26" s="304">
        <v>1.855</v>
      </c>
      <c r="C26" s="304">
        <v>3.798</v>
      </c>
      <c r="D26" s="304">
        <v>5.6159999999999997</v>
      </c>
      <c r="E26" s="304">
        <v>7.1719999999999997</v>
      </c>
      <c r="F26" s="304">
        <v>8.4920000000000009</v>
      </c>
      <c r="G26" s="304">
        <v>9.6280000000000001</v>
      </c>
      <c r="H26" s="304">
        <v>10.606999999999999</v>
      </c>
      <c r="I26" s="304">
        <v>11.454000000000001</v>
      </c>
      <c r="J26" s="304">
        <v>12.205</v>
      </c>
      <c r="K26" s="304">
        <v>12.888</v>
      </c>
      <c r="L26" s="304">
        <v>13.499000000000001</v>
      </c>
      <c r="M26" s="304">
        <v>14.087</v>
      </c>
      <c r="N26" s="304">
        <v>14.679</v>
      </c>
      <c r="O26" s="304">
        <v>15.273</v>
      </c>
      <c r="P26" s="304">
        <v>15.864000000000001</v>
      </c>
      <c r="Q26" s="304">
        <v>16.434000000000001</v>
      </c>
      <c r="R26" s="304">
        <v>17.013999999999999</v>
      </c>
      <c r="S26" s="304">
        <v>17.625</v>
      </c>
      <c r="T26" s="304">
        <v>18.201000000000001</v>
      </c>
      <c r="U26" s="304">
        <v>18.704000000000001</v>
      </c>
    </row>
    <row r="27" spans="1:21">
      <c r="A27" s="305" t="s">
        <v>72</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zoomScaleNormal="100" workbookViewId="0"/>
  </sheetViews>
  <sheetFormatPr defaultRowHeight="15"/>
  <cols>
    <col min="1" max="1" width="13.140625" style="10" customWidth="1"/>
    <col min="2" max="11" width="7.28515625" style="10" customWidth="1"/>
    <col min="12" max="16384" width="9.140625" style="10"/>
  </cols>
  <sheetData>
    <row r="1" spans="1:11">
      <c r="A1" s="80" t="s">
        <v>227</v>
      </c>
      <c r="B1" s="69"/>
      <c r="C1" s="69"/>
      <c r="D1" s="69"/>
      <c r="E1" s="69"/>
      <c r="F1" s="69"/>
      <c r="G1" s="69"/>
      <c r="H1" s="69"/>
      <c r="I1" s="69"/>
      <c r="J1" s="69"/>
      <c r="K1" s="69"/>
    </row>
    <row r="2" spans="1:11">
      <c r="A2" s="80"/>
      <c r="B2" s="69"/>
      <c r="C2" s="69"/>
      <c r="D2" s="69"/>
      <c r="E2" s="69"/>
      <c r="F2" s="69"/>
      <c r="G2" s="69"/>
      <c r="H2" s="69"/>
      <c r="I2" s="69"/>
      <c r="J2" s="69"/>
      <c r="K2" s="69"/>
    </row>
    <row r="3" spans="1:11">
      <c r="A3" s="306" t="s">
        <v>70</v>
      </c>
      <c r="B3" s="306">
        <v>1</v>
      </c>
      <c r="C3" s="306">
        <v>2</v>
      </c>
      <c r="D3" s="306">
        <v>3</v>
      </c>
      <c r="E3" s="306">
        <v>4</v>
      </c>
      <c r="F3" s="306">
        <v>5</v>
      </c>
      <c r="G3" s="306">
        <v>6</v>
      </c>
      <c r="H3" s="306">
        <v>7</v>
      </c>
      <c r="I3" s="306">
        <v>8</v>
      </c>
      <c r="J3" s="306">
        <v>9</v>
      </c>
      <c r="K3" s="306">
        <v>10</v>
      </c>
    </row>
    <row r="4" spans="1:11">
      <c r="A4" s="307" t="s">
        <v>1</v>
      </c>
      <c r="B4" s="76">
        <v>0</v>
      </c>
      <c r="C4" s="76">
        <v>3.5999999999999997E-2</v>
      </c>
      <c r="D4" s="76">
        <v>3.5999999999999997E-2</v>
      </c>
      <c r="E4" s="76">
        <v>3.5999999999999997E-2</v>
      </c>
      <c r="F4" s="76">
        <v>3.5999999999999997E-2</v>
      </c>
      <c r="G4" s="76">
        <v>3.5999999999999997E-2</v>
      </c>
      <c r="H4" s="76">
        <v>3.5999999999999997E-2</v>
      </c>
      <c r="I4" s="76">
        <v>3.5999999999999997E-2</v>
      </c>
      <c r="J4" s="76">
        <v>3.5999999999999997E-2</v>
      </c>
      <c r="K4" s="76">
        <v>3.5999999999999997E-2</v>
      </c>
    </row>
    <row r="5" spans="1:11">
      <c r="A5" s="307" t="s">
        <v>29</v>
      </c>
      <c r="B5" s="76">
        <v>0</v>
      </c>
      <c r="C5" s="76">
        <v>0</v>
      </c>
      <c r="D5" s="76">
        <v>0</v>
      </c>
      <c r="E5" s="76">
        <v>0</v>
      </c>
      <c r="F5" s="76">
        <v>5.8999999999999997E-2</v>
      </c>
      <c r="G5" s="76">
        <v>0.19800000000000001</v>
      </c>
      <c r="H5" s="76">
        <v>0.21099999999999999</v>
      </c>
      <c r="I5" s="76">
        <v>0.21099999999999999</v>
      </c>
      <c r="J5" s="76">
        <v>0.21099999999999999</v>
      </c>
      <c r="K5" s="76">
        <v>0.21099999999999999</v>
      </c>
    </row>
    <row r="6" spans="1:11">
      <c r="A6" s="307" t="s">
        <v>28</v>
      </c>
      <c r="B6" s="76">
        <v>0</v>
      </c>
      <c r="C6" s="76">
        <v>1.4E-2</v>
      </c>
      <c r="D6" s="76">
        <v>0.21199999999999999</v>
      </c>
      <c r="E6" s="76">
        <v>0.443</v>
      </c>
      <c r="F6" s="76">
        <v>0.60099999999999998</v>
      </c>
      <c r="G6" s="76">
        <v>0.78700000000000003</v>
      </c>
      <c r="H6" s="76">
        <v>1.0089999999999999</v>
      </c>
      <c r="I6" s="76">
        <v>1.2749999999999999</v>
      </c>
      <c r="J6" s="76">
        <v>1.597</v>
      </c>
      <c r="K6" s="76">
        <v>1.9910000000000001</v>
      </c>
    </row>
    <row r="7" spans="1:11">
      <c r="A7" s="307" t="s">
        <v>24</v>
      </c>
      <c r="B7" s="76">
        <v>5.3999999999999999E-2</v>
      </c>
      <c r="C7" s="76">
        <v>0.159</v>
      </c>
      <c r="D7" s="76">
        <v>0.22600000000000001</v>
      </c>
      <c r="E7" s="76">
        <v>0.376</v>
      </c>
      <c r="F7" s="76">
        <v>0.64900000000000002</v>
      </c>
      <c r="G7" s="76">
        <v>0.84799999999999998</v>
      </c>
      <c r="H7" s="76">
        <v>1.071</v>
      </c>
      <c r="I7" s="76">
        <v>1.216</v>
      </c>
      <c r="J7" s="76">
        <v>1.3919999999999999</v>
      </c>
      <c r="K7" s="76">
        <v>1.627</v>
      </c>
    </row>
    <row r="8" spans="1:11">
      <c r="A8" s="307" t="s">
        <v>23</v>
      </c>
      <c r="B8" s="76">
        <v>0.14499999999999999</v>
      </c>
      <c r="C8" s="76">
        <v>0.33800000000000002</v>
      </c>
      <c r="D8" s="76">
        <v>0.63200000000000001</v>
      </c>
      <c r="E8" s="76">
        <v>1.028</v>
      </c>
      <c r="F8" s="76">
        <v>1.514</v>
      </c>
      <c r="G8" s="76">
        <v>1.966</v>
      </c>
      <c r="H8" s="76">
        <v>2.3940000000000001</v>
      </c>
      <c r="I8" s="76">
        <v>2.79</v>
      </c>
      <c r="J8" s="76">
        <v>3.1850000000000001</v>
      </c>
      <c r="K8" s="76">
        <v>3.6520000000000001</v>
      </c>
    </row>
    <row r="9" spans="1:11">
      <c r="A9" s="307" t="s">
        <v>25</v>
      </c>
      <c r="B9" s="76">
        <v>0.11</v>
      </c>
      <c r="C9" s="76">
        <v>0.32100000000000001</v>
      </c>
      <c r="D9" s="76">
        <v>0.61599999999999999</v>
      </c>
      <c r="E9" s="76">
        <v>0.88100000000000001</v>
      </c>
      <c r="F9" s="76">
        <v>1.274</v>
      </c>
      <c r="G9" s="76">
        <v>1.887</v>
      </c>
      <c r="H9" s="76">
        <v>2.544</v>
      </c>
      <c r="I9" s="76">
        <v>3.3250000000000002</v>
      </c>
      <c r="J9" s="76">
        <v>4.1920000000000002</v>
      </c>
      <c r="K9" s="76">
        <v>5.1609999999999996</v>
      </c>
    </row>
    <row r="10" spans="1:11">
      <c r="A10" s="307" t="s">
        <v>27</v>
      </c>
      <c r="B10" s="76">
        <v>8.1000000000000003E-2</v>
      </c>
      <c r="C10" s="76">
        <v>0.26700000000000002</v>
      </c>
      <c r="D10" s="76">
        <v>0.65</v>
      </c>
      <c r="E10" s="76">
        <v>1.038</v>
      </c>
      <c r="F10" s="76">
        <v>1.498</v>
      </c>
      <c r="G10" s="76">
        <v>1.8260000000000001</v>
      </c>
      <c r="H10" s="76">
        <v>2.3260000000000001</v>
      </c>
      <c r="I10" s="76">
        <v>2.9790000000000001</v>
      </c>
      <c r="J10" s="76">
        <v>3.7370000000000001</v>
      </c>
      <c r="K10" s="76">
        <v>4.4509999999999996</v>
      </c>
    </row>
    <row r="11" spans="1:11">
      <c r="A11" s="307" t="s">
        <v>15</v>
      </c>
      <c r="B11" s="76">
        <v>0.193</v>
      </c>
      <c r="C11" s="76">
        <v>0.496</v>
      </c>
      <c r="D11" s="76">
        <v>0.76700000000000002</v>
      </c>
      <c r="E11" s="76">
        <v>1.0129999999999999</v>
      </c>
      <c r="F11" s="76">
        <v>1.268</v>
      </c>
      <c r="G11" s="76">
        <v>1.587</v>
      </c>
      <c r="H11" s="76">
        <v>1.8720000000000001</v>
      </c>
      <c r="I11" s="76">
        <v>2.169</v>
      </c>
      <c r="J11" s="76">
        <v>2.415</v>
      </c>
      <c r="K11" s="76">
        <v>2.8069999999999999</v>
      </c>
    </row>
    <row r="12" spans="1:11">
      <c r="A12" s="307" t="s">
        <v>21</v>
      </c>
      <c r="B12" s="76">
        <v>0.20200000000000001</v>
      </c>
      <c r="C12" s="76">
        <v>0.52400000000000002</v>
      </c>
      <c r="D12" s="76">
        <v>0.86399999999999999</v>
      </c>
      <c r="E12" s="76">
        <v>1.268</v>
      </c>
      <c r="F12" s="76">
        <v>1.581</v>
      </c>
      <c r="G12" s="76">
        <v>1.966</v>
      </c>
      <c r="H12" s="76">
        <v>2.3119999999999998</v>
      </c>
      <c r="I12" s="76">
        <v>2.6080000000000001</v>
      </c>
      <c r="J12" s="76">
        <v>3.008</v>
      </c>
      <c r="K12" s="76">
        <v>3.4329999999999998</v>
      </c>
    </row>
    <row r="13" spans="1:11">
      <c r="A13" s="307" t="s">
        <v>26</v>
      </c>
      <c r="B13" s="76">
        <v>0.28199999999999997</v>
      </c>
      <c r="C13" s="76">
        <v>0.78500000000000003</v>
      </c>
      <c r="D13" s="76">
        <v>1.3839999999999999</v>
      </c>
      <c r="E13" s="76">
        <v>1.9630000000000001</v>
      </c>
      <c r="F13" s="76">
        <v>2.649</v>
      </c>
      <c r="G13" s="76">
        <v>3.0960000000000001</v>
      </c>
      <c r="H13" s="76">
        <v>3.68</v>
      </c>
      <c r="I13" s="76">
        <v>4.6079999999999997</v>
      </c>
      <c r="J13" s="76">
        <v>5.5759999999999996</v>
      </c>
      <c r="K13" s="76">
        <v>6.8520000000000003</v>
      </c>
    </row>
    <row r="14" spans="1:11">
      <c r="A14" s="307" t="s">
        <v>18</v>
      </c>
      <c r="B14" s="76">
        <v>0.443</v>
      </c>
      <c r="C14" s="76">
        <v>1.75</v>
      </c>
      <c r="D14" s="76">
        <v>3.2069999999999999</v>
      </c>
      <c r="E14" s="76">
        <v>4.53</v>
      </c>
      <c r="F14" s="76">
        <v>6.0119999999999996</v>
      </c>
      <c r="G14" s="76">
        <v>7.4379999999999997</v>
      </c>
      <c r="H14" s="76">
        <v>8.7409999999999997</v>
      </c>
      <c r="I14" s="76">
        <v>9.8770000000000007</v>
      </c>
      <c r="J14" s="76">
        <v>11.217000000000001</v>
      </c>
      <c r="K14" s="76">
        <v>12.874000000000001</v>
      </c>
    </row>
    <row r="15" spans="1:11">
      <c r="A15" s="307" t="s">
        <v>22</v>
      </c>
      <c r="B15" s="76">
        <v>0.69199999999999995</v>
      </c>
      <c r="C15" s="76">
        <v>1.63</v>
      </c>
      <c r="D15" s="76">
        <v>2.802</v>
      </c>
      <c r="E15" s="76">
        <v>4.1749999999999998</v>
      </c>
      <c r="F15" s="76">
        <v>5.3049999999999997</v>
      </c>
      <c r="G15" s="76">
        <v>6.2779999999999996</v>
      </c>
      <c r="H15" s="76">
        <v>7.2069999999999999</v>
      </c>
      <c r="I15" s="76">
        <v>8.7759999999999998</v>
      </c>
      <c r="J15" s="76">
        <v>10.003</v>
      </c>
      <c r="K15" s="76">
        <v>11.71</v>
      </c>
    </row>
    <row r="16" spans="1:11">
      <c r="A16" s="307" t="s">
        <v>16</v>
      </c>
      <c r="B16" s="76">
        <v>1.1120000000000001</v>
      </c>
      <c r="C16" s="76">
        <v>3.2559999999999998</v>
      </c>
      <c r="D16" s="76">
        <v>5.8159999999999998</v>
      </c>
      <c r="E16" s="76">
        <v>8.6669999999999998</v>
      </c>
      <c r="F16" s="76">
        <v>10.552</v>
      </c>
      <c r="G16" s="76">
        <v>12.316000000000001</v>
      </c>
      <c r="H16" s="76">
        <v>13.87</v>
      </c>
      <c r="I16" s="76">
        <v>16.132000000000001</v>
      </c>
      <c r="J16" s="76">
        <v>18.791</v>
      </c>
      <c r="K16" s="76">
        <v>21.448</v>
      </c>
    </row>
    <row r="17" spans="1:11">
      <c r="A17" s="307" t="s">
        <v>14</v>
      </c>
      <c r="B17" s="76">
        <v>1.53</v>
      </c>
      <c r="C17" s="76">
        <v>5.0540000000000003</v>
      </c>
      <c r="D17" s="76">
        <v>9.0129999999999999</v>
      </c>
      <c r="E17" s="76">
        <v>12.393000000000001</v>
      </c>
      <c r="F17" s="76">
        <v>15.225</v>
      </c>
      <c r="G17" s="76">
        <v>17.940999999999999</v>
      </c>
      <c r="H17" s="76">
        <v>20.911000000000001</v>
      </c>
      <c r="I17" s="76">
        <v>23.652999999999999</v>
      </c>
      <c r="J17" s="76">
        <v>26.355</v>
      </c>
      <c r="K17" s="76">
        <v>29.382000000000001</v>
      </c>
    </row>
    <row r="18" spans="1:11">
      <c r="A18" s="307" t="s">
        <v>13</v>
      </c>
      <c r="B18" s="76">
        <v>3.0790000000000002</v>
      </c>
      <c r="C18" s="76">
        <v>8.077</v>
      </c>
      <c r="D18" s="76">
        <v>13.332000000000001</v>
      </c>
      <c r="E18" s="76">
        <v>18.309000000000001</v>
      </c>
      <c r="F18" s="76">
        <v>22.077999999999999</v>
      </c>
      <c r="G18" s="76">
        <v>25.725999999999999</v>
      </c>
      <c r="H18" s="76">
        <v>28.997</v>
      </c>
      <c r="I18" s="76">
        <v>31.798999999999999</v>
      </c>
      <c r="J18" s="76">
        <v>34.865000000000002</v>
      </c>
      <c r="K18" s="76">
        <v>37.161999999999999</v>
      </c>
    </row>
    <row r="19" spans="1:11">
      <c r="A19" s="307" t="s">
        <v>11</v>
      </c>
      <c r="B19" s="76">
        <v>4.415</v>
      </c>
      <c r="C19" s="76">
        <v>10.949</v>
      </c>
      <c r="D19" s="76">
        <v>18.02</v>
      </c>
      <c r="E19" s="76">
        <v>23.65</v>
      </c>
      <c r="F19" s="76">
        <v>28.414000000000001</v>
      </c>
      <c r="G19" s="76">
        <v>32.655999999999999</v>
      </c>
      <c r="H19" s="76">
        <v>36.212000000000003</v>
      </c>
      <c r="I19" s="76">
        <v>39.472000000000001</v>
      </c>
      <c r="J19" s="76">
        <v>42.207999999999998</v>
      </c>
      <c r="K19" s="76">
        <v>44.213000000000001</v>
      </c>
    </row>
    <row r="20" spans="1:11">
      <c r="A20" s="307" t="s">
        <v>19</v>
      </c>
      <c r="B20" s="76">
        <v>7.5430000000000001</v>
      </c>
      <c r="C20" s="76">
        <v>17.056000000000001</v>
      </c>
      <c r="D20" s="76">
        <v>25.625</v>
      </c>
      <c r="E20" s="76">
        <v>32.890999999999998</v>
      </c>
      <c r="F20" s="76">
        <v>39.704999999999998</v>
      </c>
      <c r="G20" s="76">
        <v>44.69</v>
      </c>
      <c r="H20" s="76">
        <v>48.154000000000003</v>
      </c>
      <c r="I20" s="76">
        <v>51.262</v>
      </c>
      <c r="J20" s="76">
        <v>55.063000000000002</v>
      </c>
      <c r="K20" s="76">
        <v>59.18</v>
      </c>
    </row>
    <row r="21" spans="1:11">
      <c r="A21" s="296" t="s">
        <v>17</v>
      </c>
      <c r="B21" s="76">
        <v>17.23</v>
      </c>
      <c r="C21" s="76">
        <v>30.114000000000001</v>
      </c>
      <c r="D21" s="76">
        <v>40.015999999999998</v>
      </c>
      <c r="E21" s="76">
        <v>46.962000000000003</v>
      </c>
      <c r="F21" s="76">
        <v>52.470999999999997</v>
      </c>
      <c r="G21" s="76">
        <v>57.256999999999998</v>
      </c>
      <c r="H21" s="76">
        <v>61.514000000000003</v>
      </c>
      <c r="I21" s="76">
        <v>65.049000000000007</v>
      </c>
      <c r="J21" s="76">
        <v>67.921000000000006</v>
      </c>
      <c r="K21" s="76">
        <v>67.921000000000006</v>
      </c>
    </row>
    <row r="22" spans="1:11">
      <c r="A22" s="296" t="s">
        <v>12</v>
      </c>
      <c r="B22" s="76">
        <v>29.484000000000002</v>
      </c>
      <c r="C22" s="76">
        <v>45.152999999999999</v>
      </c>
      <c r="D22" s="76">
        <v>54.018999999999998</v>
      </c>
      <c r="E22" s="76">
        <v>60.381999999999998</v>
      </c>
      <c r="F22" s="76">
        <v>66.332999999999998</v>
      </c>
      <c r="G22" s="76">
        <v>68.116</v>
      </c>
      <c r="H22" s="76">
        <v>70.736999999999995</v>
      </c>
      <c r="I22" s="76">
        <v>74.117999999999995</v>
      </c>
      <c r="J22" s="76">
        <v>75.167000000000002</v>
      </c>
      <c r="K22" s="76">
        <v>75.167000000000002</v>
      </c>
    </row>
    <row r="23" spans="1:11">
      <c r="A23" s="296" t="s">
        <v>38</v>
      </c>
      <c r="B23" s="76">
        <v>47.423000000000002</v>
      </c>
      <c r="C23" s="76">
        <v>60.691000000000003</v>
      </c>
      <c r="D23" s="76">
        <v>70.381</v>
      </c>
      <c r="E23" s="76">
        <v>76.337999999999994</v>
      </c>
      <c r="F23" s="76">
        <v>80.513000000000005</v>
      </c>
      <c r="G23" s="76">
        <v>81.268000000000001</v>
      </c>
      <c r="H23" s="76">
        <v>82.462000000000003</v>
      </c>
      <c r="I23" s="76">
        <v>85.179000000000002</v>
      </c>
      <c r="J23" s="76">
        <v>86.734999999999999</v>
      </c>
      <c r="K23" s="76">
        <v>86.734999999999999</v>
      </c>
    </row>
    <row r="24" spans="1:11">
      <c r="A24" s="296" t="s">
        <v>41</v>
      </c>
      <c r="B24" s="76">
        <v>0.13600000000000001</v>
      </c>
      <c r="C24" s="76">
        <v>0.36799999999999999</v>
      </c>
      <c r="D24" s="76">
        <v>0.66100000000000003</v>
      </c>
      <c r="E24" s="76">
        <v>0.97399999999999998</v>
      </c>
      <c r="F24" s="76">
        <v>1.331</v>
      </c>
      <c r="G24" s="76">
        <v>1.69</v>
      </c>
      <c r="H24" s="76">
        <v>2.0819999999999999</v>
      </c>
      <c r="I24" s="76">
        <v>2.532</v>
      </c>
      <c r="J24" s="76">
        <v>3.028</v>
      </c>
      <c r="K24" s="76">
        <v>3.5990000000000002</v>
      </c>
    </row>
    <row r="25" spans="1:11">
      <c r="A25" s="296" t="s">
        <v>42</v>
      </c>
      <c r="B25" s="76">
        <v>4.8090000000000002</v>
      </c>
      <c r="C25" s="76">
        <v>9.9600000000000009</v>
      </c>
      <c r="D25" s="76">
        <v>14.882999999999999</v>
      </c>
      <c r="E25" s="76">
        <v>19.013000000000002</v>
      </c>
      <c r="F25" s="76">
        <v>22.3</v>
      </c>
      <c r="G25" s="76">
        <v>25.097000000000001</v>
      </c>
      <c r="H25" s="76">
        <v>27.544</v>
      </c>
      <c r="I25" s="76">
        <v>29.887</v>
      </c>
      <c r="J25" s="76">
        <v>32.206000000000003</v>
      </c>
      <c r="K25" s="76">
        <v>34.354999999999997</v>
      </c>
    </row>
    <row r="26" spans="1:11">
      <c r="A26" s="297" t="s">
        <v>43</v>
      </c>
      <c r="B26" s="273">
        <v>2.052</v>
      </c>
      <c r="C26" s="273">
        <v>4.1970000000000001</v>
      </c>
      <c r="D26" s="273">
        <v>6.1849999999999996</v>
      </c>
      <c r="E26" s="273">
        <v>7.8070000000000004</v>
      </c>
      <c r="F26" s="273">
        <v>9.1020000000000003</v>
      </c>
      <c r="G26" s="273">
        <v>10.185</v>
      </c>
      <c r="H26" s="273">
        <v>11.14</v>
      </c>
      <c r="I26" s="273">
        <v>12.069000000000001</v>
      </c>
      <c r="J26" s="273">
        <v>12.991</v>
      </c>
      <c r="K26" s="273">
        <v>13.9</v>
      </c>
    </row>
    <row r="27" spans="1:11">
      <c r="A27" s="308" t="s">
        <v>72</v>
      </c>
      <c r="B27" s="296"/>
      <c r="C27" s="296"/>
      <c r="D27" s="296"/>
      <c r="E27" s="296"/>
      <c r="F27" s="296"/>
      <c r="G27" s="296"/>
      <c r="H27" s="296"/>
      <c r="I27" s="296"/>
      <c r="J27" s="296"/>
      <c r="K27" s="296"/>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zoomScaleNormal="100" workbookViewId="0"/>
  </sheetViews>
  <sheetFormatPr defaultRowHeight="15"/>
  <cols>
    <col min="1" max="1" width="26.5703125" style="10" customWidth="1"/>
    <col min="2" max="11" width="7.28515625" style="10" customWidth="1"/>
    <col min="12" max="16384" width="9.140625" style="10"/>
  </cols>
  <sheetData>
    <row r="1" spans="1:11">
      <c r="A1" s="79" t="s">
        <v>228</v>
      </c>
      <c r="C1" s="74"/>
      <c r="D1" s="74"/>
      <c r="G1" s="75"/>
    </row>
    <row r="2" spans="1:11">
      <c r="A2" s="79"/>
      <c r="C2" s="74"/>
      <c r="D2" s="74"/>
      <c r="G2" s="75"/>
    </row>
    <row r="3" spans="1:11">
      <c r="A3" s="309" t="s">
        <v>204</v>
      </c>
      <c r="B3" s="309">
        <v>1</v>
      </c>
      <c r="C3" s="309">
        <v>2</v>
      </c>
      <c r="D3" s="309">
        <v>3</v>
      </c>
      <c r="E3" s="309">
        <v>4</v>
      </c>
      <c r="F3" s="309">
        <v>5</v>
      </c>
      <c r="G3" s="309">
        <v>6</v>
      </c>
      <c r="H3" s="309">
        <v>7</v>
      </c>
      <c r="I3" s="309">
        <v>8</v>
      </c>
      <c r="J3" s="309">
        <v>9</v>
      </c>
      <c r="K3" s="309">
        <v>10</v>
      </c>
    </row>
    <row r="4" spans="1:11">
      <c r="A4" s="310" t="s">
        <v>63</v>
      </c>
      <c r="B4" s="76">
        <v>0.60199999999999998</v>
      </c>
      <c r="C4" s="76">
        <v>1.25</v>
      </c>
      <c r="D4" s="76">
        <v>1.921</v>
      </c>
      <c r="E4" s="76">
        <v>2.5510000000000002</v>
      </c>
      <c r="F4" s="76">
        <v>3.125</v>
      </c>
      <c r="G4" s="76">
        <v>3.677</v>
      </c>
      <c r="H4" s="76">
        <v>4.1870000000000003</v>
      </c>
      <c r="I4" s="76">
        <v>4.702</v>
      </c>
      <c r="J4" s="76">
        <v>5.194</v>
      </c>
      <c r="K4" s="76">
        <v>5.6970000000000001</v>
      </c>
    </row>
    <row r="5" spans="1:11">
      <c r="A5" s="310" t="s">
        <v>53</v>
      </c>
      <c r="B5" s="76">
        <v>2.2040000000000002</v>
      </c>
      <c r="C5" s="76">
        <v>4.6109999999999998</v>
      </c>
      <c r="D5" s="76">
        <v>6.9130000000000003</v>
      </c>
      <c r="E5" s="76">
        <v>8.99</v>
      </c>
      <c r="F5" s="76">
        <v>10.813000000000001</v>
      </c>
      <c r="G5" s="76">
        <v>12.43</v>
      </c>
      <c r="H5" s="76">
        <v>13.894</v>
      </c>
      <c r="I5" s="76">
        <v>15.254</v>
      </c>
      <c r="J5" s="76">
        <v>16.513000000000002</v>
      </c>
      <c r="K5" s="76">
        <v>17.667000000000002</v>
      </c>
    </row>
    <row r="6" spans="1:11">
      <c r="A6" s="310" t="s">
        <v>57</v>
      </c>
      <c r="B6" s="76">
        <v>2.5830000000000002</v>
      </c>
      <c r="C6" s="76">
        <v>5.2930000000000001</v>
      </c>
      <c r="D6" s="76">
        <v>7.8019999999999996</v>
      </c>
      <c r="E6" s="76">
        <v>9.9710000000000001</v>
      </c>
      <c r="F6" s="76">
        <v>11.802</v>
      </c>
      <c r="G6" s="76">
        <v>13.398</v>
      </c>
      <c r="H6" s="76">
        <v>14.786</v>
      </c>
      <c r="I6" s="76">
        <v>15.983000000000001</v>
      </c>
      <c r="J6" s="76">
        <v>17.12</v>
      </c>
      <c r="K6" s="76">
        <v>18.108000000000001</v>
      </c>
    </row>
    <row r="7" spans="1:11">
      <c r="A7" s="310" t="s">
        <v>56</v>
      </c>
      <c r="B7" s="76">
        <v>1.587</v>
      </c>
      <c r="C7" s="76">
        <v>3.1389999999999998</v>
      </c>
      <c r="D7" s="76">
        <v>4.49</v>
      </c>
      <c r="E7" s="76">
        <v>5.6040000000000001</v>
      </c>
      <c r="F7" s="76">
        <v>6.585</v>
      </c>
      <c r="G7" s="76">
        <v>7.431</v>
      </c>
      <c r="H7" s="76">
        <v>8.1259999999999994</v>
      </c>
      <c r="I7" s="76">
        <v>8.6940000000000008</v>
      </c>
      <c r="J7" s="76">
        <v>9.2479999999999993</v>
      </c>
      <c r="K7" s="76">
        <v>9.7590000000000003</v>
      </c>
    </row>
    <row r="8" spans="1:11">
      <c r="A8" s="66" t="s">
        <v>73</v>
      </c>
      <c r="B8" s="76">
        <v>0.79700000000000004</v>
      </c>
      <c r="C8" s="76">
        <v>1.659</v>
      </c>
      <c r="D8" s="76">
        <v>2.5009999999999999</v>
      </c>
      <c r="E8" s="76">
        <v>3.2530000000000001</v>
      </c>
      <c r="F8" s="76">
        <v>3.927</v>
      </c>
      <c r="G8" s="76">
        <v>4.593</v>
      </c>
      <c r="H8" s="76">
        <v>5.258</v>
      </c>
      <c r="I8" s="76">
        <v>5.9160000000000004</v>
      </c>
      <c r="J8" s="76">
        <v>6.6130000000000004</v>
      </c>
      <c r="K8" s="76">
        <v>7.3650000000000002</v>
      </c>
    </row>
    <row r="9" spans="1:11">
      <c r="A9" s="310" t="s">
        <v>60</v>
      </c>
      <c r="B9" s="76">
        <v>4.008</v>
      </c>
      <c r="C9" s="76">
        <v>8.1150000000000002</v>
      </c>
      <c r="D9" s="76">
        <v>12.055999999999999</v>
      </c>
      <c r="E9" s="76">
        <v>15.412000000000001</v>
      </c>
      <c r="F9" s="76">
        <v>18.481000000000002</v>
      </c>
      <c r="G9" s="76">
        <v>21.081</v>
      </c>
      <c r="H9" s="76">
        <v>23.143000000000001</v>
      </c>
      <c r="I9" s="76">
        <v>24.873000000000001</v>
      </c>
      <c r="J9" s="76">
        <v>26.402999999999999</v>
      </c>
      <c r="K9" s="76">
        <v>27.902000000000001</v>
      </c>
    </row>
    <row r="10" spans="1:11">
      <c r="A10" s="310" t="s">
        <v>58</v>
      </c>
      <c r="B10" s="76">
        <v>2.839</v>
      </c>
      <c r="C10" s="76">
        <v>5.8380000000000001</v>
      </c>
      <c r="D10" s="76">
        <v>8.7249999999999996</v>
      </c>
      <c r="E10" s="76">
        <v>11.196999999999999</v>
      </c>
      <c r="F10" s="76">
        <v>13.388</v>
      </c>
      <c r="G10" s="76">
        <v>15.289</v>
      </c>
      <c r="H10" s="76">
        <v>16.829999999999998</v>
      </c>
      <c r="I10" s="76">
        <v>18.239999999999998</v>
      </c>
      <c r="J10" s="76">
        <v>19.66</v>
      </c>
      <c r="K10" s="76">
        <v>21.029</v>
      </c>
    </row>
    <row r="11" spans="1:11">
      <c r="A11" s="66" t="s">
        <v>74</v>
      </c>
      <c r="B11" s="76">
        <v>0.24199999999999999</v>
      </c>
      <c r="C11" s="76">
        <v>0.51700000000000002</v>
      </c>
      <c r="D11" s="76">
        <v>0.67900000000000005</v>
      </c>
      <c r="E11" s="76">
        <v>0.79700000000000004</v>
      </c>
      <c r="F11" s="76">
        <v>0.93200000000000005</v>
      </c>
      <c r="G11" s="76">
        <v>0.94399999999999995</v>
      </c>
      <c r="H11" s="76">
        <v>0.94399999999999995</v>
      </c>
      <c r="I11" s="76">
        <v>0.94399999999999995</v>
      </c>
      <c r="J11" s="76">
        <v>0.94399999999999995</v>
      </c>
      <c r="K11" s="76">
        <v>0.94399999999999995</v>
      </c>
    </row>
    <row r="12" spans="1:11">
      <c r="A12" s="310" t="s">
        <v>54</v>
      </c>
      <c r="B12" s="76">
        <v>1.8819999999999999</v>
      </c>
      <c r="C12" s="76">
        <v>3.8180000000000001</v>
      </c>
      <c r="D12" s="76">
        <v>5.5270000000000001</v>
      </c>
      <c r="E12" s="76">
        <v>6.8630000000000004</v>
      </c>
      <c r="F12" s="76">
        <v>7.8730000000000002</v>
      </c>
      <c r="G12" s="76">
        <v>8.6270000000000007</v>
      </c>
      <c r="H12" s="76">
        <v>9.2629999999999999</v>
      </c>
      <c r="I12" s="76">
        <v>9.7479999999999993</v>
      </c>
      <c r="J12" s="76">
        <v>10.145</v>
      </c>
      <c r="K12" s="76">
        <v>10.510999999999999</v>
      </c>
    </row>
    <row r="13" spans="1:11">
      <c r="A13" s="310" t="s">
        <v>52</v>
      </c>
      <c r="B13" s="76">
        <v>2.4260000000000002</v>
      </c>
      <c r="C13" s="76">
        <v>4.5359999999999996</v>
      </c>
      <c r="D13" s="76">
        <v>6.3920000000000003</v>
      </c>
      <c r="E13" s="76">
        <v>8.0020000000000007</v>
      </c>
      <c r="F13" s="76">
        <v>9.375</v>
      </c>
      <c r="G13" s="76">
        <v>10.59</v>
      </c>
      <c r="H13" s="76">
        <v>11.608000000000001</v>
      </c>
      <c r="I13" s="76">
        <v>12.573</v>
      </c>
      <c r="J13" s="76">
        <v>13.502000000000001</v>
      </c>
      <c r="K13" s="76">
        <v>14.491</v>
      </c>
    </row>
    <row r="14" spans="1:11">
      <c r="A14" s="311" t="s">
        <v>62</v>
      </c>
      <c r="B14" s="273">
        <v>0.152</v>
      </c>
      <c r="C14" s="273">
        <v>0.29899999999999999</v>
      </c>
      <c r="D14" s="273">
        <v>0.437</v>
      </c>
      <c r="E14" s="273">
        <v>0.56599999999999995</v>
      </c>
      <c r="F14" s="273">
        <v>0.69499999999999995</v>
      </c>
      <c r="G14" s="273">
        <v>0.82499999999999996</v>
      </c>
      <c r="H14" s="273">
        <v>0.94199999999999995</v>
      </c>
      <c r="I14" s="273">
        <v>1.046</v>
      </c>
      <c r="J14" s="273">
        <v>1.1579999999999999</v>
      </c>
      <c r="K14" s="273">
        <v>1.2769999999999999</v>
      </c>
    </row>
    <row r="15" spans="1:11">
      <c r="A15" s="312" t="s">
        <v>72</v>
      </c>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zoomScaleNormal="100" workbookViewId="0"/>
  </sheetViews>
  <sheetFormatPr defaultRowHeight="15"/>
  <cols>
    <col min="1" max="1" width="6.7109375" style="126" customWidth="1"/>
    <col min="2" max="2" width="7.85546875" style="74" customWidth="1"/>
    <col min="3" max="3" width="11.28515625" style="74" customWidth="1"/>
    <col min="4" max="4" width="11" style="74" customWidth="1"/>
    <col min="5" max="5" width="13.28515625" style="74" customWidth="1"/>
    <col min="6" max="6" width="10.7109375" style="74" customWidth="1"/>
    <col min="7" max="7" width="11" style="74" customWidth="1"/>
    <col min="8" max="8" width="12.28515625" style="74" customWidth="1"/>
    <col min="9" max="9" width="14.140625" style="74" customWidth="1"/>
    <col min="10" max="10" width="12.5703125" style="74" customWidth="1"/>
    <col min="11" max="11" width="15.28515625" style="74" customWidth="1"/>
    <col min="12" max="12" width="9.42578125" style="74" customWidth="1"/>
    <col min="13" max="16384" width="9.140625" style="74"/>
  </cols>
  <sheetData>
    <row r="1" spans="1:12">
      <c r="A1" s="125" t="s">
        <v>229</v>
      </c>
      <c r="B1" s="70"/>
      <c r="C1" s="70"/>
      <c r="D1" s="70"/>
      <c r="E1" s="70"/>
      <c r="F1" s="70"/>
      <c r="G1" s="70"/>
      <c r="H1" s="70"/>
      <c r="I1" s="70"/>
      <c r="J1" s="70"/>
      <c r="K1" s="70"/>
      <c r="L1" s="70"/>
    </row>
    <row r="2" spans="1:12">
      <c r="A2" s="125"/>
      <c r="B2" s="70"/>
      <c r="C2" s="70"/>
      <c r="D2" s="70"/>
      <c r="E2" s="70"/>
      <c r="F2" s="70"/>
      <c r="G2" s="70"/>
      <c r="H2" s="70"/>
      <c r="I2" s="70"/>
      <c r="J2" s="70"/>
      <c r="K2" s="70"/>
      <c r="L2" s="70"/>
    </row>
    <row r="3" spans="1:12" ht="30">
      <c r="A3" s="313" t="s">
        <v>40</v>
      </c>
      <c r="B3" s="314" t="s">
        <v>63</v>
      </c>
      <c r="C3" s="314" t="s">
        <v>53</v>
      </c>
      <c r="D3" s="314" t="s">
        <v>57</v>
      </c>
      <c r="E3" s="314" t="s">
        <v>56</v>
      </c>
      <c r="F3" s="314" t="s">
        <v>73</v>
      </c>
      <c r="G3" s="314" t="s">
        <v>60</v>
      </c>
      <c r="H3" s="314" t="s">
        <v>58</v>
      </c>
      <c r="I3" s="314" t="s">
        <v>205</v>
      </c>
      <c r="J3" s="314" t="s">
        <v>54</v>
      </c>
      <c r="K3" s="314" t="s">
        <v>52</v>
      </c>
      <c r="L3" s="314" t="s">
        <v>62</v>
      </c>
    </row>
    <row r="4" spans="1:12">
      <c r="A4" s="126">
        <v>1970</v>
      </c>
      <c r="B4" s="315" t="s">
        <v>44</v>
      </c>
      <c r="C4" s="315">
        <v>0</v>
      </c>
      <c r="D4" s="315">
        <v>0.92600000000000005</v>
      </c>
      <c r="E4" s="315">
        <v>0</v>
      </c>
      <c r="F4" s="315">
        <v>16.667000000000002</v>
      </c>
      <c r="G4" s="315">
        <v>0</v>
      </c>
      <c r="H4" s="315">
        <v>0</v>
      </c>
      <c r="I4" s="315">
        <v>0</v>
      </c>
      <c r="J4" s="315">
        <v>0.83299999999999996</v>
      </c>
      <c r="K4" s="315">
        <v>15.385</v>
      </c>
      <c r="L4" s="315">
        <v>0</v>
      </c>
    </row>
    <row r="5" spans="1:12">
      <c r="A5" s="126">
        <v>1971</v>
      </c>
      <c r="B5" s="315" t="s">
        <v>44</v>
      </c>
      <c r="C5" s="315">
        <v>0</v>
      </c>
      <c r="D5" s="315">
        <v>0</v>
      </c>
      <c r="E5" s="315">
        <v>0</v>
      </c>
      <c r="F5" s="315">
        <v>0</v>
      </c>
      <c r="G5" s="315">
        <v>0</v>
      </c>
      <c r="H5" s="315">
        <v>0</v>
      </c>
      <c r="I5" s="315">
        <v>0</v>
      </c>
      <c r="J5" s="315">
        <v>0</v>
      </c>
      <c r="K5" s="315">
        <v>2.2959999999999998</v>
      </c>
      <c r="L5" s="315">
        <v>0</v>
      </c>
    </row>
    <row r="6" spans="1:12">
      <c r="A6" s="126">
        <v>1972</v>
      </c>
      <c r="B6" s="315" t="s">
        <v>44</v>
      </c>
      <c r="C6" s="315">
        <v>0.35599999999999998</v>
      </c>
      <c r="D6" s="315">
        <v>0</v>
      </c>
      <c r="E6" s="315">
        <v>0</v>
      </c>
      <c r="F6" s="315">
        <v>0</v>
      </c>
      <c r="G6" s="315">
        <v>0</v>
      </c>
      <c r="H6" s="315">
        <v>0</v>
      </c>
      <c r="I6" s="315">
        <v>0</v>
      </c>
      <c r="J6" s="315">
        <v>0</v>
      </c>
      <c r="K6" s="315">
        <v>3.03</v>
      </c>
      <c r="L6" s="315">
        <v>0</v>
      </c>
    </row>
    <row r="7" spans="1:12">
      <c r="A7" s="126">
        <v>1973</v>
      </c>
      <c r="B7" s="315" t="s">
        <v>44</v>
      </c>
      <c r="C7" s="315">
        <v>0.36199999999999999</v>
      </c>
      <c r="D7" s="315">
        <v>0</v>
      </c>
      <c r="E7" s="315">
        <v>0</v>
      </c>
      <c r="F7" s="315">
        <v>0</v>
      </c>
      <c r="G7" s="315">
        <v>0</v>
      </c>
      <c r="H7" s="315">
        <v>2.9849999999999999</v>
      </c>
      <c r="I7" s="315">
        <v>0</v>
      </c>
      <c r="J7" s="315">
        <v>0</v>
      </c>
      <c r="K7" s="315">
        <v>1.6</v>
      </c>
      <c r="L7" s="315">
        <v>0</v>
      </c>
    </row>
    <row r="8" spans="1:12">
      <c r="A8" s="126">
        <v>1974</v>
      </c>
      <c r="B8" s="315" t="s">
        <v>44</v>
      </c>
      <c r="C8" s="315">
        <v>0.35699999999999998</v>
      </c>
      <c r="D8" s="315">
        <v>0</v>
      </c>
      <c r="E8" s="315">
        <v>0</v>
      </c>
      <c r="F8" s="315">
        <v>0</v>
      </c>
      <c r="G8" s="315">
        <v>0</v>
      </c>
      <c r="H8" s="315">
        <v>3.032</v>
      </c>
      <c r="I8" s="315">
        <v>0</v>
      </c>
      <c r="J8" s="315">
        <v>0</v>
      </c>
      <c r="K8" s="315">
        <v>0</v>
      </c>
      <c r="L8" s="315">
        <v>0</v>
      </c>
    </row>
    <row r="9" spans="1:12">
      <c r="A9" s="126">
        <v>1975</v>
      </c>
      <c r="B9" s="315">
        <v>0</v>
      </c>
      <c r="C9" s="315">
        <v>0.372</v>
      </c>
      <c r="D9" s="315">
        <v>0.76900000000000002</v>
      </c>
      <c r="E9" s="315">
        <v>0</v>
      </c>
      <c r="F9" s="315">
        <v>0</v>
      </c>
      <c r="G9" s="315">
        <v>4.1669999999999998</v>
      </c>
      <c r="H9" s="315">
        <v>1.538</v>
      </c>
      <c r="I9" s="315">
        <v>0</v>
      </c>
      <c r="J9" s="315">
        <v>0</v>
      </c>
      <c r="K9" s="315">
        <v>0</v>
      </c>
      <c r="L9" s="315">
        <v>0</v>
      </c>
    </row>
    <row r="10" spans="1:12">
      <c r="A10" s="126">
        <v>1976</v>
      </c>
      <c r="B10" s="315">
        <v>0</v>
      </c>
      <c r="C10" s="315">
        <v>0.35599999999999998</v>
      </c>
      <c r="D10" s="315">
        <v>0.73499999999999999</v>
      </c>
      <c r="E10" s="315">
        <v>0</v>
      </c>
      <c r="F10" s="315">
        <v>0</v>
      </c>
      <c r="G10" s="315">
        <v>0</v>
      </c>
      <c r="H10" s="315">
        <v>0</v>
      </c>
      <c r="I10" s="315">
        <v>0</v>
      </c>
      <c r="J10" s="315">
        <v>0</v>
      </c>
      <c r="K10" s="315">
        <v>0</v>
      </c>
      <c r="L10" s="315">
        <v>0</v>
      </c>
    </row>
    <row r="11" spans="1:12">
      <c r="A11" s="126">
        <v>1977</v>
      </c>
      <c r="B11" s="315">
        <v>0</v>
      </c>
      <c r="C11" s="315">
        <v>0</v>
      </c>
      <c r="D11" s="315">
        <v>0.746</v>
      </c>
      <c r="E11" s="315">
        <v>0</v>
      </c>
      <c r="F11" s="315">
        <v>0</v>
      </c>
      <c r="G11" s="315">
        <v>4</v>
      </c>
      <c r="H11" s="315">
        <v>0</v>
      </c>
      <c r="I11" s="315">
        <v>0</v>
      </c>
      <c r="J11" s="315">
        <v>0</v>
      </c>
      <c r="K11" s="315">
        <v>1.77</v>
      </c>
      <c r="L11" s="315">
        <v>0</v>
      </c>
    </row>
    <row r="12" spans="1:12">
      <c r="A12" s="126">
        <v>1978</v>
      </c>
      <c r="B12" s="315">
        <v>0</v>
      </c>
      <c r="C12" s="315">
        <v>0</v>
      </c>
      <c r="D12" s="315">
        <v>0.746</v>
      </c>
      <c r="E12" s="315">
        <v>1.163</v>
      </c>
      <c r="F12" s="315">
        <v>0</v>
      </c>
      <c r="G12" s="315">
        <v>0</v>
      </c>
      <c r="H12" s="315">
        <v>1.613</v>
      </c>
      <c r="I12" s="315">
        <v>0</v>
      </c>
      <c r="J12" s="315">
        <v>0.71899999999999997</v>
      </c>
      <c r="K12" s="315">
        <v>0</v>
      </c>
      <c r="L12" s="315">
        <v>0</v>
      </c>
    </row>
    <row r="13" spans="1:12">
      <c r="A13" s="126">
        <v>1979</v>
      </c>
      <c r="B13" s="315">
        <v>0</v>
      </c>
      <c r="C13" s="315">
        <v>0</v>
      </c>
      <c r="D13" s="315">
        <v>0</v>
      </c>
      <c r="E13" s="315">
        <v>0</v>
      </c>
      <c r="F13" s="315">
        <v>0</v>
      </c>
      <c r="G13" s="315">
        <v>0</v>
      </c>
      <c r="H13" s="315">
        <v>0</v>
      </c>
      <c r="I13" s="315">
        <v>0</v>
      </c>
      <c r="J13" s="315">
        <v>0.70399999999999996</v>
      </c>
      <c r="K13" s="315">
        <v>0</v>
      </c>
      <c r="L13" s="315">
        <v>0</v>
      </c>
    </row>
    <row r="14" spans="1:12">
      <c r="A14" s="126">
        <v>1980</v>
      </c>
      <c r="B14" s="315">
        <v>0</v>
      </c>
      <c r="C14" s="315">
        <v>0.379</v>
      </c>
      <c r="D14" s="315">
        <v>0</v>
      </c>
      <c r="E14" s="315">
        <v>1.111</v>
      </c>
      <c r="F14" s="315">
        <v>0</v>
      </c>
      <c r="G14" s="315">
        <v>0</v>
      </c>
      <c r="H14" s="315">
        <v>0</v>
      </c>
      <c r="I14" s="315">
        <v>0</v>
      </c>
      <c r="J14" s="315">
        <v>0.68500000000000005</v>
      </c>
      <c r="K14" s="315">
        <v>0.91700000000000004</v>
      </c>
      <c r="L14" s="315">
        <v>0</v>
      </c>
    </row>
    <row r="15" spans="1:12">
      <c r="A15" s="126">
        <v>1981</v>
      </c>
      <c r="B15" s="315">
        <v>0</v>
      </c>
      <c r="C15" s="315">
        <v>0.37</v>
      </c>
      <c r="D15" s="315">
        <v>0</v>
      </c>
      <c r="E15" s="315">
        <v>0</v>
      </c>
      <c r="F15" s="315">
        <v>0</v>
      </c>
      <c r="G15" s="315">
        <v>0</v>
      </c>
      <c r="H15" s="315">
        <v>0</v>
      </c>
      <c r="I15" s="315">
        <v>0</v>
      </c>
      <c r="J15" s="315">
        <v>0</v>
      </c>
      <c r="K15" s="315">
        <v>0.90100000000000002</v>
      </c>
      <c r="L15" s="315">
        <v>0</v>
      </c>
    </row>
    <row r="16" spans="1:12">
      <c r="A16" s="126">
        <v>1982</v>
      </c>
      <c r="B16" s="315">
        <v>0</v>
      </c>
      <c r="C16" s="315">
        <v>1.1180000000000001</v>
      </c>
      <c r="D16" s="315">
        <v>0</v>
      </c>
      <c r="E16" s="315">
        <v>0.90900000000000003</v>
      </c>
      <c r="F16" s="315">
        <v>0</v>
      </c>
      <c r="G16" s="315">
        <v>4</v>
      </c>
      <c r="H16" s="315">
        <v>4.7380000000000004</v>
      </c>
      <c r="I16" s="315">
        <v>0</v>
      </c>
      <c r="J16" s="315">
        <v>1.829</v>
      </c>
      <c r="K16" s="315">
        <v>1.9330000000000001</v>
      </c>
      <c r="L16" s="315">
        <v>0</v>
      </c>
    </row>
    <row r="17" spans="1:12">
      <c r="A17" s="126">
        <v>1983</v>
      </c>
      <c r="B17" s="315">
        <v>0</v>
      </c>
      <c r="C17" s="315">
        <v>1.43</v>
      </c>
      <c r="D17" s="315">
        <v>0.56499999999999995</v>
      </c>
      <c r="E17" s="315">
        <v>2.363</v>
      </c>
      <c r="F17" s="315">
        <v>0</v>
      </c>
      <c r="G17" s="315">
        <v>0</v>
      </c>
      <c r="H17" s="315">
        <v>0</v>
      </c>
      <c r="I17" s="315">
        <v>0</v>
      </c>
      <c r="J17" s="315">
        <v>0.61299999999999999</v>
      </c>
      <c r="K17" s="315">
        <v>3.8740000000000001</v>
      </c>
      <c r="L17" s="315">
        <v>0</v>
      </c>
    </row>
    <row r="18" spans="1:12">
      <c r="A18" s="126">
        <v>1984</v>
      </c>
      <c r="B18" s="315">
        <v>0</v>
      </c>
      <c r="C18" s="315">
        <v>0.71599999999999997</v>
      </c>
      <c r="D18" s="315">
        <v>1.081</v>
      </c>
      <c r="E18" s="315">
        <v>3.8639999999999999</v>
      </c>
      <c r="F18" s="315">
        <v>0</v>
      </c>
      <c r="G18" s="315">
        <v>0</v>
      </c>
      <c r="H18" s="315">
        <v>0</v>
      </c>
      <c r="I18" s="315">
        <v>0</v>
      </c>
      <c r="J18" s="315">
        <v>1.768</v>
      </c>
      <c r="K18" s="315">
        <v>1.02</v>
      </c>
      <c r="L18" s="315">
        <v>0</v>
      </c>
    </row>
    <row r="19" spans="1:12">
      <c r="A19" s="126">
        <v>1985</v>
      </c>
      <c r="B19" s="315">
        <v>0</v>
      </c>
      <c r="C19" s="315">
        <v>1.2250000000000001</v>
      </c>
      <c r="D19" s="315">
        <v>1.391</v>
      </c>
      <c r="E19" s="315">
        <v>3.3159999999999998</v>
      </c>
      <c r="F19" s="315">
        <v>1.22</v>
      </c>
      <c r="G19" s="315">
        <v>0</v>
      </c>
      <c r="H19" s="315">
        <v>0</v>
      </c>
      <c r="I19" s="315">
        <v>0</v>
      </c>
      <c r="J19" s="315">
        <v>0.55600000000000005</v>
      </c>
      <c r="K19" s="315">
        <v>0.97099999999999997</v>
      </c>
      <c r="L19" s="315">
        <v>0</v>
      </c>
    </row>
    <row r="20" spans="1:12">
      <c r="A20" s="126">
        <v>1986</v>
      </c>
      <c r="B20" s="315">
        <v>0</v>
      </c>
      <c r="C20" s="315">
        <v>3.415</v>
      </c>
      <c r="D20" s="315">
        <v>1.5880000000000001</v>
      </c>
      <c r="E20" s="315">
        <v>7.0179999999999998</v>
      </c>
      <c r="F20" s="315">
        <v>0</v>
      </c>
      <c r="G20" s="315">
        <v>3.45</v>
      </c>
      <c r="H20" s="315">
        <v>0.99</v>
      </c>
      <c r="I20" s="315">
        <v>0</v>
      </c>
      <c r="J20" s="315">
        <v>0.51800000000000002</v>
      </c>
      <c r="K20" s="315">
        <v>2.77</v>
      </c>
      <c r="L20" s="315">
        <v>0</v>
      </c>
    </row>
    <row r="21" spans="1:12">
      <c r="A21" s="126">
        <v>1987</v>
      </c>
      <c r="B21" s="315">
        <v>0.41</v>
      </c>
      <c r="C21" s="315">
        <v>2.4590000000000001</v>
      </c>
      <c r="D21" s="315">
        <v>2.4710000000000001</v>
      </c>
      <c r="E21" s="315">
        <v>5.3559999999999999</v>
      </c>
      <c r="F21" s="315">
        <v>0</v>
      </c>
      <c r="G21" s="315">
        <v>1.333</v>
      </c>
      <c r="H21" s="315">
        <v>1.8280000000000001</v>
      </c>
      <c r="I21" s="315">
        <v>0</v>
      </c>
      <c r="J21" s="315">
        <v>0.45200000000000001</v>
      </c>
      <c r="K21" s="315">
        <v>0.89300000000000002</v>
      </c>
      <c r="L21" s="315">
        <v>0.42599999999999999</v>
      </c>
    </row>
    <row r="22" spans="1:12">
      <c r="A22" s="126">
        <v>1988</v>
      </c>
      <c r="B22" s="315">
        <v>2.0529999999999999</v>
      </c>
      <c r="C22" s="315">
        <v>0.77</v>
      </c>
      <c r="D22" s="315">
        <v>2.593</v>
      </c>
      <c r="E22" s="315">
        <v>1.385</v>
      </c>
      <c r="F22" s="315">
        <v>0.625</v>
      </c>
      <c r="G22" s="315">
        <v>3.3090000000000002</v>
      </c>
      <c r="H22" s="315">
        <v>1.667</v>
      </c>
      <c r="I22" s="315">
        <v>0</v>
      </c>
      <c r="J22" s="315">
        <v>1.1950000000000001</v>
      </c>
      <c r="K22" s="315">
        <v>0</v>
      </c>
      <c r="L22" s="315">
        <v>0.42399999999999999</v>
      </c>
    </row>
    <row r="23" spans="1:12">
      <c r="A23" s="126">
        <v>1989</v>
      </c>
      <c r="B23" s="315">
        <v>2.1949999999999998</v>
      </c>
      <c r="C23" s="315">
        <v>3.2330000000000001</v>
      </c>
      <c r="D23" s="315">
        <v>4.3339999999999996</v>
      </c>
      <c r="E23" s="315">
        <v>0</v>
      </c>
      <c r="F23" s="315">
        <v>3.5070000000000001</v>
      </c>
      <c r="G23" s="315">
        <v>5.6790000000000003</v>
      </c>
      <c r="H23" s="315">
        <v>0.79400000000000004</v>
      </c>
      <c r="I23" s="315">
        <v>10.526</v>
      </c>
      <c r="J23" s="315">
        <v>1.2</v>
      </c>
      <c r="K23" s="315">
        <v>1.802</v>
      </c>
      <c r="L23" s="315">
        <v>0</v>
      </c>
    </row>
    <row r="24" spans="1:12">
      <c r="A24" s="126">
        <v>1990</v>
      </c>
      <c r="B24" s="315">
        <v>2.7749999999999999</v>
      </c>
      <c r="C24" s="315">
        <v>4.968</v>
      </c>
      <c r="D24" s="315">
        <v>8.6189999999999998</v>
      </c>
      <c r="E24" s="315">
        <v>1.3029999999999999</v>
      </c>
      <c r="F24" s="315">
        <v>0</v>
      </c>
      <c r="G24" s="315">
        <v>7.2969999999999997</v>
      </c>
      <c r="H24" s="315">
        <v>5.6349999999999998</v>
      </c>
      <c r="I24" s="315">
        <v>0</v>
      </c>
      <c r="J24" s="315">
        <v>2.4020000000000001</v>
      </c>
      <c r="K24" s="315">
        <v>5.7439999999999998</v>
      </c>
      <c r="L24" s="315">
        <v>0</v>
      </c>
    </row>
    <row r="25" spans="1:12">
      <c r="A25" s="126">
        <v>1991</v>
      </c>
      <c r="B25" s="315">
        <v>2.1480000000000001</v>
      </c>
      <c r="C25" s="315">
        <v>3.6</v>
      </c>
      <c r="D25" s="315">
        <v>3.7250000000000001</v>
      </c>
      <c r="E25" s="315">
        <v>1.3029999999999999</v>
      </c>
      <c r="F25" s="315">
        <v>0.54100000000000004</v>
      </c>
      <c r="G25" s="315">
        <v>4.0940000000000003</v>
      </c>
      <c r="H25" s="315">
        <v>10.116</v>
      </c>
      <c r="I25" s="315">
        <v>0</v>
      </c>
      <c r="J25" s="315">
        <v>1.696</v>
      </c>
      <c r="K25" s="315">
        <v>9.1020000000000003</v>
      </c>
      <c r="L25" s="315">
        <v>1.329</v>
      </c>
    </row>
    <row r="26" spans="1:12">
      <c r="A26" s="126">
        <v>1992</v>
      </c>
      <c r="B26" s="315">
        <v>0.54100000000000004</v>
      </c>
      <c r="C26" s="315">
        <v>2.04</v>
      </c>
      <c r="D26" s="315">
        <v>3.03</v>
      </c>
      <c r="E26" s="315">
        <v>0.64900000000000002</v>
      </c>
      <c r="F26" s="315">
        <v>0.52900000000000003</v>
      </c>
      <c r="G26" s="315">
        <v>7.1319999999999997</v>
      </c>
      <c r="H26" s="315">
        <v>2.4670000000000001</v>
      </c>
      <c r="I26" s="315">
        <v>0</v>
      </c>
      <c r="J26" s="315">
        <v>1.2729999999999999</v>
      </c>
      <c r="K26" s="315">
        <v>0</v>
      </c>
      <c r="L26" s="315">
        <v>0.873</v>
      </c>
    </row>
    <row r="27" spans="1:12">
      <c r="A27" s="126">
        <v>1993</v>
      </c>
      <c r="B27" s="315">
        <v>0.49299999999999999</v>
      </c>
      <c r="C27" s="315">
        <v>1.673</v>
      </c>
      <c r="D27" s="315">
        <v>1.161</v>
      </c>
      <c r="E27" s="315">
        <v>1.254</v>
      </c>
      <c r="F27" s="315">
        <v>0</v>
      </c>
      <c r="G27" s="315">
        <v>2.778</v>
      </c>
      <c r="H27" s="315">
        <v>2.4969999999999999</v>
      </c>
      <c r="I27" s="315">
        <v>0</v>
      </c>
      <c r="J27" s="315">
        <v>0.45200000000000001</v>
      </c>
      <c r="K27" s="315">
        <v>0</v>
      </c>
      <c r="L27" s="315">
        <v>0</v>
      </c>
    </row>
    <row r="28" spans="1:12">
      <c r="A28" s="126">
        <v>1994</v>
      </c>
      <c r="B28" s="315">
        <v>0</v>
      </c>
      <c r="C28" s="315">
        <v>0.432</v>
      </c>
      <c r="D28" s="315">
        <v>0.97399999999999998</v>
      </c>
      <c r="E28" s="315">
        <v>0.61699999999999999</v>
      </c>
      <c r="F28" s="315">
        <v>0</v>
      </c>
      <c r="G28" s="315">
        <v>1.282</v>
      </c>
      <c r="H28" s="315">
        <v>2.7519999999999998</v>
      </c>
      <c r="I28" s="315">
        <v>0</v>
      </c>
      <c r="J28" s="315">
        <v>1.232</v>
      </c>
      <c r="K28" s="315">
        <v>1.9139999999999999</v>
      </c>
      <c r="L28" s="315">
        <v>0</v>
      </c>
    </row>
    <row r="29" spans="1:12">
      <c r="A29" s="126">
        <v>1995</v>
      </c>
      <c r="B29" s="315">
        <v>0</v>
      </c>
      <c r="C29" s="315">
        <v>1.36</v>
      </c>
      <c r="D29" s="315">
        <v>2.9390000000000001</v>
      </c>
      <c r="E29" s="315">
        <v>0.56499999999999995</v>
      </c>
      <c r="F29" s="315">
        <v>1.282</v>
      </c>
      <c r="G29" s="315">
        <v>0</v>
      </c>
      <c r="H29" s="315">
        <v>1.873</v>
      </c>
      <c r="I29" s="315">
        <v>0</v>
      </c>
      <c r="J29" s="315">
        <v>0.73299999999999998</v>
      </c>
      <c r="K29" s="315">
        <v>0.92600000000000005</v>
      </c>
      <c r="L29" s="315">
        <v>0</v>
      </c>
    </row>
    <row r="30" spans="1:12">
      <c r="A30" s="126">
        <v>1996</v>
      </c>
      <c r="B30" s="315">
        <v>0</v>
      </c>
      <c r="C30" s="315">
        <v>0.71099999999999997</v>
      </c>
      <c r="D30" s="315">
        <v>1.3160000000000001</v>
      </c>
      <c r="E30" s="315">
        <v>1</v>
      </c>
      <c r="F30" s="315">
        <v>0</v>
      </c>
      <c r="G30" s="315">
        <v>2.6549999999999998</v>
      </c>
      <c r="H30" s="315">
        <v>0.621</v>
      </c>
      <c r="I30" s="315">
        <v>0</v>
      </c>
      <c r="J30" s="315">
        <v>0.70399999999999996</v>
      </c>
      <c r="K30" s="315">
        <v>0</v>
      </c>
      <c r="L30" s="315">
        <v>0</v>
      </c>
    </row>
    <row r="31" spans="1:12">
      <c r="A31" s="126">
        <v>1997</v>
      </c>
      <c r="B31" s="315">
        <v>0</v>
      </c>
      <c r="C31" s="315">
        <v>0.48299999999999998</v>
      </c>
      <c r="D31" s="315">
        <v>2.302</v>
      </c>
      <c r="E31" s="315">
        <v>0</v>
      </c>
      <c r="F31" s="315">
        <v>0.313</v>
      </c>
      <c r="G31" s="315">
        <v>1.4079999999999999</v>
      </c>
      <c r="H31" s="315">
        <v>3.452</v>
      </c>
      <c r="I31" s="315">
        <v>0</v>
      </c>
      <c r="J31" s="315">
        <v>0.59399999999999997</v>
      </c>
      <c r="K31" s="315">
        <v>0.85499999999999998</v>
      </c>
      <c r="L31" s="315">
        <v>0</v>
      </c>
    </row>
    <row r="32" spans="1:12">
      <c r="A32" s="126">
        <v>1998</v>
      </c>
      <c r="B32" s="315">
        <v>0.14899999999999999</v>
      </c>
      <c r="C32" s="315">
        <v>1.109</v>
      </c>
      <c r="D32" s="315">
        <v>2.468</v>
      </c>
      <c r="E32" s="315">
        <v>1.4970000000000001</v>
      </c>
      <c r="F32" s="315">
        <v>1.0509999999999999</v>
      </c>
      <c r="G32" s="315">
        <v>2.8210000000000002</v>
      </c>
      <c r="H32" s="315">
        <v>5.9169999999999998</v>
      </c>
      <c r="I32" s="315">
        <v>0</v>
      </c>
      <c r="J32" s="315">
        <v>0.77400000000000002</v>
      </c>
      <c r="K32" s="315">
        <v>0.76300000000000001</v>
      </c>
      <c r="L32" s="315">
        <v>0</v>
      </c>
    </row>
    <row r="33" spans="1:12">
      <c r="A33" s="126">
        <v>1999</v>
      </c>
      <c r="B33" s="315">
        <v>0.28100000000000003</v>
      </c>
      <c r="C33" s="315">
        <v>2.3639999999999999</v>
      </c>
      <c r="D33" s="315">
        <v>4.7300000000000004</v>
      </c>
      <c r="E33" s="315">
        <v>5.7080000000000002</v>
      </c>
      <c r="F33" s="315">
        <v>0.70199999999999996</v>
      </c>
      <c r="G33" s="315">
        <v>3.3180000000000001</v>
      </c>
      <c r="H33" s="315">
        <v>2.88</v>
      </c>
      <c r="I33" s="315">
        <v>2.5640000000000001</v>
      </c>
      <c r="J33" s="315">
        <v>2.0129999999999999</v>
      </c>
      <c r="K33" s="315">
        <v>5.5110000000000001</v>
      </c>
      <c r="L33" s="315">
        <v>0.33900000000000002</v>
      </c>
    </row>
    <row r="34" spans="1:12">
      <c r="A34" s="126">
        <v>2000</v>
      </c>
      <c r="B34" s="315">
        <v>0</v>
      </c>
      <c r="C34" s="315">
        <v>4.375</v>
      </c>
      <c r="D34" s="315">
        <v>6.8049999999999997</v>
      </c>
      <c r="E34" s="315">
        <v>1.36</v>
      </c>
      <c r="F34" s="315">
        <v>0.92300000000000004</v>
      </c>
      <c r="G34" s="315">
        <v>1.8480000000000001</v>
      </c>
      <c r="H34" s="315">
        <v>5.9249999999999998</v>
      </c>
      <c r="I34" s="315">
        <v>0</v>
      </c>
      <c r="J34" s="315">
        <v>2.7749999999999999</v>
      </c>
      <c r="K34" s="315">
        <v>4.1980000000000004</v>
      </c>
      <c r="L34" s="315">
        <v>0</v>
      </c>
    </row>
    <row r="35" spans="1:12">
      <c r="A35" s="126">
        <v>2001</v>
      </c>
      <c r="B35" s="315">
        <v>0.13600000000000001</v>
      </c>
      <c r="C35" s="315">
        <v>7.72</v>
      </c>
      <c r="D35" s="315">
        <v>5.899</v>
      </c>
      <c r="E35" s="315">
        <v>2.0619999999999998</v>
      </c>
      <c r="F35" s="315">
        <v>1.38</v>
      </c>
      <c r="G35" s="315">
        <v>3.7149999999999999</v>
      </c>
      <c r="H35" s="315">
        <v>8.3559999999999999</v>
      </c>
      <c r="I35" s="315">
        <v>0</v>
      </c>
      <c r="J35" s="315">
        <v>7.9630000000000001</v>
      </c>
      <c r="K35" s="315">
        <v>4.3170000000000002</v>
      </c>
      <c r="L35" s="315">
        <v>0.60199999999999998</v>
      </c>
    </row>
    <row r="36" spans="1:12">
      <c r="A36" s="126">
        <v>2002</v>
      </c>
      <c r="B36" s="315">
        <v>0.58899999999999997</v>
      </c>
      <c r="C36" s="315">
        <v>2.9820000000000002</v>
      </c>
      <c r="D36" s="315">
        <v>2.1840000000000002</v>
      </c>
      <c r="E36" s="315">
        <v>4.25</v>
      </c>
      <c r="F36" s="315">
        <v>0.45900000000000002</v>
      </c>
      <c r="G36" s="315">
        <v>10.304</v>
      </c>
      <c r="H36" s="315">
        <v>3.8490000000000002</v>
      </c>
      <c r="I36" s="315">
        <v>0</v>
      </c>
      <c r="J36" s="315">
        <v>9.18</v>
      </c>
      <c r="K36" s="315">
        <v>6.46</v>
      </c>
      <c r="L36" s="315">
        <v>0.57099999999999995</v>
      </c>
    </row>
    <row r="37" spans="1:12">
      <c r="A37" s="126">
        <v>2003</v>
      </c>
      <c r="B37" s="315">
        <v>0.14699999999999999</v>
      </c>
      <c r="C37" s="315">
        <v>2.6819999999999999</v>
      </c>
      <c r="D37" s="315">
        <v>2.2669999999999999</v>
      </c>
      <c r="E37" s="315">
        <v>1.3149999999999999</v>
      </c>
      <c r="F37" s="315">
        <v>0.65900000000000003</v>
      </c>
      <c r="G37" s="315">
        <v>3.8220000000000001</v>
      </c>
      <c r="H37" s="315">
        <v>4.4960000000000004</v>
      </c>
      <c r="I37" s="315">
        <v>0</v>
      </c>
      <c r="J37" s="315">
        <v>4.68</v>
      </c>
      <c r="K37" s="315">
        <v>3.3759999999999999</v>
      </c>
      <c r="L37" s="315">
        <v>0.56299999999999994</v>
      </c>
    </row>
    <row r="38" spans="1:12">
      <c r="A38" s="126">
        <v>2004</v>
      </c>
      <c r="B38" s="315">
        <v>0</v>
      </c>
      <c r="C38" s="315">
        <v>1.5960000000000001</v>
      </c>
      <c r="D38" s="315">
        <v>2.2949999999999999</v>
      </c>
      <c r="E38" s="315">
        <v>0.31</v>
      </c>
      <c r="F38" s="315">
        <v>0.23</v>
      </c>
      <c r="G38" s="315">
        <v>1.609</v>
      </c>
      <c r="H38" s="315">
        <v>1.1870000000000001</v>
      </c>
      <c r="I38" s="315">
        <v>0</v>
      </c>
      <c r="J38" s="315">
        <v>0.84899999999999998</v>
      </c>
      <c r="K38" s="315">
        <v>1.794</v>
      </c>
      <c r="L38" s="315">
        <v>0.26500000000000001</v>
      </c>
    </row>
    <row r="39" spans="1:12">
      <c r="A39" s="126">
        <v>2005</v>
      </c>
      <c r="B39" s="315">
        <v>0.13100000000000001</v>
      </c>
      <c r="C39" s="315">
        <v>1.3839999999999999</v>
      </c>
      <c r="D39" s="315">
        <v>0.72699999999999998</v>
      </c>
      <c r="E39" s="315">
        <v>0.96799999999999997</v>
      </c>
      <c r="F39" s="315">
        <v>0.22</v>
      </c>
      <c r="G39" s="315">
        <v>0.54600000000000004</v>
      </c>
      <c r="H39" s="315">
        <v>1.895</v>
      </c>
      <c r="I39" s="315">
        <v>0</v>
      </c>
      <c r="J39" s="315">
        <v>0.245</v>
      </c>
      <c r="K39" s="315">
        <v>4.2409999999999997</v>
      </c>
      <c r="L39" s="315">
        <v>0.26300000000000001</v>
      </c>
    </row>
    <row r="40" spans="1:12">
      <c r="A40" s="126">
        <v>2006</v>
      </c>
      <c r="B40" s="315">
        <v>0</v>
      </c>
      <c r="C40" s="315">
        <v>1.3879999999999999</v>
      </c>
      <c r="D40" s="315">
        <v>1.0629999999999999</v>
      </c>
      <c r="E40" s="315">
        <v>0</v>
      </c>
      <c r="F40" s="315">
        <v>0.437</v>
      </c>
      <c r="G40" s="315">
        <v>1.526</v>
      </c>
      <c r="H40" s="315">
        <v>1.1399999999999999</v>
      </c>
      <c r="I40" s="315">
        <v>0</v>
      </c>
      <c r="J40" s="315">
        <v>0.79200000000000004</v>
      </c>
      <c r="K40" s="315">
        <v>2.5870000000000002</v>
      </c>
      <c r="L40" s="315">
        <v>0</v>
      </c>
    </row>
    <row r="41" spans="1:12">
      <c r="A41" s="126">
        <v>2007</v>
      </c>
      <c r="B41" s="315">
        <v>0</v>
      </c>
      <c r="C41" s="315">
        <v>0.754</v>
      </c>
      <c r="D41" s="315">
        <v>0.68600000000000005</v>
      </c>
      <c r="E41" s="315">
        <v>0</v>
      </c>
      <c r="F41" s="315">
        <v>0</v>
      </c>
      <c r="G41" s="315">
        <v>1.04</v>
      </c>
      <c r="H41" s="315">
        <v>1.837</v>
      </c>
      <c r="I41" s="315">
        <v>0</v>
      </c>
      <c r="J41" s="315">
        <v>0.47699999999999998</v>
      </c>
      <c r="K41" s="315">
        <v>0</v>
      </c>
      <c r="L41" s="315">
        <v>0</v>
      </c>
    </row>
    <row r="42" spans="1:12">
      <c r="A42" s="126">
        <v>2008</v>
      </c>
      <c r="B42" s="315">
        <v>1.0940000000000001</v>
      </c>
      <c r="C42" s="315">
        <v>3.2559999999999998</v>
      </c>
      <c r="D42" s="315">
        <v>4.0279999999999996</v>
      </c>
      <c r="E42" s="315">
        <v>1.712</v>
      </c>
      <c r="F42" s="315">
        <v>2.1909999999999998</v>
      </c>
      <c r="G42" s="315">
        <v>4.5179999999999998</v>
      </c>
      <c r="H42" s="315">
        <v>2.2869999999999999</v>
      </c>
      <c r="I42" s="315">
        <v>0</v>
      </c>
      <c r="J42" s="315">
        <v>1.2629999999999999</v>
      </c>
      <c r="K42" s="315">
        <v>3.19</v>
      </c>
      <c r="L42" s="315">
        <v>0</v>
      </c>
    </row>
    <row r="43" spans="1:12">
      <c r="A43" s="126">
        <v>2009</v>
      </c>
      <c r="B43" s="315">
        <v>1.853</v>
      </c>
      <c r="C43" s="315">
        <v>10.794</v>
      </c>
      <c r="D43" s="315">
        <v>8.0440000000000005</v>
      </c>
      <c r="E43" s="315">
        <v>2.0329999999999999</v>
      </c>
      <c r="F43" s="315">
        <v>3.786</v>
      </c>
      <c r="G43" s="315">
        <v>22.966000000000001</v>
      </c>
      <c r="H43" s="315">
        <v>4.8209999999999997</v>
      </c>
      <c r="I43" s="315">
        <v>0</v>
      </c>
      <c r="J43" s="315">
        <v>5.766</v>
      </c>
      <c r="K43" s="315">
        <v>6.1289999999999996</v>
      </c>
      <c r="L43" s="315">
        <v>0.253</v>
      </c>
    </row>
    <row r="44" spans="1:12">
      <c r="A44" s="126">
        <v>2010</v>
      </c>
      <c r="B44" s="315">
        <v>0.69699999999999995</v>
      </c>
      <c r="C44" s="315">
        <v>1.4610000000000001</v>
      </c>
      <c r="D44" s="315">
        <v>1.9059999999999999</v>
      </c>
      <c r="E44" s="315">
        <v>2.3130000000000002</v>
      </c>
      <c r="F44" s="315">
        <v>0.94499999999999995</v>
      </c>
      <c r="G44" s="315">
        <v>3.7829999999999999</v>
      </c>
      <c r="H44" s="315">
        <v>3.8969999999999998</v>
      </c>
      <c r="I44" s="315">
        <v>0</v>
      </c>
      <c r="J44" s="315">
        <v>1.3129999999999999</v>
      </c>
      <c r="K44" s="315">
        <v>0.91700000000000004</v>
      </c>
      <c r="L44" s="315">
        <v>0.24199999999999999</v>
      </c>
    </row>
    <row r="45" spans="1:12">
      <c r="A45" s="126">
        <v>2011</v>
      </c>
      <c r="B45" s="315">
        <v>0.80700000000000005</v>
      </c>
      <c r="C45" s="315">
        <v>0.71099999999999997</v>
      </c>
      <c r="D45" s="315">
        <v>0.74</v>
      </c>
      <c r="E45" s="315">
        <v>1.4379999999999999</v>
      </c>
      <c r="F45" s="315">
        <v>0.66800000000000004</v>
      </c>
      <c r="G45" s="315">
        <v>1.7490000000000001</v>
      </c>
      <c r="H45" s="315">
        <v>2.4630000000000001</v>
      </c>
      <c r="I45" s="315">
        <v>0</v>
      </c>
      <c r="J45" s="315">
        <v>0</v>
      </c>
      <c r="K45" s="315">
        <v>6.125</v>
      </c>
      <c r="L45" s="315">
        <v>0</v>
      </c>
    </row>
    <row r="46" spans="1:12">
      <c r="A46" s="126">
        <v>2012</v>
      </c>
      <c r="B46" s="315">
        <v>1.0760000000000001</v>
      </c>
      <c r="C46" s="315">
        <v>1.367</v>
      </c>
      <c r="D46" s="315">
        <v>2.2090000000000001</v>
      </c>
      <c r="E46" s="315">
        <v>1.6120000000000001</v>
      </c>
      <c r="F46" s="315">
        <v>0.65300000000000002</v>
      </c>
      <c r="G46" s="315">
        <v>4.3470000000000004</v>
      </c>
      <c r="H46" s="315">
        <v>1.649</v>
      </c>
      <c r="I46" s="315">
        <v>0</v>
      </c>
      <c r="J46" s="315">
        <v>1.401</v>
      </c>
      <c r="K46" s="315">
        <v>0.90100000000000002</v>
      </c>
      <c r="L46" s="315">
        <v>0.44800000000000001</v>
      </c>
    </row>
    <row r="47" spans="1:12">
      <c r="A47" s="252">
        <v>2013</v>
      </c>
      <c r="B47" s="316">
        <v>1.871</v>
      </c>
      <c r="C47" s="316">
        <v>1.444</v>
      </c>
      <c r="D47" s="316">
        <v>1.653</v>
      </c>
      <c r="E47" s="316">
        <v>1.925</v>
      </c>
      <c r="F47" s="316">
        <v>0.41499999999999998</v>
      </c>
      <c r="G47" s="316">
        <v>4.7869999999999999</v>
      </c>
      <c r="H47" s="316">
        <v>1.042</v>
      </c>
      <c r="I47" s="316">
        <v>0</v>
      </c>
      <c r="J47" s="316">
        <v>0.91100000000000003</v>
      </c>
      <c r="K47" s="316">
        <v>1.7470000000000001</v>
      </c>
      <c r="L47" s="316">
        <v>0</v>
      </c>
    </row>
    <row r="48" spans="1:12">
      <c r="A48" s="317" t="s">
        <v>72</v>
      </c>
    </row>
    <row r="49" spans="11:11">
      <c r="K49" s="83"/>
    </row>
  </sheetData>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cols>
    <col min="1" max="1" width="9.140625" style="74"/>
    <col min="2" max="8" width="8.28515625" style="128" customWidth="1"/>
    <col min="9" max="11" width="10.85546875" style="128" customWidth="1"/>
    <col min="12" max="16384" width="9.140625" style="74"/>
  </cols>
  <sheetData>
    <row r="1" spans="1:11">
      <c r="A1" s="127" t="s">
        <v>338</v>
      </c>
    </row>
    <row r="2" spans="1:11">
      <c r="A2" s="127"/>
    </row>
    <row r="3" spans="1:11">
      <c r="A3" s="249" t="s">
        <v>40</v>
      </c>
      <c r="B3" s="318" t="s">
        <v>1</v>
      </c>
      <c r="C3" s="318" t="s">
        <v>2</v>
      </c>
      <c r="D3" s="318" t="s">
        <v>3</v>
      </c>
      <c r="E3" s="318" t="s">
        <v>4</v>
      </c>
      <c r="F3" s="318" t="s">
        <v>5</v>
      </c>
      <c r="G3" s="318" t="s">
        <v>6</v>
      </c>
      <c r="H3" s="318" t="s">
        <v>71</v>
      </c>
      <c r="I3" s="318" t="s">
        <v>65</v>
      </c>
      <c r="J3" s="318" t="s">
        <v>66</v>
      </c>
      <c r="K3" s="318" t="s">
        <v>206</v>
      </c>
    </row>
    <row r="4" spans="1:11">
      <c r="A4" s="126">
        <v>1994</v>
      </c>
      <c r="B4" s="319">
        <v>0</v>
      </c>
      <c r="C4" s="319">
        <v>0</v>
      </c>
      <c r="D4" s="319">
        <v>0</v>
      </c>
      <c r="E4" s="319">
        <v>0</v>
      </c>
      <c r="F4" s="319">
        <v>0.14099999999999999</v>
      </c>
      <c r="G4" s="319">
        <v>1.9710000000000001</v>
      </c>
      <c r="H4" s="319">
        <v>2.7970000000000002</v>
      </c>
      <c r="I4" s="319">
        <v>0</v>
      </c>
      <c r="J4" s="319">
        <v>1.22</v>
      </c>
      <c r="K4" s="319">
        <v>0.249</v>
      </c>
    </row>
    <row r="5" spans="1:11">
      <c r="A5" s="126">
        <v>1995</v>
      </c>
      <c r="B5" s="319">
        <v>0</v>
      </c>
      <c r="C5" s="319">
        <v>0</v>
      </c>
      <c r="D5" s="319">
        <v>0</v>
      </c>
      <c r="E5" s="319">
        <v>0</v>
      </c>
      <c r="F5" s="319">
        <v>0.56699999999999995</v>
      </c>
      <c r="G5" s="319">
        <v>4.6509999999999998</v>
      </c>
      <c r="H5" s="319">
        <v>6.8760000000000003</v>
      </c>
      <c r="I5" s="319">
        <v>0</v>
      </c>
      <c r="J5" s="319">
        <v>3.0880000000000001</v>
      </c>
      <c r="K5" s="319">
        <v>0.71599999999999997</v>
      </c>
    </row>
    <row r="6" spans="1:11">
      <c r="A6" s="126">
        <v>1996</v>
      </c>
      <c r="B6" s="319">
        <v>0</v>
      </c>
      <c r="C6" s="319">
        <v>0</v>
      </c>
      <c r="D6" s="319">
        <v>0</v>
      </c>
      <c r="E6" s="319">
        <v>0</v>
      </c>
      <c r="F6" s="319">
        <v>0</v>
      </c>
      <c r="G6" s="319">
        <v>1.6240000000000001</v>
      </c>
      <c r="H6" s="319">
        <v>22.529</v>
      </c>
      <c r="I6" s="319">
        <v>0</v>
      </c>
      <c r="J6" s="319">
        <v>2.3090000000000002</v>
      </c>
      <c r="K6" s="319">
        <v>0.65900000000000003</v>
      </c>
    </row>
    <row r="7" spans="1:11">
      <c r="A7" s="126">
        <v>1997</v>
      </c>
      <c r="B7" s="319">
        <v>0</v>
      </c>
      <c r="C7" s="319">
        <v>0</v>
      </c>
      <c r="D7" s="319">
        <v>0</v>
      </c>
      <c r="E7" s="319">
        <v>0</v>
      </c>
      <c r="F7" s="319">
        <v>5.0999999999999997E-2</v>
      </c>
      <c r="G7" s="319">
        <v>3.0640000000000001</v>
      </c>
      <c r="H7" s="319">
        <v>7.1109999999999998</v>
      </c>
      <c r="I7" s="319">
        <v>0</v>
      </c>
      <c r="J7" s="319">
        <v>1.95</v>
      </c>
      <c r="K7" s="319">
        <v>0.504</v>
      </c>
    </row>
    <row r="8" spans="1:11">
      <c r="A8" s="126">
        <v>1998</v>
      </c>
      <c r="B8" s="319">
        <v>0</v>
      </c>
      <c r="C8" s="319">
        <v>0</v>
      </c>
      <c r="D8" s="319">
        <v>0</v>
      </c>
      <c r="E8" s="319">
        <v>0</v>
      </c>
      <c r="F8" s="319">
        <v>0.65400000000000003</v>
      </c>
      <c r="G8" s="319">
        <v>3.0230000000000001</v>
      </c>
      <c r="H8" s="319">
        <v>13.225</v>
      </c>
      <c r="I8" s="319">
        <v>0</v>
      </c>
      <c r="J8" s="319">
        <v>2.8719999999999999</v>
      </c>
      <c r="K8" s="319">
        <v>0.85299999999999998</v>
      </c>
    </row>
    <row r="9" spans="1:11">
      <c r="A9" s="126">
        <v>1999</v>
      </c>
      <c r="B9" s="319">
        <v>0</v>
      </c>
      <c r="C9" s="319">
        <v>0</v>
      </c>
      <c r="D9" s="319">
        <v>0</v>
      </c>
      <c r="E9" s="319">
        <v>0.14000000000000001</v>
      </c>
      <c r="F9" s="319">
        <v>1.143</v>
      </c>
      <c r="G9" s="319">
        <v>5.4829999999999997</v>
      </c>
      <c r="H9" s="319">
        <v>20.515000000000001</v>
      </c>
      <c r="I9" s="319">
        <v>3.1E-2</v>
      </c>
      <c r="J9" s="319">
        <v>5.7830000000000004</v>
      </c>
      <c r="K9" s="319">
        <v>1.1140000000000001</v>
      </c>
    </row>
    <row r="10" spans="1:11">
      <c r="A10" s="126">
        <v>2000</v>
      </c>
      <c r="B10" s="319">
        <v>0</v>
      </c>
      <c r="C10" s="319">
        <v>0</v>
      </c>
      <c r="D10" s="319">
        <v>0</v>
      </c>
      <c r="E10" s="319">
        <v>0.623</v>
      </c>
      <c r="F10" s="319">
        <v>1.0389999999999999</v>
      </c>
      <c r="G10" s="319">
        <v>6.069</v>
      </c>
      <c r="H10" s="319">
        <v>20.722999999999999</v>
      </c>
      <c r="I10" s="319">
        <v>0.13700000000000001</v>
      </c>
      <c r="J10" s="319">
        <v>5.8570000000000002</v>
      </c>
      <c r="K10" s="319">
        <v>1.35</v>
      </c>
    </row>
    <row r="11" spans="1:11">
      <c r="A11" s="126">
        <v>2001</v>
      </c>
      <c r="B11" s="319">
        <v>0</v>
      </c>
      <c r="C11" s="319">
        <v>0</v>
      </c>
      <c r="D11" s="319">
        <v>0.69199999999999995</v>
      </c>
      <c r="E11" s="319">
        <v>0.95699999999999996</v>
      </c>
      <c r="F11" s="319">
        <v>1.1779999999999999</v>
      </c>
      <c r="G11" s="319">
        <v>13.898</v>
      </c>
      <c r="H11" s="319">
        <v>55.371000000000002</v>
      </c>
      <c r="I11" s="319">
        <v>0.53200000000000003</v>
      </c>
      <c r="J11" s="319">
        <v>15.646000000000001</v>
      </c>
      <c r="K11" s="319">
        <v>3.0059999999999998</v>
      </c>
    </row>
    <row r="12" spans="1:11">
      <c r="A12" s="126">
        <v>2002</v>
      </c>
      <c r="B12" s="319">
        <v>0</v>
      </c>
      <c r="C12" s="319">
        <v>0</v>
      </c>
      <c r="D12" s="319">
        <v>2.718</v>
      </c>
      <c r="E12" s="319">
        <v>2.6160000000000001</v>
      </c>
      <c r="F12" s="319">
        <v>4.8719999999999999</v>
      </c>
      <c r="G12" s="319">
        <v>15.699</v>
      </c>
      <c r="H12" s="319">
        <v>79.453000000000003</v>
      </c>
      <c r="I12" s="319">
        <v>1.9590000000000001</v>
      </c>
      <c r="J12" s="319">
        <v>21.956</v>
      </c>
      <c r="K12" s="319">
        <v>5.0730000000000004</v>
      </c>
    </row>
    <row r="13" spans="1:11">
      <c r="A13" s="126">
        <v>2003</v>
      </c>
      <c r="B13" s="319">
        <v>0</v>
      </c>
      <c r="C13" s="319">
        <v>0</v>
      </c>
      <c r="D13" s="319">
        <v>0</v>
      </c>
      <c r="E13" s="319">
        <v>0</v>
      </c>
      <c r="F13" s="319">
        <v>3.6219999999999999</v>
      </c>
      <c r="G13" s="319">
        <v>2.56</v>
      </c>
      <c r="H13" s="319">
        <v>17.062000000000001</v>
      </c>
      <c r="I13" s="319">
        <v>0</v>
      </c>
      <c r="J13" s="319">
        <v>5.6689999999999996</v>
      </c>
      <c r="K13" s="319">
        <v>0.99099999999999999</v>
      </c>
    </row>
    <row r="14" spans="1:11">
      <c r="A14" s="126">
        <v>2004</v>
      </c>
      <c r="B14" s="319">
        <v>0</v>
      </c>
      <c r="C14" s="319">
        <v>0</v>
      </c>
      <c r="D14" s="319">
        <v>0</v>
      </c>
      <c r="E14" s="319">
        <v>0</v>
      </c>
      <c r="F14" s="319">
        <v>0</v>
      </c>
      <c r="G14" s="319">
        <v>0.25800000000000001</v>
      </c>
      <c r="H14" s="319">
        <v>9.19</v>
      </c>
      <c r="I14" s="319">
        <v>0</v>
      </c>
      <c r="J14" s="319">
        <v>1.879</v>
      </c>
      <c r="K14" s="319">
        <v>0.32800000000000001</v>
      </c>
    </row>
    <row r="15" spans="1:11">
      <c r="A15" s="126">
        <v>2005</v>
      </c>
      <c r="B15" s="319">
        <v>0</v>
      </c>
      <c r="C15" s="319">
        <v>0</v>
      </c>
      <c r="D15" s="319">
        <v>0</v>
      </c>
      <c r="E15" s="319">
        <v>0.20100000000000001</v>
      </c>
      <c r="F15" s="319">
        <v>0</v>
      </c>
      <c r="G15" s="319">
        <v>1.639</v>
      </c>
      <c r="H15" s="319">
        <v>16.472999999999999</v>
      </c>
      <c r="I15" s="319">
        <v>7.2999999999999995E-2</v>
      </c>
      <c r="J15" s="319">
        <v>3.7869999999999999</v>
      </c>
      <c r="K15" s="319">
        <v>0.754</v>
      </c>
    </row>
    <row r="16" spans="1:11">
      <c r="A16" s="126">
        <v>2006</v>
      </c>
      <c r="B16" s="319">
        <v>0</v>
      </c>
      <c r="C16" s="319">
        <v>0</v>
      </c>
      <c r="D16" s="319">
        <v>0</v>
      </c>
      <c r="E16" s="319">
        <v>0</v>
      </c>
      <c r="F16" s="319">
        <v>3.3000000000000002E-2</v>
      </c>
      <c r="G16" s="319">
        <v>1.0620000000000001</v>
      </c>
      <c r="H16" s="319">
        <v>4.008</v>
      </c>
      <c r="I16" s="319">
        <v>0</v>
      </c>
      <c r="J16" s="319">
        <v>1.05</v>
      </c>
      <c r="K16" s="319">
        <v>0.21199999999999999</v>
      </c>
    </row>
    <row r="17" spans="1:11">
      <c r="A17" s="126">
        <v>2007</v>
      </c>
      <c r="B17" s="319">
        <v>0</v>
      </c>
      <c r="C17" s="319">
        <v>0</v>
      </c>
      <c r="D17" s="319">
        <v>0</v>
      </c>
      <c r="E17" s="319">
        <v>0</v>
      </c>
      <c r="F17" s="319">
        <v>0</v>
      </c>
      <c r="G17" s="319">
        <v>0</v>
      </c>
      <c r="H17" s="319">
        <v>3.6549999999999998</v>
      </c>
      <c r="I17" s="319">
        <v>0</v>
      </c>
      <c r="J17" s="319">
        <v>0.60199999999999998</v>
      </c>
      <c r="K17" s="319">
        <v>0.11700000000000001</v>
      </c>
    </row>
    <row r="18" spans="1:11">
      <c r="A18" s="126">
        <v>2008</v>
      </c>
      <c r="B18" s="319">
        <v>0</v>
      </c>
      <c r="C18" s="319">
        <v>0.81599999999999995</v>
      </c>
      <c r="D18" s="319">
        <v>2.37</v>
      </c>
      <c r="E18" s="319">
        <v>1.1080000000000001</v>
      </c>
      <c r="F18" s="319">
        <v>8.0969999999999995</v>
      </c>
      <c r="G18" s="319">
        <v>1.2869999999999999</v>
      </c>
      <c r="H18" s="319">
        <v>11.019</v>
      </c>
      <c r="I18" s="319">
        <v>1.466</v>
      </c>
      <c r="J18" s="319">
        <v>5.8070000000000004</v>
      </c>
      <c r="K18" s="319">
        <v>2.2210000000000001</v>
      </c>
    </row>
    <row r="19" spans="1:11">
      <c r="A19" s="126">
        <v>2009</v>
      </c>
      <c r="B19" s="319">
        <v>0</v>
      </c>
      <c r="C19" s="319">
        <v>0</v>
      </c>
      <c r="D19" s="319">
        <v>1.4E-2</v>
      </c>
      <c r="E19" s="319">
        <v>0.64200000000000002</v>
      </c>
      <c r="F19" s="319">
        <v>2.5990000000000002</v>
      </c>
      <c r="G19" s="319">
        <v>6.4160000000000004</v>
      </c>
      <c r="H19" s="319">
        <v>40.317999999999998</v>
      </c>
      <c r="I19" s="319">
        <v>0.187</v>
      </c>
      <c r="J19" s="319">
        <v>16.759</v>
      </c>
      <c r="K19" s="319">
        <v>2.8079999999999998</v>
      </c>
    </row>
    <row r="20" spans="1:11">
      <c r="A20" s="126">
        <v>2010</v>
      </c>
      <c r="B20" s="319">
        <v>0</v>
      </c>
      <c r="C20" s="319">
        <v>0</v>
      </c>
      <c r="D20" s="319">
        <v>0.151</v>
      </c>
      <c r="E20" s="319">
        <v>0</v>
      </c>
      <c r="F20" s="319">
        <v>0</v>
      </c>
      <c r="G20" s="319">
        <v>8.3000000000000004E-2</v>
      </c>
      <c r="H20" s="319">
        <v>6.2830000000000004</v>
      </c>
      <c r="I20" s="319">
        <v>7.1999999999999995E-2</v>
      </c>
      <c r="J20" s="319">
        <v>1.698</v>
      </c>
      <c r="K20" s="319">
        <v>0.34399999999999997</v>
      </c>
    </row>
    <row r="21" spans="1:11">
      <c r="A21" s="126">
        <v>2011</v>
      </c>
      <c r="B21" s="320">
        <v>0</v>
      </c>
      <c r="C21" s="320">
        <v>0</v>
      </c>
      <c r="D21" s="320">
        <v>0</v>
      </c>
      <c r="E21" s="320">
        <v>5.0000000000000001E-3</v>
      </c>
      <c r="F21" s="320">
        <v>0.224</v>
      </c>
      <c r="G21" s="320">
        <v>4.7E-2</v>
      </c>
      <c r="H21" s="320">
        <v>8.4730000000000008</v>
      </c>
      <c r="I21" s="320">
        <v>2E-3</v>
      </c>
      <c r="J21" s="320">
        <v>1.766</v>
      </c>
      <c r="K21" s="320">
        <v>0.33500000000000002</v>
      </c>
    </row>
    <row r="22" spans="1:11">
      <c r="A22" s="126">
        <v>2012</v>
      </c>
      <c r="B22" s="320">
        <v>0</v>
      </c>
      <c r="C22" s="320">
        <v>0</v>
      </c>
      <c r="D22" s="320">
        <v>0</v>
      </c>
      <c r="E22" s="320">
        <v>1.7999999999999999E-2</v>
      </c>
      <c r="F22" s="320">
        <v>0</v>
      </c>
      <c r="G22" s="320">
        <v>0.218</v>
      </c>
      <c r="H22" s="320">
        <v>10.284000000000001</v>
      </c>
      <c r="I22" s="320">
        <v>7.0000000000000001E-3</v>
      </c>
      <c r="J22" s="320">
        <v>1.8919999999999999</v>
      </c>
      <c r="K22" s="320">
        <v>0.36799999999999999</v>
      </c>
    </row>
    <row r="23" spans="1:11">
      <c r="A23" s="250">
        <v>2013</v>
      </c>
      <c r="B23" s="320">
        <v>0</v>
      </c>
      <c r="C23" s="320">
        <v>0</v>
      </c>
      <c r="D23" s="320">
        <v>0</v>
      </c>
      <c r="E23" s="320">
        <v>6.9000000000000006E-2</v>
      </c>
      <c r="F23" s="320">
        <v>0</v>
      </c>
      <c r="G23" s="320">
        <v>0.27100000000000002</v>
      </c>
      <c r="H23" s="320">
        <v>6.1449999999999996</v>
      </c>
      <c r="I23" s="320">
        <v>2.9000000000000001E-2</v>
      </c>
      <c r="J23" s="320">
        <v>1.1439999999999999</v>
      </c>
      <c r="K23" s="320">
        <v>0.26100000000000001</v>
      </c>
    </row>
    <row r="24" spans="1:11">
      <c r="A24" s="251" t="s">
        <v>45</v>
      </c>
      <c r="B24" s="321">
        <v>0</v>
      </c>
      <c r="C24" s="321">
        <v>4.1000000000000002E-2</v>
      </c>
      <c r="D24" s="321">
        <v>0.29699999999999999</v>
      </c>
      <c r="E24" s="321">
        <v>0.31900000000000001</v>
      </c>
      <c r="F24" s="321">
        <v>1.2110000000000001</v>
      </c>
      <c r="G24" s="321">
        <v>3.4660000000000002</v>
      </c>
      <c r="H24" s="321">
        <v>18.074999999999999</v>
      </c>
      <c r="I24" s="321">
        <v>0.22500000000000001</v>
      </c>
      <c r="J24" s="321">
        <v>5.1369999999999996</v>
      </c>
      <c r="K24" s="321">
        <v>1.113</v>
      </c>
    </row>
    <row r="25" spans="1:11">
      <c r="A25" s="250" t="s">
        <v>46</v>
      </c>
      <c r="B25" s="320">
        <v>0</v>
      </c>
      <c r="C25" s="320">
        <v>0</v>
      </c>
      <c r="D25" s="320">
        <v>0</v>
      </c>
      <c r="E25" s="320">
        <v>3.0000000000000001E-3</v>
      </c>
      <c r="F25" s="320">
        <v>0.183</v>
      </c>
      <c r="G25" s="320">
        <v>1.8049999999999999</v>
      </c>
      <c r="H25" s="320">
        <v>10.651</v>
      </c>
      <c r="I25" s="320">
        <v>4.0000000000000001E-3</v>
      </c>
      <c r="J25" s="320">
        <v>2.59</v>
      </c>
      <c r="K25" s="320">
        <v>0.68700000000000006</v>
      </c>
    </row>
    <row r="26" spans="1:11">
      <c r="A26" s="250" t="s">
        <v>50</v>
      </c>
      <c r="B26" s="320">
        <v>0</v>
      </c>
      <c r="C26" s="320">
        <v>0.182</v>
      </c>
      <c r="D26" s="320">
        <v>0.78600000000000003</v>
      </c>
      <c r="E26" s="320">
        <v>0.64100000000000001</v>
      </c>
      <c r="F26" s="320">
        <v>2.1080000000000001</v>
      </c>
      <c r="G26" s="320">
        <v>4.391</v>
      </c>
      <c r="H26" s="320">
        <v>19.413</v>
      </c>
      <c r="I26" s="320">
        <v>0.52900000000000003</v>
      </c>
      <c r="J26" s="320">
        <v>5.9480000000000004</v>
      </c>
      <c r="K26" s="320">
        <v>1.2569999999999999</v>
      </c>
    </row>
    <row r="27" spans="1:11">
      <c r="A27" s="250" t="s">
        <v>48</v>
      </c>
      <c r="B27" s="320">
        <v>0</v>
      </c>
      <c r="C27" s="320">
        <v>0</v>
      </c>
      <c r="D27" s="320">
        <v>0</v>
      </c>
      <c r="E27" s="320">
        <v>0</v>
      </c>
      <c r="F27" s="320">
        <v>0</v>
      </c>
      <c r="G27" s="320">
        <v>0</v>
      </c>
      <c r="H27" s="320">
        <v>2.7970000000000002</v>
      </c>
      <c r="I27" s="320">
        <v>0</v>
      </c>
      <c r="J27" s="320">
        <v>0.60199999999999998</v>
      </c>
      <c r="K27" s="320">
        <v>0.11700000000000001</v>
      </c>
    </row>
    <row r="28" spans="1:11">
      <c r="A28" s="252" t="s">
        <v>49</v>
      </c>
      <c r="B28" s="322">
        <v>0</v>
      </c>
      <c r="C28" s="322">
        <v>0.81599999999999995</v>
      </c>
      <c r="D28" s="322">
        <v>2.718</v>
      </c>
      <c r="E28" s="322">
        <v>2.6160000000000001</v>
      </c>
      <c r="F28" s="322">
        <v>8.0969999999999995</v>
      </c>
      <c r="G28" s="322">
        <v>15.699</v>
      </c>
      <c r="H28" s="322">
        <v>79.453000000000003</v>
      </c>
      <c r="I28" s="322">
        <v>1.9590000000000001</v>
      </c>
      <c r="J28" s="322">
        <v>21.956</v>
      </c>
      <c r="K28" s="322">
        <v>5.0730000000000004</v>
      </c>
    </row>
    <row r="29" spans="1:11">
      <c r="A29" s="339" t="s">
        <v>72</v>
      </c>
      <c r="B29" s="339"/>
    </row>
  </sheetData>
  <mergeCells count="1">
    <mergeCell ref="A29:B29"/>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heetViews>
  <sheetFormatPr defaultRowHeight="15"/>
  <cols>
    <col min="1" max="1" width="13.140625" style="10" customWidth="1"/>
    <col min="2" max="16384" width="9.140625" style="10"/>
  </cols>
  <sheetData>
    <row r="1" spans="1:7">
      <c r="A1" s="79" t="s">
        <v>339</v>
      </c>
    </row>
    <row r="2" spans="1:7">
      <c r="A2" s="79"/>
    </row>
    <row r="3" spans="1:7">
      <c r="A3" s="154" t="s">
        <v>207</v>
      </c>
      <c r="B3" s="72">
        <v>1</v>
      </c>
      <c r="C3" s="72">
        <v>2</v>
      </c>
      <c r="D3" s="72">
        <v>3</v>
      </c>
      <c r="E3" s="72">
        <v>4</v>
      </c>
      <c r="F3" s="72">
        <v>5</v>
      </c>
    </row>
    <row r="4" spans="1:7">
      <c r="A4" s="10" t="s">
        <v>1</v>
      </c>
      <c r="B4" s="302">
        <v>0</v>
      </c>
      <c r="C4" s="302">
        <v>4.9000000000000002E-2</v>
      </c>
      <c r="D4" s="302">
        <v>4.9000000000000002E-2</v>
      </c>
      <c r="E4" s="302">
        <v>4.9000000000000002E-2</v>
      </c>
      <c r="F4" s="302">
        <v>4.9000000000000002E-2</v>
      </c>
      <c r="G4" s="115"/>
    </row>
    <row r="5" spans="1:7">
      <c r="A5" s="10" t="s">
        <v>2</v>
      </c>
      <c r="B5" s="302">
        <v>2.8000000000000001E-2</v>
      </c>
      <c r="C5" s="302">
        <v>8.2000000000000003E-2</v>
      </c>
      <c r="D5" s="302">
        <v>0.123</v>
      </c>
      <c r="E5" s="302">
        <v>0.17899999999999999</v>
      </c>
      <c r="F5" s="302">
        <v>0.255</v>
      </c>
      <c r="G5" s="115"/>
    </row>
    <row r="6" spans="1:7">
      <c r="A6" s="10" t="s">
        <v>3</v>
      </c>
      <c r="B6" s="302">
        <v>0.34799999999999998</v>
      </c>
      <c r="C6" s="302">
        <v>0.68799999999999994</v>
      </c>
      <c r="D6" s="302">
        <v>0.97799999999999998</v>
      </c>
      <c r="E6" s="302">
        <v>1.1930000000000001</v>
      </c>
      <c r="F6" s="302">
        <v>1.4770000000000001</v>
      </c>
      <c r="G6" s="115"/>
    </row>
    <row r="7" spans="1:7">
      <c r="A7" s="10" t="s">
        <v>4</v>
      </c>
      <c r="B7" s="323">
        <v>0.27600000000000002</v>
      </c>
      <c r="C7" s="323">
        <v>0.59499999999999997</v>
      </c>
      <c r="D7" s="323">
        <v>0.82199999999999995</v>
      </c>
      <c r="E7" s="323">
        <v>1.2110000000000001</v>
      </c>
      <c r="F7" s="323">
        <v>1.776</v>
      </c>
      <c r="G7" s="115"/>
    </row>
    <row r="8" spans="1:7">
      <c r="A8" s="10" t="s">
        <v>5</v>
      </c>
      <c r="B8" s="323">
        <v>0.94399999999999995</v>
      </c>
      <c r="C8" s="323">
        <v>2.4630000000000001</v>
      </c>
      <c r="D8" s="323">
        <v>4.0229999999999997</v>
      </c>
      <c r="E8" s="323">
        <v>5.5789999999999997</v>
      </c>
      <c r="F8" s="323">
        <v>6.4560000000000004</v>
      </c>
      <c r="G8" s="115"/>
    </row>
    <row r="9" spans="1:7">
      <c r="A9" s="10" t="s">
        <v>6</v>
      </c>
      <c r="B9" s="323">
        <v>3.3479999999999999</v>
      </c>
      <c r="C9" s="323">
        <v>8.0540000000000003</v>
      </c>
      <c r="D9" s="323">
        <v>12.202999999999999</v>
      </c>
      <c r="E9" s="323">
        <v>15.643000000000001</v>
      </c>
      <c r="F9" s="323">
        <v>17.722000000000001</v>
      </c>
      <c r="G9" s="115"/>
    </row>
    <row r="10" spans="1:7">
      <c r="A10" s="10" t="s">
        <v>71</v>
      </c>
      <c r="B10" s="323">
        <v>16.468</v>
      </c>
      <c r="C10" s="323">
        <v>26.395</v>
      </c>
      <c r="D10" s="323">
        <v>33.362000000000002</v>
      </c>
      <c r="E10" s="323">
        <v>36.198</v>
      </c>
      <c r="F10" s="323">
        <v>38.040999999999997</v>
      </c>
      <c r="G10" s="115"/>
    </row>
    <row r="11" spans="1:7">
      <c r="A11" s="10" t="s">
        <v>65</v>
      </c>
      <c r="B11" s="323">
        <v>0.247</v>
      </c>
      <c r="C11" s="323">
        <v>0.50700000000000001</v>
      </c>
      <c r="D11" s="323">
        <v>0.71099999999999997</v>
      </c>
      <c r="E11" s="323">
        <v>0.93200000000000005</v>
      </c>
      <c r="F11" s="323">
        <v>1.238</v>
      </c>
      <c r="G11" s="115"/>
    </row>
    <row r="12" spans="1:7">
      <c r="A12" s="69" t="s">
        <v>66</v>
      </c>
      <c r="B12" s="324">
        <v>4.7309999999999999</v>
      </c>
      <c r="C12" s="324">
        <v>9.1159999999999997</v>
      </c>
      <c r="D12" s="324">
        <v>12.75</v>
      </c>
      <c r="E12" s="324">
        <v>15.347</v>
      </c>
      <c r="F12" s="324">
        <v>16.905999999999999</v>
      </c>
      <c r="G12" s="115"/>
    </row>
    <row r="13" spans="1:7">
      <c r="A13" s="160" t="s">
        <v>104</v>
      </c>
      <c r="B13" s="325">
        <v>1.0820000000000001</v>
      </c>
      <c r="C13" s="325">
        <v>2.1</v>
      </c>
      <c r="D13" s="325">
        <v>2.927</v>
      </c>
      <c r="E13" s="325">
        <v>3.5750000000000002</v>
      </c>
      <c r="F13" s="325">
        <v>4.1059999999999999</v>
      </c>
      <c r="G13" s="115"/>
    </row>
    <row r="14" spans="1:7">
      <c r="A14" s="340" t="s">
        <v>72</v>
      </c>
      <c r="B14" s="340"/>
    </row>
  </sheetData>
  <mergeCells count="1">
    <mergeCell ref="A14:B1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30"/>
  <sheetViews>
    <sheetView zoomScaleNormal="100" workbookViewId="0"/>
  </sheetViews>
  <sheetFormatPr defaultRowHeight="15"/>
  <cols>
    <col min="1" max="1" width="8.140625" style="10" customWidth="1"/>
    <col min="2" max="2" width="8.140625" style="159" customWidth="1"/>
    <col min="3" max="22" width="8.140625" style="10" customWidth="1"/>
    <col min="23" max="16384" width="9.140625" style="10"/>
  </cols>
  <sheetData>
    <row r="1" spans="1:22">
      <c r="A1" s="79" t="s">
        <v>230</v>
      </c>
    </row>
    <row r="2" spans="1:22">
      <c r="A2" s="79"/>
    </row>
    <row r="3" spans="1:22">
      <c r="A3" s="326">
        <v>25569</v>
      </c>
      <c r="B3" s="327"/>
    </row>
    <row r="4" spans="1:22">
      <c r="A4" s="328" t="s">
        <v>0</v>
      </c>
      <c r="B4" s="329" t="s">
        <v>78</v>
      </c>
      <c r="C4" s="329">
        <v>1</v>
      </c>
      <c r="D4" s="329">
        <v>2</v>
      </c>
      <c r="E4" s="329">
        <v>3</v>
      </c>
      <c r="F4" s="329">
        <v>4</v>
      </c>
      <c r="G4" s="329">
        <v>5</v>
      </c>
      <c r="H4" s="329">
        <v>6</v>
      </c>
      <c r="I4" s="329">
        <v>7</v>
      </c>
      <c r="J4" s="329">
        <v>8</v>
      </c>
      <c r="K4" s="329">
        <v>9</v>
      </c>
      <c r="L4" s="329">
        <v>10</v>
      </c>
      <c r="M4" s="329">
        <v>11</v>
      </c>
      <c r="N4" s="329">
        <v>12</v>
      </c>
      <c r="O4" s="329">
        <v>13</v>
      </c>
      <c r="P4" s="329">
        <v>14</v>
      </c>
      <c r="Q4" s="329">
        <v>15</v>
      </c>
      <c r="R4" s="329">
        <v>16</v>
      </c>
      <c r="S4" s="329">
        <v>17</v>
      </c>
      <c r="T4" s="329">
        <v>18</v>
      </c>
      <c r="U4" s="329">
        <v>19</v>
      </c>
      <c r="V4" s="329">
        <v>20</v>
      </c>
    </row>
    <row r="5" spans="1:22">
      <c r="A5" s="326" t="s">
        <v>1</v>
      </c>
      <c r="B5" s="159">
        <v>39</v>
      </c>
      <c r="C5" s="76">
        <v>0</v>
      </c>
      <c r="D5" s="76">
        <v>0</v>
      </c>
      <c r="E5" s="76">
        <v>0</v>
      </c>
      <c r="F5" s="76">
        <v>0</v>
      </c>
      <c r="G5" s="76">
        <v>0</v>
      </c>
      <c r="H5" s="76">
        <v>0</v>
      </c>
      <c r="I5" s="76">
        <v>0</v>
      </c>
      <c r="J5" s="76">
        <v>0</v>
      </c>
      <c r="K5" s="76">
        <v>0</v>
      </c>
      <c r="L5" s="76">
        <v>0</v>
      </c>
      <c r="M5" s="76">
        <v>0</v>
      </c>
      <c r="N5" s="76">
        <v>0</v>
      </c>
      <c r="O5" s="76">
        <v>0</v>
      </c>
      <c r="P5" s="76">
        <v>0</v>
      </c>
      <c r="Q5" s="76">
        <v>0</v>
      </c>
      <c r="R5" s="76">
        <v>0</v>
      </c>
      <c r="S5" s="76">
        <v>0</v>
      </c>
      <c r="T5" s="76">
        <v>2.7029999999999998</v>
      </c>
      <c r="U5" s="76">
        <v>2.7029999999999998</v>
      </c>
      <c r="V5" s="76">
        <v>2.7029999999999998</v>
      </c>
    </row>
    <row r="6" spans="1:22">
      <c r="A6" s="326" t="s">
        <v>2</v>
      </c>
      <c r="B6" s="159">
        <v>79</v>
      </c>
      <c r="C6" s="76">
        <v>0</v>
      </c>
      <c r="D6" s="76">
        <v>0</v>
      </c>
      <c r="E6" s="76">
        <v>0</v>
      </c>
      <c r="F6" s="76">
        <v>0</v>
      </c>
      <c r="G6" s="76">
        <v>0</v>
      </c>
      <c r="H6" s="76">
        <v>0</v>
      </c>
      <c r="I6" s="76">
        <v>0</v>
      </c>
      <c r="J6" s="76">
        <v>0</v>
      </c>
      <c r="K6" s="76">
        <v>0</v>
      </c>
      <c r="L6" s="76">
        <v>0</v>
      </c>
      <c r="M6" s="76">
        <v>0</v>
      </c>
      <c r="N6" s="76">
        <v>0</v>
      </c>
      <c r="O6" s="76">
        <v>0</v>
      </c>
      <c r="P6" s="76">
        <v>1.4079999999999999</v>
      </c>
      <c r="Q6" s="76">
        <v>1.4079999999999999</v>
      </c>
      <c r="R6" s="76">
        <v>1.4079999999999999</v>
      </c>
      <c r="S6" s="76">
        <v>2.88</v>
      </c>
      <c r="T6" s="76">
        <v>2.88</v>
      </c>
      <c r="U6" s="76">
        <v>2.88</v>
      </c>
      <c r="V6" s="76">
        <v>2.88</v>
      </c>
    </row>
    <row r="7" spans="1:22">
      <c r="A7" s="326" t="s">
        <v>3</v>
      </c>
      <c r="B7" s="159">
        <v>256</v>
      </c>
      <c r="C7" s="76">
        <v>0</v>
      </c>
      <c r="D7" s="76">
        <v>0</v>
      </c>
      <c r="E7" s="76">
        <v>0</v>
      </c>
      <c r="F7" s="76">
        <v>0.41</v>
      </c>
      <c r="G7" s="76">
        <v>0.41</v>
      </c>
      <c r="H7" s="76">
        <v>0.82799999999999996</v>
      </c>
      <c r="I7" s="76">
        <v>0.82799999999999996</v>
      </c>
      <c r="J7" s="76">
        <v>0.82799999999999996</v>
      </c>
      <c r="K7" s="76">
        <v>0.82799999999999996</v>
      </c>
      <c r="L7" s="76">
        <v>0.82799999999999996</v>
      </c>
      <c r="M7" s="76">
        <v>1.2809999999999999</v>
      </c>
      <c r="N7" s="76">
        <v>1.2809999999999999</v>
      </c>
      <c r="O7" s="76">
        <v>1.2809999999999999</v>
      </c>
      <c r="P7" s="76">
        <v>1.2809999999999999</v>
      </c>
      <c r="Q7" s="76">
        <v>1.2809999999999999</v>
      </c>
      <c r="R7" s="76">
        <v>1.2809999999999999</v>
      </c>
      <c r="S7" s="76">
        <v>1.78</v>
      </c>
      <c r="T7" s="76">
        <v>1.78</v>
      </c>
      <c r="U7" s="76">
        <v>2.8420000000000001</v>
      </c>
      <c r="V7" s="76">
        <v>2.8420000000000001</v>
      </c>
    </row>
    <row r="8" spans="1:22">
      <c r="A8" s="326" t="s">
        <v>4</v>
      </c>
      <c r="B8" s="159">
        <v>372</v>
      </c>
      <c r="C8" s="76">
        <v>0.54300000000000004</v>
      </c>
      <c r="D8" s="76">
        <v>0.54300000000000004</v>
      </c>
      <c r="E8" s="76">
        <v>0.54300000000000004</v>
      </c>
      <c r="F8" s="76">
        <v>1.123</v>
      </c>
      <c r="G8" s="76">
        <v>1.415</v>
      </c>
      <c r="H8" s="76">
        <v>1.415</v>
      </c>
      <c r="I8" s="76">
        <v>1.728</v>
      </c>
      <c r="J8" s="76">
        <v>2.3679999999999999</v>
      </c>
      <c r="K8" s="76">
        <v>3.0379999999999998</v>
      </c>
      <c r="L8" s="76">
        <v>3.0379999999999998</v>
      </c>
      <c r="M8" s="76">
        <v>3.3959999999999999</v>
      </c>
      <c r="N8" s="76">
        <v>3.3959999999999999</v>
      </c>
      <c r="O8" s="76">
        <v>4.5839999999999996</v>
      </c>
      <c r="P8" s="76">
        <v>4.992</v>
      </c>
      <c r="Q8" s="76">
        <v>5.4180000000000001</v>
      </c>
      <c r="R8" s="76">
        <v>5.8639999999999999</v>
      </c>
      <c r="S8" s="76">
        <v>7.2560000000000002</v>
      </c>
      <c r="T8" s="76">
        <v>8.3130000000000006</v>
      </c>
      <c r="U8" s="76">
        <v>9.3979999999999997</v>
      </c>
      <c r="V8" s="76">
        <v>9.9939999999999998</v>
      </c>
    </row>
    <row r="9" spans="1:22">
      <c r="A9" s="326" t="s">
        <v>5</v>
      </c>
      <c r="B9" s="159">
        <v>238</v>
      </c>
      <c r="C9" s="76">
        <v>4.2370000000000001</v>
      </c>
      <c r="D9" s="76">
        <v>5.12</v>
      </c>
      <c r="E9" s="76">
        <v>5.5650000000000004</v>
      </c>
      <c r="F9" s="76">
        <v>6.05</v>
      </c>
      <c r="G9" s="76">
        <v>7.0419999999999998</v>
      </c>
      <c r="H9" s="76">
        <v>8.0719999999999992</v>
      </c>
      <c r="I9" s="76">
        <v>8.6059999999999999</v>
      </c>
      <c r="J9" s="76">
        <v>9.2080000000000002</v>
      </c>
      <c r="K9" s="76">
        <v>10.456</v>
      </c>
      <c r="L9" s="76">
        <v>10.456</v>
      </c>
      <c r="M9" s="76">
        <v>10.456</v>
      </c>
      <c r="N9" s="76">
        <v>12.02</v>
      </c>
      <c r="O9" s="76">
        <v>14.56</v>
      </c>
      <c r="P9" s="76">
        <v>15.489000000000001</v>
      </c>
      <c r="Q9" s="76">
        <v>15.489000000000001</v>
      </c>
      <c r="R9" s="76">
        <v>17.574999999999999</v>
      </c>
      <c r="S9" s="76">
        <v>21.076000000000001</v>
      </c>
      <c r="T9" s="76">
        <v>23.608000000000001</v>
      </c>
      <c r="U9" s="76">
        <v>23.608000000000001</v>
      </c>
      <c r="V9" s="76">
        <v>25.077000000000002</v>
      </c>
    </row>
    <row r="10" spans="1:22">
      <c r="A10" s="326" t="s">
        <v>6</v>
      </c>
      <c r="B10" s="159">
        <v>36</v>
      </c>
      <c r="C10" s="76">
        <v>19.443999999999999</v>
      </c>
      <c r="D10" s="76">
        <v>19.443999999999999</v>
      </c>
      <c r="E10" s="76">
        <v>22.321000000000002</v>
      </c>
      <c r="F10" s="76">
        <v>22.321000000000002</v>
      </c>
      <c r="G10" s="76">
        <v>22.321000000000002</v>
      </c>
      <c r="H10" s="76">
        <v>22.321000000000002</v>
      </c>
      <c r="I10" s="76">
        <v>22.321000000000002</v>
      </c>
      <c r="J10" s="76">
        <v>22.321000000000002</v>
      </c>
      <c r="K10" s="76">
        <v>22.321000000000002</v>
      </c>
      <c r="L10" s="76">
        <v>22.321000000000002</v>
      </c>
      <c r="M10" s="76">
        <v>22.321000000000002</v>
      </c>
      <c r="N10" s="76">
        <v>22.321000000000002</v>
      </c>
      <c r="O10" s="76">
        <v>30.498000000000001</v>
      </c>
      <c r="P10" s="76">
        <v>30.498000000000001</v>
      </c>
      <c r="Q10" s="76">
        <v>30.498000000000001</v>
      </c>
      <c r="R10" s="76">
        <v>30.498000000000001</v>
      </c>
      <c r="S10" s="76">
        <v>36.29</v>
      </c>
      <c r="T10" s="76">
        <v>36.29</v>
      </c>
      <c r="U10" s="76">
        <v>36.29</v>
      </c>
      <c r="V10" s="76">
        <v>36.29</v>
      </c>
    </row>
    <row r="11" spans="1:22">
      <c r="A11" s="326" t="s">
        <v>71</v>
      </c>
      <c r="B11" s="159">
        <v>16</v>
      </c>
      <c r="C11" s="76">
        <v>50</v>
      </c>
      <c r="D11" s="76">
        <v>56.25</v>
      </c>
      <c r="E11" s="76">
        <v>75</v>
      </c>
      <c r="F11" s="76">
        <v>81.25</v>
      </c>
      <c r="G11" s="76">
        <v>81.25</v>
      </c>
      <c r="H11" s="76">
        <v>81.25</v>
      </c>
      <c r="I11" s="76">
        <v>81.25</v>
      </c>
      <c r="J11" s="76">
        <v>90.625</v>
      </c>
      <c r="K11" s="76">
        <v>90.625</v>
      </c>
      <c r="L11" s="76">
        <v>90.625</v>
      </c>
      <c r="M11" s="76">
        <v>90.625</v>
      </c>
      <c r="N11" s="76">
        <v>90.625</v>
      </c>
      <c r="O11" s="76">
        <v>90.625</v>
      </c>
      <c r="P11" s="76">
        <v>90.625</v>
      </c>
      <c r="Q11" s="76">
        <v>90.625</v>
      </c>
      <c r="R11" s="76">
        <v>90.625</v>
      </c>
      <c r="S11" s="76">
        <v>90.625</v>
      </c>
      <c r="T11" s="76">
        <v>90.625</v>
      </c>
      <c r="U11" s="76">
        <v>90.625</v>
      </c>
      <c r="V11" s="76">
        <v>90.625</v>
      </c>
    </row>
    <row r="12" spans="1:22">
      <c r="A12" s="326" t="s">
        <v>8</v>
      </c>
      <c r="B12" s="159">
        <v>746</v>
      </c>
      <c r="C12" s="76">
        <v>0.27</v>
      </c>
      <c r="D12" s="76">
        <v>0.27</v>
      </c>
      <c r="E12" s="76">
        <v>0.27</v>
      </c>
      <c r="F12" s="76">
        <v>0.69399999999999995</v>
      </c>
      <c r="G12" s="76">
        <v>0.83599999999999997</v>
      </c>
      <c r="H12" s="76">
        <v>0.98299999999999998</v>
      </c>
      <c r="I12" s="76">
        <v>1.1319999999999999</v>
      </c>
      <c r="J12" s="76">
        <v>1.4350000000000001</v>
      </c>
      <c r="K12" s="76">
        <v>1.746</v>
      </c>
      <c r="L12" s="76">
        <v>1.746</v>
      </c>
      <c r="M12" s="76">
        <v>2.0760000000000001</v>
      </c>
      <c r="N12" s="76">
        <v>2.0760000000000001</v>
      </c>
      <c r="O12" s="76">
        <v>2.5960000000000001</v>
      </c>
      <c r="P12" s="76">
        <v>2.948</v>
      </c>
      <c r="Q12" s="76">
        <v>3.13</v>
      </c>
      <c r="R12" s="76">
        <v>3.3159999999999998</v>
      </c>
      <c r="S12" s="76">
        <v>4.2750000000000004</v>
      </c>
      <c r="T12" s="76">
        <v>4.8869999999999996</v>
      </c>
      <c r="U12" s="76">
        <v>5.7249999999999996</v>
      </c>
      <c r="V12" s="76">
        <v>5.9450000000000003</v>
      </c>
    </row>
    <row r="13" spans="1:22">
      <c r="A13" s="326" t="s">
        <v>9</v>
      </c>
      <c r="B13" s="159">
        <v>290</v>
      </c>
      <c r="C13" s="76">
        <v>8.6780000000000008</v>
      </c>
      <c r="D13" s="76">
        <v>9.7639999999999993</v>
      </c>
      <c r="E13" s="76">
        <v>11.601000000000001</v>
      </c>
      <c r="F13" s="76">
        <v>12.382</v>
      </c>
      <c r="G13" s="76">
        <v>13.192</v>
      </c>
      <c r="H13" s="76">
        <v>14.035</v>
      </c>
      <c r="I13" s="76">
        <v>14.471</v>
      </c>
      <c r="J13" s="76">
        <v>15.443</v>
      </c>
      <c r="K13" s="76">
        <v>16.45</v>
      </c>
      <c r="L13" s="76">
        <v>16.45</v>
      </c>
      <c r="M13" s="76">
        <v>16.45</v>
      </c>
      <c r="N13" s="76">
        <v>17.693000000000001</v>
      </c>
      <c r="O13" s="76">
        <v>21.007999999999999</v>
      </c>
      <c r="P13" s="76">
        <v>21.733000000000001</v>
      </c>
      <c r="Q13" s="76">
        <v>21.733000000000001</v>
      </c>
      <c r="R13" s="76">
        <v>23.347000000000001</v>
      </c>
      <c r="S13" s="76">
        <v>26.969000000000001</v>
      </c>
      <c r="T13" s="76">
        <v>28.931999999999999</v>
      </c>
      <c r="U13" s="76">
        <v>28.931999999999999</v>
      </c>
      <c r="V13" s="76">
        <v>30.097000000000001</v>
      </c>
    </row>
    <row r="14" spans="1:22">
      <c r="A14" s="326" t="s">
        <v>79</v>
      </c>
      <c r="B14" s="159">
        <v>1036</v>
      </c>
      <c r="C14" s="76">
        <v>2.621</v>
      </c>
      <c r="D14" s="76">
        <v>2.9180000000000001</v>
      </c>
      <c r="E14" s="76">
        <v>3.42</v>
      </c>
      <c r="F14" s="76">
        <v>3.9390000000000001</v>
      </c>
      <c r="G14" s="76">
        <v>4.2549999999999999</v>
      </c>
      <c r="H14" s="76">
        <v>4.58</v>
      </c>
      <c r="I14" s="76">
        <v>4.8010000000000002</v>
      </c>
      <c r="J14" s="76">
        <v>5.2610000000000001</v>
      </c>
      <c r="K14" s="76">
        <v>5.734</v>
      </c>
      <c r="L14" s="76">
        <v>5.734</v>
      </c>
      <c r="M14" s="76">
        <v>5.9889999999999999</v>
      </c>
      <c r="N14" s="76">
        <v>6.25</v>
      </c>
      <c r="O14" s="76">
        <v>7.3369999999999997</v>
      </c>
      <c r="P14" s="76">
        <v>7.7569999999999997</v>
      </c>
      <c r="Q14" s="76">
        <v>7.9029999999999996</v>
      </c>
      <c r="R14" s="76">
        <v>8.35</v>
      </c>
      <c r="S14" s="76">
        <v>9.7520000000000007</v>
      </c>
      <c r="T14" s="76">
        <v>10.581</v>
      </c>
      <c r="U14" s="76">
        <v>11.265000000000001</v>
      </c>
      <c r="V14" s="76">
        <v>11.628</v>
      </c>
    </row>
    <row r="15" spans="1:22">
      <c r="A15" s="326">
        <v>25934</v>
      </c>
      <c r="B15" s="327"/>
    </row>
    <row r="16" spans="1:22">
      <c r="A16" s="328" t="s">
        <v>0</v>
      </c>
      <c r="B16" s="329" t="s">
        <v>78</v>
      </c>
      <c r="C16" s="329">
        <v>1</v>
      </c>
      <c r="D16" s="329">
        <v>2</v>
      </c>
      <c r="E16" s="329">
        <v>3</v>
      </c>
      <c r="F16" s="329">
        <v>4</v>
      </c>
      <c r="G16" s="329">
        <v>5</v>
      </c>
      <c r="H16" s="329">
        <v>6</v>
      </c>
      <c r="I16" s="329">
        <v>7</v>
      </c>
      <c r="J16" s="329">
        <v>8</v>
      </c>
      <c r="K16" s="329">
        <v>9</v>
      </c>
      <c r="L16" s="329">
        <v>10</v>
      </c>
      <c r="M16" s="329">
        <v>11</v>
      </c>
      <c r="N16" s="329">
        <v>12</v>
      </c>
      <c r="O16" s="329">
        <v>13</v>
      </c>
      <c r="P16" s="329">
        <v>14</v>
      </c>
      <c r="Q16" s="329">
        <v>15</v>
      </c>
      <c r="R16" s="329">
        <v>16</v>
      </c>
      <c r="S16" s="329">
        <v>17</v>
      </c>
      <c r="T16" s="329">
        <v>18</v>
      </c>
      <c r="U16" s="329">
        <v>19</v>
      </c>
      <c r="V16" s="329">
        <v>20</v>
      </c>
    </row>
    <row r="17" spans="1:22">
      <c r="A17" s="326" t="s">
        <v>1</v>
      </c>
      <c r="B17" s="159">
        <v>40</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2.7029999999999998</v>
      </c>
      <c r="T17" s="76">
        <v>2.7029999999999998</v>
      </c>
      <c r="U17" s="76">
        <v>2.7029999999999998</v>
      </c>
      <c r="V17" s="76">
        <v>2.7029999999999998</v>
      </c>
    </row>
    <row r="18" spans="1:22">
      <c r="A18" s="326" t="s">
        <v>2</v>
      </c>
      <c r="B18" s="159">
        <v>76</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1.754</v>
      </c>
    </row>
    <row r="19" spans="1:22">
      <c r="A19" s="326" t="s">
        <v>3</v>
      </c>
      <c r="B19" s="159">
        <v>284</v>
      </c>
      <c r="C19" s="76">
        <v>0</v>
      </c>
      <c r="D19" s="76">
        <v>0</v>
      </c>
      <c r="E19" s="76">
        <v>0.36399999999999999</v>
      </c>
      <c r="F19" s="76">
        <v>0.36399999999999999</v>
      </c>
      <c r="G19" s="76">
        <v>0.73399999999999999</v>
      </c>
      <c r="H19" s="76">
        <v>0.73399999999999999</v>
      </c>
      <c r="I19" s="76">
        <v>0.73399999999999999</v>
      </c>
      <c r="J19" s="76">
        <v>0.73399999999999999</v>
      </c>
      <c r="K19" s="76">
        <v>0.73399999999999999</v>
      </c>
      <c r="L19" s="76">
        <v>1.131</v>
      </c>
      <c r="M19" s="76">
        <v>1.131</v>
      </c>
      <c r="N19" s="76">
        <v>1.538</v>
      </c>
      <c r="O19" s="76">
        <v>1.948</v>
      </c>
      <c r="P19" s="76">
        <v>1.948</v>
      </c>
      <c r="Q19" s="76">
        <v>1.948</v>
      </c>
      <c r="R19" s="76">
        <v>2.3820000000000001</v>
      </c>
      <c r="S19" s="76">
        <v>2.3820000000000001</v>
      </c>
      <c r="T19" s="76">
        <v>3.2989999999999999</v>
      </c>
      <c r="U19" s="76">
        <v>3.2989999999999999</v>
      </c>
      <c r="V19" s="76">
        <v>3.2989999999999999</v>
      </c>
    </row>
    <row r="20" spans="1:22">
      <c r="A20" s="326" t="s">
        <v>4</v>
      </c>
      <c r="B20" s="159">
        <v>398</v>
      </c>
      <c r="C20" s="76">
        <v>0</v>
      </c>
      <c r="D20" s="76">
        <v>0</v>
      </c>
      <c r="E20" s="76">
        <v>0.53400000000000003</v>
      </c>
      <c r="F20" s="76">
        <v>0.80200000000000005</v>
      </c>
      <c r="G20" s="76">
        <v>1.075</v>
      </c>
      <c r="H20" s="76">
        <v>1.3660000000000001</v>
      </c>
      <c r="I20" s="76">
        <v>1.966</v>
      </c>
      <c r="J20" s="76">
        <v>2.5950000000000002</v>
      </c>
      <c r="K20" s="76">
        <v>2.5950000000000002</v>
      </c>
      <c r="L20" s="76">
        <v>2.93</v>
      </c>
      <c r="M20" s="76">
        <v>2.93</v>
      </c>
      <c r="N20" s="76">
        <v>4.0590000000000002</v>
      </c>
      <c r="O20" s="76">
        <v>4.4450000000000003</v>
      </c>
      <c r="P20" s="76">
        <v>4.8490000000000002</v>
      </c>
      <c r="Q20" s="76">
        <v>5.2720000000000002</v>
      </c>
      <c r="R20" s="76">
        <v>6.5880000000000001</v>
      </c>
      <c r="S20" s="76">
        <v>7.577</v>
      </c>
      <c r="T20" s="76">
        <v>8.5920000000000005</v>
      </c>
      <c r="U20" s="76">
        <v>9.1430000000000007</v>
      </c>
      <c r="V20" s="76">
        <v>10.308</v>
      </c>
    </row>
    <row r="21" spans="1:22">
      <c r="A21" s="326" t="s">
        <v>5</v>
      </c>
      <c r="B21" s="159">
        <v>228</v>
      </c>
      <c r="C21" s="76">
        <v>0.88500000000000001</v>
      </c>
      <c r="D21" s="76">
        <v>1.3320000000000001</v>
      </c>
      <c r="E21" s="76">
        <v>1.8149999999999999</v>
      </c>
      <c r="F21" s="76">
        <v>2.81</v>
      </c>
      <c r="G21" s="76">
        <v>3.8439999999999999</v>
      </c>
      <c r="H21" s="76">
        <v>4.3810000000000002</v>
      </c>
      <c r="I21" s="76">
        <v>4.9859999999999998</v>
      </c>
      <c r="J21" s="76">
        <v>6.2409999999999997</v>
      </c>
      <c r="K21" s="76">
        <v>6.2409999999999997</v>
      </c>
      <c r="L21" s="76">
        <v>6.2409999999999997</v>
      </c>
      <c r="M21" s="76">
        <v>7.798</v>
      </c>
      <c r="N21" s="76">
        <v>10.321999999999999</v>
      </c>
      <c r="O21" s="76">
        <v>11.247</v>
      </c>
      <c r="P21" s="76">
        <v>11.247</v>
      </c>
      <c r="Q21" s="76">
        <v>13.311</v>
      </c>
      <c r="R21" s="76">
        <v>17.937000000000001</v>
      </c>
      <c r="S21" s="76">
        <v>20.486999999999998</v>
      </c>
      <c r="T21" s="76">
        <v>20.486999999999998</v>
      </c>
      <c r="U21" s="76">
        <v>21.959</v>
      </c>
      <c r="V21" s="76">
        <v>21.959</v>
      </c>
    </row>
    <row r="22" spans="1:22">
      <c r="A22" s="326" t="s">
        <v>6</v>
      </c>
      <c r="B22" s="159">
        <v>27</v>
      </c>
      <c r="C22" s="76">
        <v>0</v>
      </c>
      <c r="D22" s="76">
        <v>3.8460000000000001</v>
      </c>
      <c r="E22" s="76">
        <v>3.8460000000000001</v>
      </c>
      <c r="F22" s="76">
        <v>3.8460000000000001</v>
      </c>
      <c r="G22" s="76">
        <v>3.8460000000000001</v>
      </c>
      <c r="H22" s="76">
        <v>3.8460000000000001</v>
      </c>
      <c r="I22" s="76">
        <v>3.8460000000000001</v>
      </c>
      <c r="J22" s="76">
        <v>3.8460000000000001</v>
      </c>
      <c r="K22" s="76">
        <v>3.8460000000000001</v>
      </c>
      <c r="L22" s="76">
        <v>3.8460000000000001</v>
      </c>
      <c r="M22" s="76">
        <v>3.8460000000000001</v>
      </c>
      <c r="N22" s="76">
        <v>15.865</v>
      </c>
      <c r="O22" s="76">
        <v>15.865</v>
      </c>
      <c r="P22" s="76">
        <v>15.865</v>
      </c>
      <c r="Q22" s="76">
        <v>15.865</v>
      </c>
      <c r="R22" s="76">
        <v>23.513999999999999</v>
      </c>
      <c r="S22" s="76">
        <v>23.513999999999999</v>
      </c>
      <c r="T22" s="76">
        <v>23.513999999999999</v>
      </c>
      <c r="U22" s="76">
        <v>23.513999999999999</v>
      </c>
      <c r="V22" s="76">
        <v>23.513999999999999</v>
      </c>
    </row>
    <row r="23" spans="1:22">
      <c r="A23" s="326" t="s">
        <v>71</v>
      </c>
      <c r="B23" s="159">
        <v>8</v>
      </c>
      <c r="C23" s="76">
        <v>12.5</v>
      </c>
      <c r="D23" s="76">
        <v>50</v>
      </c>
      <c r="E23" s="76">
        <v>62.5</v>
      </c>
      <c r="F23" s="76">
        <v>62.5</v>
      </c>
      <c r="G23" s="76">
        <v>62.5</v>
      </c>
      <c r="H23" s="76">
        <v>62.5</v>
      </c>
      <c r="I23" s="76">
        <v>81.25</v>
      </c>
      <c r="J23" s="76">
        <v>81.25</v>
      </c>
      <c r="K23" s="76">
        <v>81.25</v>
      </c>
      <c r="L23" s="76">
        <v>81.25</v>
      </c>
      <c r="M23" s="76">
        <v>81.25</v>
      </c>
      <c r="N23" s="76">
        <v>81.25</v>
      </c>
      <c r="O23" s="76">
        <v>81.25</v>
      </c>
      <c r="P23" s="76">
        <v>81.25</v>
      </c>
      <c r="Q23" s="76">
        <v>81.25</v>
      </c>
      <c r="R23" s="76">
        <v>81.25</v>
      </c>
      <c r="S23" s="76">
        <v>81.25</v>
      </c>
      <c r="T23" s="76">
        <v>81.25</v>
      </c>
      <c r="U23" s="76">
        <v>81.25</v>
      </c>
      <c r="V23" s="76">
        <v>81.25</v>
      </c>
    </row>
    <row r="24" spans="1:22">
      <c r="A24" s="326" t="s">
        <v>8</v>
      </c>
      <c r="B24" s="159">
        <v>798</v>
      </c>
      <c r="C24" s="76">
        <v>0</v>
      </c>
      <c r="D24" s="76">
        <v>0</v>
      </c>
      <c r="E24" s="76">
        <v>0.39200000000000002</v>
      </c>
      <c r="F24" s="76">
        <v>0.52300000000000002</v>
      </c>
      <c r="G24" s="76">
        <v>0.79300000000000004</v>
      </c>
      <c r="H24" s="76">
        <v>0.93100000000000005</v>
      </c>
      <c r="I24" s="76">
        <v>1.2130000000000001</v>
      </c>
      <c r="J24" s="76">
        <v>1.502</v>
      </c>
      <c r="K24" s="76">
        <v>1.502</v>
      </c>
      <c r="L24" s="76">
        <v>1.8089999999999999</v>
      </c>
      <c r="M24" s="76">
        <v>1.8089999999999999</v>
      </c>
      <c r="N24" s="76">
        <v>2.4569999999999999</v>
      </c>
      <c r="O24" s="76">
        <v>2.7850000000000001</v>
      </c>
      <c r="P24" s="76">
        <v>2.9550000000000001</v>
      </c>
      <c r="Q24" s="76">
        <v>3.1280000000000001</v>
      </c>
      <c r="R24" s="76">
        <v>3.8439999999999999</v>
      </c>
      <c r="S24" s="76">
        <v>4.4119999999999999</v>
      </c>
      <c r="T24" s="76">
        <v>5.1890000000000001</v>
      </c>
      <c r="U24" s="76">
        <v>5.3940000000000001</v>
      </c>
      <c r="V24" s="76">
        <v>6.032</v>
      </c>
    </row>
    <row r="25" spans="1:22">
      <c r="A25" s="326" t="s">
        <v>9</v>
      </c>
      <c r="B25" s="159">
        <v>263</v>
      </c>
      <c r="C25" s="76">
        <v>1.155</v>
      </c>
      <c r="D25" s="76">
        <v>3.1120000000000001</v>
      </c>
      <c r="E25" s="76">
        <v>3.9420000000000002</v>
      </c>
      <c r="F25" s="76">
        <v>4.806</v>
      </c>
      <c r="G25" s="76">
        <v>5.7060000000000004</v>
      </c>
      <c r="H25" s="76">
        <v>6.173</v>
      </c>
      <c r="I25" s="76">
        <v>7.2160000000000002</v>
      </c>
      <c r="J25" s="76">
        <v>8.2949999999999999</v>
      </c>
      <c r="K25" s="76">
        <v>8.2949999999999999</v>
      </c>
      <c r="L25" s="76">
        <v>8.2949999999999999</v>
      </c>
      <c r="M25" s="76">
        <v>9.6199999999999992</v>
      </c>
      <c r="N25" s="76">
        <v>13.173999999999999</v>
      </c>
      <c r="O25" s="76">
        <v>13.95</v>
      </c>
      <c r="P25" s="76">
        <v>13.95</v>
      </c>
      <c r="Q25" s="76">
        <v>15.670999999999999</v>
      </c>
      <c r="R25" s="76">
        <v>20.478000000000002</v>
      </c>
      <c r="S25" s="76">
        <v>22.588000000000001</v>
      </c>
      <c r="T25" s="76">
        <v>22.588000000000001</v>
      </c>
      <c r="U25" s="76">
        <v>23.837</v>
      </c>
      <c r="V25" s="76">
        <v>23.837</v>
      </c>
    </row>
    <row r="26" spans="1:22">
      <c r="A26" s="326" t="s">
        <v>79</v>
      </c>
      <c r="B26" s="159">
        <v>1061</v>
      </c>
      <c r="C26" s="76">
        <v>0.28499999999999998</v>
      </c>
      <c r="D26" s="76">
        <v>0.76600000000000001</v>
      </c>
      <c r="E26" s="76">
        <v>1.2629999999999999</v>
      </c>
      <c r="F26" s="76">
        <v>1.5649999999999999</v>
      </c>
      <c r="G26" s="76">
        <v>1.98</v>
      </c>
      <c r="H26" s="76">
        <v>2.194</v>
      </c>
      <c r="I26" s="76">
        <v>2.637</v>
      </c>
      <c r="J26" s="76">
        <v>3.093</v>
      </c>
      <c r="K26" s="76">
        <v>3.093</v>
      </c>
      <c r="L26" s="76">
        <v>3.3380000000000001</v>
      </c>
      <c r="M26" s="76">
        <v>3.59</v>
      </c>
      <c r="N26" s="76">
        <v>4.7720000000000002</v>
      </c>
      <c r="O26" s="76">
        <v>5.1769999999999996</v>
      </c>
      <c r="P26" s="76">
        <v>5.3170000000000002</v>
      </c>
      <c r="Q26" s="76">
        <v>5.7480000000000002</v>
      </c>
      <c r="R26" s="76">
        <v>7.0979999999999999</v>
      </c>
      <c r="S26" s="76">
        <v>7.8940000000000001</v>
      </c>
      <c r="T26" s="76">
        <v>8.5489999999999995</v>
      </c>
      <c r="U26" s="76">
        <v>8.8970000000000002</v>
      </c>
      <c r="V26" s="76">
        <v>9.4440000000000008</v>
      </c>
    </row>
    <row r="27" spans="1:22">
      <c r="A27" s="326">
        <v>26299</v>
      </c>
      <c r="B27" s="327"/>
    </row>
    <row r="28" spans="1:22">
      <c r="A28" s="328" t="s">
        <v>0</v>
      </c>
      <c r="B28" s="329" t="s">
        <v>78</v>
      </c>
      <c r="C28" s="329">
        <v>1</v>
      </c>
      <c r="D28" s="329">
        <v>2</v>
      </c>
      <c r="E28" s="329">
        <v>3</v>
      </c>
      <c r="F28" s="329">
        <v>4</v>
      </c>
      <c r="G28" s="329">
        <v>5</v>
      </c>
      <c r="H28" s="329">
        <v>6</v>
      </c>
      <c r="I28" s="329">
        <v>7</v>
      </c>
      <c r="J28" s="329">
        <v>8</v>
      </c>
      <c r="K28" s="329">
        <v>9</v>
      </c>
      <c r="L28" s="329">
        <v>10</v>
      </c>
      <c r="M28" s="329">
        <v>11</v>
      </c>
      <c r="N28" s="329">
        <v>12</v>
      </c>
      <c r="O28" s="329">
        <v>13</v>
      </c>
      <c r="P28" s="329">
        <v>14</v>
      </c>
      <c r="Q28" s="329">
        <v>15</v>
      </c>
      <c r="R28" s="329">
        <v>16</v>
      </c>
      <c r="S28" s="329">
        <v>17</v>
      </c>
      <c r="T28" s="329">
        <v>18</v>
      </c>
      <c r="U28" s="329">
        <v>19</v>
      </c>
      <c r="V28" s="329">
        <v>20</v>
      </c>
    </row>
    <row r="29" spans="1:22">
      <c r="A29" s="326" t="s">
        <v>1</v>
      </c>
      <c r="B29" s="159">
        <v>41</v>
      </c>
      <c r="C29" s="76">
        <v>0</v>
      </c>
      <c r="D29" s="76">
        <v>0</v>
      </c>
      <c r="E29" s="76">
        <v>0</v>
      </c>
      <c r="F29" s="76">
        <v>0</v>
      </c>
      <c r="G29" s="76">
        <v>0</v>
      </c>
      <c r="H29" s="76">
        <v>0</v>
      </c>
      <c r="I29" s="76">
        <v>0</v>
      </c>
      <c r="J29" s="76">
        <v>0</v>
      </c>
      <c r="K29" s="76">
        <v>0</v>
      </c>
      <c r="L29" s="76">
        <v>0</v>
      </c>
      <c r="M29" s="76">
        <v>0</v>
      </c>
      <c r="N29" s="76">
        <v>0</v>
      </c>
      <c r="O29" s="76">
        <v>0</v>
      </c>
      <c r="P29" s="76">
        <v>0</v>
      </c>
      <c r="Q29" s="76">
        <v>0</v>
      </c>
      <c r="R29" s="76">
        <v>2.6320000000000001</v>
      </c>
      <c r="S29" s="76">
        <v>2.6320000000000001</v>
      </c>
      <c r="T29" s="76">
        <v>2.6320000000000001</v>
      </c>
      <c r="U29" s="76">
        <v>2.6320000000000001</v>
      </c>
      <c r="V29" s="76">
        <v>2.6320000000000001</v>
      </c>
    </row>
    <row r="30" spans="1:22">
      <c r="A30" s="326" t="s">
        <v>2</v>
      </c>
      <c r="B30" s="159">
        <v>80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1.639</v>
      </c>
      <c r="V30" s="76">
        <v>1.639</v>
      </c>
    </row>
    <row r="31" spans="1:22">
      <c r="A31" s="326" t="s">
        <v>3</v>
      </c>
      <c r="B31" s="159">
        <v>306</v>
      </c>
      <c r="C31" s="76">
        <v>0</v>
      </c>
      <c r="D31" s="76">
        <v>0.33600000000000002</v>
      </c>
      <c r="E31" s="76">
        <v>0.33600000000000002</v>
      </c>
      <c r="F31" s="76">
        <v>0.33600000000000002</v>
      </c>
      <c r="G31" s="76">
        <v>0.33600000000000002</v>
      </c>
      <c r="H31" s="76">
        <v>0.33600000000000002</v>
      </c>
      <c r="I31" s="76">
        <v>0.33600000000000002</v>
      </c>
      <c r="J31" s="76">
        <v>0.33600000000000002</v>
      </c>
      <c r="K31" s="76">
        <v>0.33600000000000002</v>
      </c>
      <c r="L31" s="76">
        <v>0.33600000000000002</v>
      </c>
      <c r="M31" s="76">
        <v>0.71</v>
      </c>
      <c r="N31" s="76">
        <v>1.0880000000000001</v>
      </c>
      <c r="O31" s="76">
        <v>1.0880000000000001</v>
      </c>
      <c r="P31" s="76">
        <v>1.0880000000000001</v>
      </c>
      <c r="Q31" s="76">
        <v>1.4870000000000001</v>
      </c>
      <c r="R31" s="76">
        <v>1.4870000000000001</v>
      </c>
      <c r="S31" s="76">
        <v>2.3319999999999999</v>
      </c>
      <c r="T31" s="76">
        <v>2.3319999999999999</v>
      </c>
      <c r="U31" s="76">
        <v>2.8</v>
      </c>
      <c r="V31" s="76">
        <v>3.2879999999999998</v>
      </c>
    </row>
    <row r="32" spans="1:22">
      <c r="A32" s="326" t="s">
        <v>4</v>
      </c>
      <c r="B32" s="159">
        <v>431</v>
      </c>
      <c r="C32" s="76">
        <v>0</v>
      </c>
      <c r="D32" s="76">
        <v>0.48899999999999999</v>
      </c>
      <c r="E32" s="76">
        <v>0.73499999999999999</v>
      </c>
      <c r="F32" s="76">
        <v>1.246</v>
      </c>
      <c r="G32" s="76">
        <v>1.5129999999999999</v>
      </c>
      <c r="H32" s="76">
        <v>2.0609999999999999</v>
      </c>
      <c r="I32" s="76">
        <v>2.6389999999999998</v>
      </c>
      <c r="J32" s="76">
        <v>2.6389999999999998</v>
      </c>
      <c r="K32" s="76">
        <v>3.274</v>
      </c>
      <c r="L32" s="76">
        <v>3.274</v>
      </c>
      <c r="M32" s="76">
        <v>3.9769999999999999</v>
      </c>
      <c r="N32" s="76">
        <v>4.3369999999999997</v>
      </c>
      <c r="O32" s="76">
        <v>5.0890000000000004</v>
      </c>
      <c r="P32" s="76">
        <v>5.4790000000000001</v>
      </c>
      <c r="Q32" s="76">
        <v>6.6929999999999996</v>
      </c>
      <c r="R32" s="76">
        <v>7.6040000000000001</v>
      </c>
      <c r="S32" s="76">
        <v>8.5419999999999998</v>
      </c>
      <c r="T32" s="76">
        <v>9.5760000000000005</v>
      </c>
      <c r="U32" s="76">
        <v>11.201000000000001</v>
      </c>
      <c r="V32" s="76">
        <v>14.023</v>
      </c>
    </row>
    <row r="33" spans="1:22">
      <c r="A33" s="326" t="s">
        <v>5</v>
      </c>
      <c r="B33" s="159">
        <v>224</v>
      </c>
      <c r="C33" s="76">
        <v>0</v>
      </c>
      <c r="D33" s="76">
        <v>0.47599999999999998</v>
      </c>
      <c r="E33" s="76">
        <v>1.4550000000000001</v>
      </c>
      <c r="F33" s="76">
        <v>2.4740000000000002</v>
      </c>
      <c r="G33" s="76">
        <v>3.0009999999999999</v>
      </c>
      <c r="H33" s="76">
        <v>3.589</v>
      </c>
      <c r="I33" s="76">
        <v>4.8099999999999996</v>
      </c>
      <c r="J33" s="76">
        <v>4.8099999999999996</v>
      </c>
      <c r="K33" s="76">
        <v>4.8099999999999996</v>
      </c>
      <c r="L33" s="76">
        <v>6.2910000000000004</v>
      </c>
      <c r="M33" s="76">
        <v>9.4770000000000003</v>
      </c>
      <c r="N33" s="76">
        <v>10.348000000000001</v>
      </c>
      <c r="O33" s="76">
        <v>10.348000000000001</v>
      </c>
      <c r="P33" s="76">
        <v>13.24</v>
      </c>
      <c r="Q33" s="76">
        <v>17.526</v>
      </c>
      <c r="R33" s="76">
        <v>19.852</v>
      </c>
      <c r="S33" s="76">
        <v>19.852</v>
      </c>
      <c r="T33" s="76">
        <v>21.187999999999999</v>
      </c>
      <c r="U33" s="76">
        <v>22.646999999999998</v>
      </c>
      <c r="V33" s="76">
        <v>28.876000000000001</v>
      </c>
    </row>
    <row r="34" spans="1:22">
      <c r="A34" s="326" t="s">
        <v>6</v>
      </c>
      <c r="B34" s="159">
        <v>29</v>
      </c>
      <c r="C34" s="76">
        <v>6.8970000000000002</v>
      </c>
      <c r="D34" s="76">
        <v>6.8970000000000002</v>
      </c>
      <c r="E34" s="76">
        <v>6.8970000000000002</v>
      </c>
      <c r="F34" s="76">
        <v>6.8970000000000002</v>
      </c>
      <c r="G34" s="76">
        <v>6.8970000000000002</v>
      </c>
      <c r="H34" s="76">
        <v>6.8970000000000002</v>
      </c>
      <c r="I34" s="76">
        <v>6.8970000000000002</v>
      </c>
      <c r="J34" s="76">
        <v>6.8970000000000002</v>
      </c>
      <c r="K34" s="76">
        <v>6.8970000000000002</v>
      </c>
      <c r="L34" s="76">
        <v>6.8970000000000002</v>
      </c>
      <c r="M34" s="76">
        <v>17.850000000000001</v>
      </c>
      <c r="N34" s="76">
        <v>17.850000000000001</v>
      </c>
      <c r="O34" s="76">
        <v>17.850000000000001</v>
      </c>
      <c r="P34" s="76">
        <v>17.850000000000001</v>
      </c>
      <c r="Q34" s="76">
        <v>25.318000000000001</v>
      </c>
      <c r="R34" s="76">
        <v>25.318000000000001</v>
      </c>
      <c r="S34" s="76">
        <v>25.318000000000001</v>
      </c>
      <c r="T34" s="76">
        <v>25.318000000000001</v>
      </c>
      <c r="U34" s="76">
        <v>25.318000000000001</v>
      </c>
      <c r="V34" s="76">
        <v>25.318000000000001</v>
      </c>
    </row>
    <row r="35" spans="1:22">
      <c r="A35" s="326" t="s">
        <v>71</v>
      </c>
      <c r="B35" s="159">
        <v>8</v>
      </c>
      <c r="C35" s="76">
        <v>37.5</v>
      </c>
      <c r="D35" s="76">
        <v>50</v>
      </c>
      <c r="E35" s="76">
        <v>50</v>
      </c>
      <c r="F35" s="76">
        <v>50</v>
      </c>
      <c r="G35" s="76">
        <v>50</v>
      </c>
      <c r="H35" s="76">
        <v>66.667000000000002</v>
      </c>
      <c r="I35" s="76">
        <v>66.667000000000002</v>
      </c>
      <c r="J35" s="76">
        <v>66.667000000000002</v>
      </c>
      <c r="K35" s="76">
        <v>66.667000000000002</v>
      </c>
      <c r="L35" s="76">
        <v>66.667000000000002</v>
      </c>
      <c r="M35" s="76">
        <v>66.667000000000002</v>
      </c>
      <c r="N35" s="76">
        <v>66.667000000000002</v>
      </c>
      <c r="O35" s="76">
        <v>66.667000000000002</v>
      </c>
      <c r="P35" s="76">
        <v>66.667000000000002</v>
      </c>
      <c r="Q35" s="76">
        <v>66.667000000000002</v>
      </c>
      <c r="R35" s="76">
        <v>66.667000000000002</v>
      </c>
      <c r="S35" s="76">
        <v>66.667000000000002</v>
      </c>
      <c r="T35" s="76">
        <v>66.667000000000002</v>
      </c>
      <c r="U35" s="76">
        <v>66.667000000000002</v>
      </c>
      <c r="V35" s="76"/>
    </row>
    <row r="36" spans="1:22">
      <c r="A36" s="326" t="s">
        <v>8</v>
      </c>
      <c r="B36" s="159">
        <v>858</v>
      </c>
      <c r="C36" s="76">
        <v>0</v>
      </c>
      <c r="D36" s="76">
        <v>0.36199999999999999</v>
      </c>
      <c r="E36" s="76">
        <v>0.48399999999999999</v>
      </c>
      <c r="F36" s="76">
        <v>0.73299999999999998</v>
      </c>
      <c r="G36" s="76">
        <v>0.86099999999999999</v>
      </c>
      <c r="H36" s="76">
        <v>1.121</v>
      </c>
      <c r="I36" s="76">
        <v>1.389</v>
      </c>
      <c r="J36" s="76">
        <v>1.389</v>
      </c>
      <c r="K36" s="76">
        <v>1.673</v>
      </c>
      <c r="L36" s="76">
        <v>1.673</v>
      </c>
      <c r="M36" s="76">
        <v>2.125</v>
      </c>
      <c r="N36" s="76">
        <v>2.4300000000000002</v>
      </c>
      <c r="O36" s="76">
        <v>2.746</v>
      </c>
      <c r="P36" s="76">
        <v>2.907</v>
      </c>
      <c r="Q36" s="76">
        <v>3.57</v>
      </c>
      <c r="R36" s="76">
        <v>4.0970000000000004</v>
      </c>
      <c r="S36" s="76">
        <v>4.819</v>
      </c>
      <c r="T36" s="76">
        <v>5.2069999999999999</v>
      </c>
      <c r="U36" s="76">
        <v>6.2050000000000001</v>
      </c>
      <c r="V36" s="76">
        <v>7.4450000000000003</v>
      </c>
    </row>
    <row r="37" spans="1:22">
      <c r="A37" s="326" t="s">
        <v>9</v>
      </c>
      <c r="B37" s="159">
        <v>261</v>
      </c>
      <c r="C37" s="76">
        <v>1.9219999999999999</v>
      </c>
      <c r="D37" s="76">
        <v>2.734</v>
      </c>
      <c r="E37" s="76">
        <v>3.5779999999999998</v>
      </c>
      <c r="F37" s="76">
        <v>4.4589999999999996</v>
      </c>
      <c r="G37" s="76">
        <v>4.9139999999999997</v>
      </c>
      <c r="H37" s="76">
        <v>5.92</v>
      </c>
      <c r="I37" s="76">
        <v>6.9630000000000001</v>
      </c>
      <c r="J37" s="76">
        <v>6.9630000000000001</v>
      </c>
      <c r="K37" s="76">
        <v>6.9630000000000001</v>
      </c>
      <c r="L37" s="76">
        <v>8.2159999999999993</v>
      </c>
      <c r="M37" s="76">
        <v>12.233000000000001</v>
      </c>
      <c r="N37" s="76">
        <v>12.965</v>
      </c>
      <c r="O37" s="76">
        <v>12.965</v>
      </c>
      <c r="P37" s="76">
        <v>15.404999999999999</v>
      </c>
      <c r="Q37" s="76">
        <v>19.91</v>
      </c>
      <c r="R37" s="76">
        <v>21.864999999999998</v>
      </c>
      <c r="S37" s="76">
        <v>21.864999999999998</v>
      </c>
      <c r="T37" s="76">
        <v>23.013999999999999</v>
      </c>
      <c r="U37" s="76">
        <v>24.297000000000001</v>
      </c>
      <c r="V37" s="76">
        <v>29.814</v>
      </c>
    </row>
    <row r="38" spans="1:22">
      <c r="A38" s="326" t="s">
        <v>79</v>
      </c>
      <c r="B38" s="159">
        <v>1119</v>
      </c>
      <c r="C38" s="76">
        <v>0.45100000000000001</v>
      </c>
      <c r="D38" s="76">
        <v>0.91700000000000004</v>
      </c>
      <c r="E38" s="76">
        <v>1.2</v>
      </c>
      <c r="F38" s="76">
        <v>1.589</v>
      </c>
      <c r="G38" s="76">
        <v>1.788</v>
      </c>
      <c r="H38" s="76">
        <v>2.2029999999999998</v>
      </c>
      <c r="I38" s="76">
        <v>2.629</v>
      </c>
      <c r="J38" s="76">
        <v>2.629</v>
      </c>
      <c r="K38" s="76">
        <v>2.8580000000000001</v>
      </c>
      <c r="L38" s="76">
        <v>3.093</v>
      </c>
      <c r="M38" s="76">
        <v>4.1950000000000003</v>
      </c>
      <c r="N38" s="76">
        <v>4.5730000000000004</v>
      </c>
      <c r="O38" s="76">
        <v>4.835</v>
      </c>
      <c r="P38" s="76">
        <v>5.37</v>
      </c>
      <c r="Q38" s="76">
        <v>6.625</v>
      </c>
      <c r="R38" s="76">
        <v>7.3639999999999999</v>
      </c>
      <c r="S38" s="76">
        <v>7.9749999999999996</v>
      </c>
      <c r="T38" s="76">
        <v>8.4670000000000005</v>
      </c>
      <c r="U38" s="76">
        <v>9.4949999999999992</v>
      </c>
      <c r="V38" s="76">
        <v>11.273</v>
      </c>
    </row>
    <row r="39" spans="1:22">
      <c r="A39" s="326">
        <v>26665</v>
      </c>
      <c r="B39" s="327"/>
    </row>
    <row r="40" spans="1:22">
      <c r="A40" s="328" t="s">
        <v>0</v>
      </c>
      <c r="B40" s="329" t="s">
        <v>78</v>
      </c>
      <c r="C40" s="329">
        <v>1</v>
      </c>
      <c r="D40" s="329">
        <v>2</v>
      </c>
      <c r="E40" s="329">
        <v>3</v>
      </c>
      <c r="F40" s="329">
        <v>4</v>
      </c>
      <c r="G40" s="329">
        <v>5</v>
      </c>
      <c r="H40" s="329">
        <v>6</v>
      </c>
      <c r="I40" s="329">
        <v>7</v>
      </c>
      <c r="J40" s="329">
        <v>8</v>
      </c>
      <c r="K40" s="329">
        <v>9</v>
      </c>
      <c r="L40" s="329">
        <v>10</v>
      </c>
      <c r="M40" s="329">
        <v>11</v>
      </c>
      <c r="N40" s="329">
        <v>12</v>
      </c>
      <c r="O40" s="329">
        <v>13</v>
      </c>
      <c r="P40" s="329">
        <v>14</v>
      </c>
      <c r="Q40" s="329">
        <v>15</v>
      </c>
      <c r="R40" s="329">
        <v>16</v>
      </c>
      <c r="S40" s="329">
        <v>17</v>
      </c>
      <c r="T40" s="329">
        <v>18</v>
      </c>
      <c r="U40" s="329">
        <v>19</v>
      </c>
      <c r="V40" s="329">
        <v>20</v>
      </c>
    </row>
    <row r="41" spans="1:22">
      <c r="A41" s="326" t="s">
        <v>1</v>
      </c>
      <c r="B41" s="159">
        <v>41</v>
      </c>
      <c r="C41" s="76">
        <v>0</v>
      </c>
      <c r="D41" s="76">
        <v>0</v>
      </c>
      <c r="E41" s="76">
        <v>0</v>
      </c>
      <c r="F41" s="76">
        <v>0</v>
      </c>
      <c r="G41" s="76">
        <v>0</v>
      </c>
      <c r="H41" s="76">
        <v>0</v>
      </c>
      <c r="I41" s="76">
        <v>0</v>
      </c>
      <c r="J41" s="76">
        <v>0</v>
      </c>
      <c r="K41" s="76">
        <v>0</v>
      </c>
      <c r="L41" s="76">
        <v>0</v>
      </c>
      <c r="M41" s="76">
        <v>0</v>
      </c>
      <c r="N41" s="76">
        <v>0</v>
      </c>
      <c r="O41" s="76">
        <v>0</v>
      </c>
      <c r="P41" s="76">
        <v>0</v>
      </c>
      <c r="Q41" s="76">
        <v>2.6320000000000001</v>
      </c>
      <c r="R41" s="76">
        <v>2.6320000000000001</v>
      </c>
      <c r="S41" s="76">
        <v>2.6320000000000001</v>
      </c>
      <c r="T41" s="76">
        <v>2.6320000000000001</v>
      </c>
      <c r="U41" s="76">
        <v>2.6320000000000001</v>
      </c>
      <c r="V41" s="76">
        <v>2.6320000000000001</v>
      </c>
    </row>
    <row r="42" spans="1:22">
      <c r="A42" s="326" t="s">
        <v>2</v>
      </c>
      <c r="B42" s="159">
        <v>83</v>
      </c>
      <c r="C42" s="76">
        <v>0</v>
      </c>
      <c r="D42" s="76">
        <v>0</v>
      </c>
      <c r="E42" s="76">
        <v>0</v>
      </c>
      <c r="F42" s="76">
        <v>0</v>
      </c>
      <c r="G42" s="76">
        <v>0</v>
      </c>
      <c r="H42" s="76">
        <v>0</v>
      </c>
      <c r="I42" s="76">
        <v>0</v>
      </c>
      <c r="J42" s="76">
        <v>0</v>
      </c>
      <c r="K42" s="76">
        <v>0</v>
      </c>
      <c r="L42" s="76">
        <v>0</v>
      </c>
      <c r="M42" s="76">
        <v>0</v>
      </c>
      <c r="N42" s="76">
        <v>0</v>
      </c>
      <c r="O42" s="76">
        <v>0</v>
      </c>
      <c r="P42" s="76">
        <v>0</v>
      </c>
      <c r="Q42" s="76">
        <v>0</v>
      </c>
      <c r="R42" s="76">
        <v>0</v>
      </c>
      <c r="S42" s="76">
        <v>0</v>
      </c>
      <c r="T42" s="76">
        <v>1.5629999999999999</v>
      </c>
      <c r="U42" s="76">
        <v>1.5629999999999999</v>
      </c>
      <c r="V42" s="76">
        <v>1.5629999999999999</v>
      </c>
    </row>
    <row r="43" spans="1:22">
      <c r="A43" s="326" t="s">
        <v>3</v>
      </c>
      <c r="B43" s="159">
        <v>313</v>
      </c>
      <c r="C43" s="76">
        <v>0</v>
      </c>
      <c r="D43" s="76">
        <v>0</v>
      </c>
      <c r="E43" s="76">
        <v>0</v>
      </c>
      <c r="F43" s="76">
        <v>0</v>
      </c>
      <c r="G43" s="76">
        <v>0</v>
      </c>
      <c r="H43" s="76">
        <v>0</v>
      </c>
      <c r="I43" s="76">
        <v>0</v>
      </c>
      <c r="J43" s="76">
        <v>0</v>
      </c>
      <c r="K43" s="76">
        <v>0</v>
      </c>
      <c r="L43" s="76">
        <v>0.36099999999999999</v>
      </c>
      <c r="M43" s="76">
        <v>0.72499999999999998</v>
      </c>
      <c r="N43" s="76">
        <v>0.72499999999999998</v>
      </c>
      <c r="O43" s="76">
        <v>0.72499999999999998</v>
      </c>
      <c r="P43" s="76">
        <v>1.1120000000000001</v>
      </c>
      <c r="Q43" s="76">
        <v>1.1120000000000001</v>
      </c>
      <c r="R43" s="76">
        <v>1.9330000000000001</v>
      </c>
      <c r="S43" s="76">
        <v>1.9330000000000001</v>
      </c>
      <c r="T43" s="76">
        <v>2.383</v>
      </c>
      <c r="U43" s="76">
        <v>2.855</v>
      </c>
      <c r="V43" s="76">
        <v>3.335</v>
      </c>
    </row>
    <row r="44" spans="1:22">
      <c r="A44" s="326" t="s">
        <v>4</v>
      </c>
      <c r="B44" s="159">
        <v>441</v>
      </c>
      <c r="C44" s="76">
        <v>0.46100000000000002</v>
      </c>
      <c r="D44" s="76">
        <v>0.69299999999999995</v>
      </c>
      <c r="E44" s="76">
        <v>1.175</v>
      </c>
      <c r="F44" s="76">
        <v>1.425</v>
      </c>
      <c r="G44" s="76">
        <v>1.94</v>
      </c>
      <c r="H44" s="76">
        <v>2.484</v>
      </c>
      <c r="I44" s="76">
        <v>2.484</v>
      </c>
      <c r="J44" s="76">
        <v>3.081</v>
      </c>
      <c r="K44" s="76">
        <v>3.081</v>
      </c>
      <c r="L44" s="76">
        <v>3.7450000000000001</v>
      </c>
      <c r="M44" s="76">
        <v>4.4240000000000004</v>
      </c>
      <c r="N44" s="76">
        <v>5.1360000000000001</v>
      </c>
      <c r="O44" s="76">
        <v>5.8739999999999997</v>
      </c>
      <c r="P44" s="76">
        <v>7.024</v>
      </c>
      <c r="Q44" s="76">
        <v>7.8810000000000002</v>
      </c>
      <c r="R44" s="76">
        <v>8.7629999999999999</v>
      </c>
      <c r="S44" s="76">
        <v>9.7420000000000009</v>
      </c>
      <c r="T44" s="76">
        <v>11.801</v>
      </c>
      <c r="U44" s="76">
        <v>13.965999999999999</v>
      </c>
      <c r="V44" s="76">
        <v>13.965999999999999</v>
      </c>
    </row>
    <row r="45" spans="1:22">
      <c r="A45" s="326" t="s">
        <v>5</v>
      </c>
      <c r="B45" s="159">
        <v>205</v>
      </c>
      <c r="C45" s="76">
        <v>0</v>
      </c>
      <c r="D45" s="76">
        <v>1.018</v>
      </c>
      <c r="E45" s="76">
        <v>2.08</v>
      </c>
      <c r="F45" s="76">
        <v>2.63</v>
      </c>
      <c r="G45" s="76">
        <v>3.2389999999999999</v>
      </c>
      <c r="H45" s="76">
        <v>4.4960000000000004</v>
      </c>
      <c r="I45" s="76">
        <v>4.4960000000000004</v>
      </c>
      <c r="J45" s="76">
        <v>4.4960000000000004</v>
      </c>
      <c r="K45" s="76">
        <v>5.9939999999999998</v>
      </c>
      <c r="L45" s="76">
        <v>10.007999999999999</v>
      </c>
      <c r="M45" s="76">
        <v>10.874000000000001</v>
      </c>
      <c r="N45" s="76">
        <v>10.874000000000001</v>
      </c>
      <c r="O45" s="76">
        <v>12.77</v>
      </c>
      <c r="P45" s="76">
        <v>17.027000000000001</v>
      </c>
      <c r="Q45" s="76">
        <v>20.521000000000001</v>
      </c>
      <c r="R45" s="76">
        <v>20.521000000000001</v>
      </c>
      <c r="S45" s="76">
        <v>21.824000000000002</v>
      </c>
      <c r="T45" s="76">
        <v>23.245000000000001</v>
      </c>
      <c r="U45" s="76">
        <v>30.613</v>
      </c>
      <c r="V45" s="76">
        <v>32.155000000000001</v>
      </c>
    </row>
    <row r="46" spans="1:22">
      <c r="A46" s="326" t="s">
        <v>6</v>
      </c>
      <c r="B46" s="159">
        <v>27</v>
      </c>
      <c r="C46" s="76">
        <v>3.8460000000000001</v>
      </c>
      <c r="D46" s="76">
        <v>3.8460000000000001</v>
      </c>
      <c r="E46" s="76">
        <v>3.8460000000000001</v>
      </c>
      <c r="F46" s="76">
        <v>3.8460000000000001</v>
      </c>
      <c r="G46" s="76">
        <v>3.8460000000000001</v>
      </c>
      <c r="H46" s="76">
        <v>3.8460000000000001</v>
      </c>
      <c r="I46" s="76">
        <v>3.8460000000000001</v>
      </c>
      <c r="J46" s="76">
        <v>3.8460000000000001</v>
      </c>
      <c r="K46" s="76">
        <v>3.8460000000000001</v>
      </c>
      <c r="L46" s="76">
        <v>15.157999999999999</v>
      </c>
      <c r="M46" s="76">
        <v>15.157999999999999</v>
      </c>
      <c r="N46" s="76">
        <v>15.157999999999999</v>
      </c>
      <c r="O46" s="76">
        <v>15.157999999999999</v>
      </c>
      <c r="P46" s="76">
        <v>22.870999999999999</v>
      </c>
      <c r="Q46" s="76">
        <v>22.870999999999999</v>
      </c>
      <c r="R46" s="76">
        <v>22.870999999999999</v>
      </c>
      <c r="S46" s="76">
        <v>22.870999999999999</v>
      </c>
      <c r="T46" s="76">
        <v>22.870999999999999</v>
      </c>
      <c r="U46" s="76">
        <v>22.870999999999999</v>
      </c>
      <c r="V46" s="76">
        <v>22.870999999999999</v>
      </c>
    </row>
    <row r="47" spans="1:22">
      <c r="A47" s="326" t="s">
        <v>71</v>
      </c>
      <c r="B47" s="159">
        <v>6</v>
      </c>
      <c r="C47" s="76">
        <v>37.5</v>
      </c>
      <c r="D47" s="76">
        <v>37.5</v>
      </c>
      <c r="E47" s="76">
        <v>37.5</v>
      </c>
      <c r="F47" s="76">
        <v>37.5</v>
      </c>
      <c r="G47" s="76">
        <v>58.332999999999998</v>
      </c>
      <c r="H47" s="76">
        <v>58.332999999999998</v>
      </c>
      <c r="I47" s="76">
        <v>58.332999999999998</v>
      </c>
      <c r="J47" s="76">
        <v>58.332999999999998</v>
      </c>
      <c r="K47" s="76">
        <v>58.332999999999998</v>
      </c>
      <c r="L47" s="76">
        <v>58.332999999999998</v>
      </c>
      <c r="M47" s="76">
        <v>58.332999999999998</v>
      </c>
      <c r="N47" s="76">
        <v>58.332999999999998</v>
      </c>
      <c r="O47" s="76">
        <v>58.332999999999998</v>
      </c>
      <c r="P47" s="76">
        <v>58.332999999999998</v>
      </c>
      <c r="Q47" s="76">
        <v>58.332999999999998</v>
      </c>
      <c r="R47" s="76">
        <v>58.332999999999998</v>
      </c>
      <c r="S47" s="76">
        <v>58.332999999999998</v>
      </c>
      <c r="T47" s="76">
        <v>58.332999999999998</v>
      </c>
      <c r="U47" s="76"/>
      <c r="V47" s="76"/>
    </row>
    <row r="48" spans="1:22">
      <c r="A48" s="326" t="s">
        <v>8</v>
      </c>
      <c r="B48" s="159">
        <v>878</v>
      </c>
      <c r="C48" s="76">
        <v>0.23</v>
      </c>
      <c r="D48" s="76">
        <v>0.34599999999999997</v>
      </c>
      <c r="E48" s="76">
        <v>0.58399999999999996</v>
      </c>
      <c r="F48" s="76">
        <v>0.70499999999999996</v>
      </c>
      <c r="G48" s="76">
        <v>0.95299999999999996</v>
      </c>
      <c r="H48" s="76">
        <v>1.2090000000000001</v>
      </c>
      <c r="I48" s="76">
        <v>1.2090000000000001</v>
      </c>
      <c r="J48" s="76">
        <v>1.48</v>
      </c>
      <c r="K48" s="76">
        <v>1.48</v>
      </c>
      <c r="L48" s="76">
        <v>1.9119999999999999</v>
      </c>
      <c r="M48" s="76">
        <v>2.351</v>
      </c>
      <c r="N48" s="76">
        <v>2.653</v>
      </c>
      <c r="O48" s="76">
        <v>2.9620000000000002</v>
      </c>
      <c r="P48" s="76">
        <v>3.6</v>
      </c>
      <c r="Q48" s="76">
        <v>4.1050000000000004</v>
      </c>
      <c r="R48" s="76">
        <v>4.798</v>
      </c>
      <c r="S48" s="76">
        <v>5.1689999999999996</v>
      </c>
      <c r="T48" s="76">
        <v>6.3179999999999996</v>
      </c>
      <c r="U48" s="76">
        <v>7.3129999999999997</v>
      </c>
      <c r="V48" s="76">
        <v>7.5170000000000003</v>
      </c>
    </row>
    <row r="49" spans="1:22">
      <c r="A49" s="326" t="s">
        <v>9</v>
      </c>
      <c r="B49" s="159">
        <v>238</v>
      </c>
      <c r="C49" s="76">
        <v>1.28</v>
      </c>
      <c r="D49" s="76">
        <v>2.1640000000000001</v>
      </c>
      <c r="E49" s="76">
        <v>3.0880000000000001</v>
      </c>
      <c r="F49" s="76">
        <v>3.5649999999999999</v>
      </c>
      <c r="G49" s="76">
        <v>4.6130000000000004</v>
      </c>
      <c r="H49" s="76">
        <v>5.6950000000000003</v>
      </c>
      <c r="I49" s="76">
        <v>5.6950000000000003</v>
      </c>
      <c r="J49" s="76">
        <v>5.6950000000000003</v>
      </c>
      <c r="K49" s="76">
        <v>6.9740000000000002</v>
      </c>
      <c r="L49" s="76">
        <v>11.74</v>
      </c>
      <c r="M49" s="76">
        <v>12.475</v>
      </c>
      <c r="N49" s="76">
        <v>12.475</v>
      </c>
      <c r="O49" s="76">
        <v>14.096</v>
      </c>
      <c r="P49" s="76">
        <v>18.614000000000001</v>
      </c>
      <c r="Q49" s="76">
        <v>21.582999999999998</v>
      </c>
      <c r="R49" s="76">
        <v>21.582999999999998</v>
      </c>
      <c r="S49" s="76">
        <v>22.719000000000001</v>
      </c>
      <c r="T49" s="76">
        <v>23.986000000000001</v>
      </c>
      <c r="U49" s="76">
        <v>30.602</v>
      </c>
      <c r="V49" s="76">
        <v>31.99</v>
      </c>
    </row>
    <row r="50" spans="1:22">
      <c r="A50" s="326" t="s">
        <v>79</v>
      </c>
      <c r="B50" s="159">
        <v>1116</v>
      </c>
      <c r="C50" s="76">
        <v>0.45300000000000001</v>
      </c>
      <c r="D50" s="76">
        <v>0.72899999999999998</v>
      </c>
      <c r="E50" s="76">
        <v>1.107</v>
      </c>
      <c r="F50" s="76">
        <v>1.3009999999999999</v>
      </c>
      <c r="G50" s="76">
        <v>1.704</v>
      </c>
      <c r="H50" s="76">
        <v>2.117</v>
      </c>
      <c r="I50" s="76">
        <v>2.117</v>
      </c>
      <c r="J50" s="76">
        <v>2.339</v>
      </c>
      <c r="K50" s="76">
        <v>2.5670000000000002</v>
      </c>
      <c r="L50" s="76">
        <v>3.7519999999999998</v>
      </c>
      <c r="M50" s="76">
        <v>4.2389999999999999</v>
      </c>
      <c r="N50" s="76">
        <v>4.492</v>
      </c>
      <c r="O50" s="76">
        <v>5.0090000000000003</v>
      </c>
      <c r="P50" s="76">
        <v>6.2249999999999996</v>
      </c>
      <c r="Q50" s="76">
        <v>7.0869999999999997</v>
      </c>
      <c r="R50" s="76">
        <v>7.6769999999999996</v>
      </c>
      <c r="S50" s="76">
        <v>8.1519999999999992</v>
      </c>
      <c r="T50" s="76">
        <v>9.3079999999999998</v>
      </c>
      <c r="U50" s="76">
        <v>11.028</v>
      </c>
      <c r="V50" s="76">
        <v>11.381</v>
      </c>
    </row>
    <row r="51" spans="1:22">
      <c r="A51" s="326">
        <v>27030</v>
      </c>
      <c r="B51" s="327"/>
    </row>
    <row r="52" spans="1:22">
      <c r="A52" s="328" t="s">
        <v>0</v>
      </c>
      <c r="B52" s="329" t="s">
        <v>78</v>
      </c>
      <c r="C52" s="329">
        <v>1</v>
      </c>
      <c r="D52" s="329">
        <v>2</v>
      </c>
      <c r="E52" s="329">
        <v>3</v>
      </c>
      <c r="F52" s="329">
        <v>4</v>
      </c>
      <c r="G52" s="329">
        <v>5</v>
      </c>
      <c r="H52" s="329">
        <v>6</v>
      </c>
      <c r="I52" s="329">
        <v>7</v>
      </c>
      <c r="J52" s="329">
        <v>8</v>
      </c>
      <c r="K52" s="329">
        <v>9</v>
      </c>
      <c r="L52" s="329">
        <v>10</v>
      </c>
      <c r="M52" s="329">
        <v>11</v>
      </c>
      <c r="N52" s="329">
        <v>12</v>
      </c>
      <c r="O52" s="329">
        <v>13</v>
      </c>
      <c r="P52" s="329">
        <v>14</v>
      </c>
      <c r="Q52" s="329">
        <v>15</v>
      </c>
      <c r="R52" s="329">
        <v>16</v>
      </c>
      <c r="S52" s="329">
        <v>17</v>
      </c>
      <c r="T52" s="329">
        <v>18</v>
      </c>
      <c r="U52" s="329">
        <v>19</v>
      </c>
      <c r="V52" s="329">
        <v>20</v>
      </c>
    </row>
    <row r="53" spans="1:22">
      <c r="A53" s="326" t="s">
        <v>1</v>
      </c>
      <c r="B53" s="159">
        <v>44</v>
      </c>
      <c r="C53" s="76">
        <v>0</v>
      </c>
      <c r="D53" s="76">
        <v>0</v>
      </c>
      <c r="E53" s="76">
        <v>0</v>
      </c>
      <c r="F53" s="76">
        <v>0</v>
      </c>
      <c r="G53" s="76">
        <v>0</v>
      </c>
      <c r="H53" s="76">
        <v>0</v>
      </c>
      <c r="I53" s="76">
        <v>0</v>
      </c>
      <c r="J53" s="76">
        <v>0</v>
      </c>
      <c r="K53" s="76">
        <v>0</v>
      </c>
      <c r="L53" s="76">
        <v>0</v>
      </c>
      <c r="M53" s="76">
        <v>0</v>
      </c>
      <c r="N53" s="76">
        <v>0</v>
      </c>
      <c r="O53" s="76">
        <v>0</v>
      </c>
      <c r="P53" s="76">
        <v>2.5</v>
      </c>
      <c r="Q53" s="76">
        <v>2.5</v>
      </c>
      <c r="R53" s="76">
        <v>2.5</v>
      </c>
      <c r="S53" s="76">
        <v>2.5</v>
      </c>
      <c r="T53" s="76">
        <v>2.5</v>
      </c>
      <c r="U53" s="76">
        <v>2.5</v>
      </c>
      <c r="V53" s="76">
        <v>2.5</v>
      </c>
    </row>
    <row r="54" spans="1:22">
      <c r="A54" s="326" t="s">
        <v>2</v>
      </c>
      <c r="B54" s="159">
        <v>91</v>
      </c>
      <c r="C54" s="76">
        <v>0</v>
      </c>
      <c r="D54" s="76">
        <v>0</v>
      </c>
      <c r="E54" s="76">
        <v>0</v>
      </c>
      <c r="F54" s="76">
        <v>0</v>
      </c>
      <c r="G54" s="76">
        <v>0</v>
      </c>
      <c r="H54" s="76">
        <v>0</v>
      </c>
      <c r="I54" s="76">
        <v>0</v>
      </c>
      <c r="J54" s="76">
        <v>0</v>
      </c>
      <c r="K54" s="76">
        <v>1.2350000000000001</v>
      </c>
      <c r="L54" s="76">
        <v>1.2350000000000001</v>
      </c>
      <c r="M54" s="76">
        <v>1.2350000000000001</v>
      </c>
      <c r="N54" s="76">
        <v>1.2350000000000001</v>
      </c>
      <c r="O54" s="76">
        <v>1.2350000000000001</v>
      </c>
      <c r="P54" s="76">
        <v>1.2350000000000001</v>
      </c>
      <c r="Q54" s="76">
        <v>1.2350000000000001</v>
      </c>
      <c r="R54" s="76">
        <v>1.2350000000000001</v>
      </c>
      <c r="S54" s="76">
        <v>2.7090000000000001</v>
      </c>
      <c r="T54" s="76">
        <v>2.7090000000000001</v>
      </c>
      <c r="U54" s="76">
        <v>2.7090000000000001</v>
      </c>
      <c r="V54" s="76">
        <v>2.7090000000000001</v>
      </c>
    </row>
    <row r="55" spans="1:22">
      <c r="A55" s="326" t="s">
        <v>3</v>
      </c>
      <c r="B55" s="159">
        <v>311</v>
      </c>
      <c r="C55" s="76">
        <v>0</v>
      </c>
      <c r="D55" s="76">
        <v>0</v>
      </c>
      <c r="E55" s="76">
        <v>0</v>
      </c>
      <c r="F55" s="76">
        <v>0</v>
      </c>
      <c r="G55" s="76">
        <v>0</v>
      </c>
      <c r="H55" s="76">
        <v>0</v>
      </c>
      <c r="I55" s="76">
        <v>0</v>
      </c>
      <c r="J55" s="76">
        <v>0</v>
      </c>
      <c r="K55" s="76">
        <v>0.36</v>
      </c>
      <c r="L55" s="76">
        <v>0.72199999999999998</v>
      </c>
      <c r="M55" s="76">
        <v>0.72199999999999998</v>
      </c>
      <c r="N55" s="76">
        <v>0.72199999999999998</v>
      </c>
      <c r="O55" s="76">
        <v>1.105</v>
      </c>
      <c r="P55" s="76">
        <v>1.105</v>
      </c>
      <c r="Q55" s="76">
        <v>1.913</v>
      </c>
      <c r="R55" s="76">
        <v>1.913</v>
      </c>
      <c r="S55" s="76">
        <v>2.3530000000000002</v>
      </c>
      <c r="T55" s="76">
        <v>2.8130000000000002</v>
      </c>
      <c r="U55" s="76">
        <v>3.2829999999999999</v>
      </c>
      <c r="V55" s="76">
        <v>3.2829999999999999</v>
      </c>
    </row>
    <row r="56" spans="1:22">
      <c r="A56" s="326" t="s">
        <v>4</v>
      </c>
      <c r="B56" s="159">
        <v>431</v>
      </c>
      <c r="C56" s="76">
        <v>0</v>
      </c>
      <c r="D56" s="76">
        <v>0.48</v>
      </c>
      <c r="E56" s="76">
        <v>0.73</v>
      </c>
      <c r="F56" s="76">
        <v>1.244</v>
      </c>
      <c r="G56" s="76">
        <v>1.786</v>
      </c>
      <c r="H56" s="76">
        <v>1.786</v>
      </c>
      <c r="I56" s="76">
        <v>2.3809999999999998</v>
      </c>
      <c r="J56" s="76">
        <v>2.3809999999999998</v>
      </c>
      <c r="K56" s="76">
        <v>3.0449999999999999</v>
      </c>
      <c r="L56" s="76">
        <v>3.7229999999999999</v>
      </c>
      <c r="M56" s="76">
        <v>4.4370000000000003</v>
      </c>
      <c r="N56" s="76">
        <v>5.1769999999999996</v>
      </c>
      <c r="O56" s="76">
        <v>5.5659999999999998</v>
      </c>
      <c r="P56" s="76">
        <v>6.431</v>
      </c>
      <c r="Q56" s="76">
        <v>7.3220000000000001</v>
      </c>
      <c r="R56" s="76">
        <v>8.3059999999999992</v>
      </c>
      <c r="S56" s="76">
        <v>9.84</v>
      </c>
      <c r="T56" s="76">
        <v>12.013</v>
      </c>
      <c r="U56" s="76">
        <v>12.013</v>
      </c>
      <c r="V56" s="76">
        <v>12.013</v>
      </c>
    </row>
    <row r="57" spans="1:22">
      <c r="A57" s="326" t="s">
        <v>5</v>
      </c>
      <c r="B57" s="159">
        <v>197</v>
      </c>
      <c r="C57" s="76">
        <v>0.51300000000000001</v>
      </c>
      <c r="D57" s="76">
        <v>1.601</v>
      </c>
      <c r="E57" s="76">
        <v>2.1659999999999999</v>
      </c>
      <c r="F57" s="76">
        <v>2.7930000000000001</v>
      </c>
      <c r="G57" s="76">
        <v>4.09</v>
      </c>
      <c r="H57" s="76">
        <v>4.09</v>
      </c>
      <c r="I57" s="76">
        <v>4.09</v>
      </c>
      <c r="J57" s="76">
        <v>4.851</v>
      </c>
      <c r="K57" s="76">
        <v>8.9209999999999994</v>
      </c>
      <c r="L57" s="76">
        <v>9.8049999999999997</v>
      </c>
      <c r="M57" s="76">
        <v>9.8049999999999997</v>
      </c>
      <c r="N57" s="76">
        <v>11.704000000000001</v>
      </c>
      <c r="O57" s="76">
        <v>17.934999999999999</v>
      </c>
      <c r="P57" s="76">
        <v>21.39</v>
      </c>
      <c r="Q57" s="76">
        <v>21.39</v>
      </c>
      <c r="R57" s="76">
        <v>22.722999999999999</v>
      </c>
      <c r="S57" s="76">
        <v>25.585000000000001</v>
      </c>
      <c r="T57" s="76">
        <v>33.014000000000003</v>
      </c>
      <c r="U57" s="76">
        <v>34.572000000000003</v>
      </c>
      <c r="V57" s="76">
        <v>36.441000000000003</v>
      </c>
    </row>
    <row r="58" spans="1:22">
      <c r="A58" s="326" t="s">
        <v>6</v>
      </c>
      <c r="B58" s="159">
        <v>29</v>
      </c>
      <c r="C58" s="76">
        <v>7.1619999999999999</v>
      </c>
      <c r="D58" s="76">
        <v>7.1619999999999999</v>
      </c>
      <c r="E58" s="76">
        <v>7.1619999999999999</v>
      </c>
      <c r="F58" s="76">
        <v>7.1619999999999999</v>
      </c>
      <c r="G58" s="76">
        <v>7.1619999999999999</v>
      </c>
      <c r="H58" s="76">
        <v>7.1619999999999999</v>
      </c>
      <c r="I58" s="76">
        <v>7.1619999999999999</v>
      </c>
      <c r="J58" s="76">
        <v>11.804</v>
      </c>
      <c r="K58" s="76">
        <v>22.18</v>
      </c>
      <c r="L58" s="76">
        <v>22.18</v>
      </c>
      <c r="M58" s="76">
        <v>22.18</v>
      </c>
      <c r="N58" s="76">
        <v>22.18</v>
      </c>
      <c r="O58" s="76">
        <v>29.962</v>
      </c>
      <c r="P58" s="76">
        <v>29.962</v>
      </c>
      <c r="Q58" s="76">
        <v>29.962</v>
      </c>
      <c r="R58" s="76">
        <v>29.962</v>
      </c>
      <c r="S58" s="76">
        <v>29.962</v>
      </c>
      <c r="T58" s="76">
        <v>29.962</v>
      </c>
      <c r="U58" s="76">
        <v>29.962</v>
      </c>
      <c r="V58" s="76">
        <v>29.962</v>
      </c>
    </row>
    <row r="59" spans="1:22">
      <c r="A59" s="326" t="s">
        <v>71</v>
      </c>
      <c r="B59" s="159">
        <v>3</v>
      </c>
      <c r="C59" s="76">
        <v>0</v>
      </c>
      <c r="D59" s="76">
        <v>0</v>
      </c>
      <c r="E59" s="76">
        <v>0</v>
      </c>
      <c r="F59" s="76">
        <v>33.332999999999998</v>
      </c>
      <c r="G59" s="76">
        <v>33.332999999999998</v>
      </c>
      <c r="H59" s="76">
        <v>33.332999999999998</v>
      </c>
      <c r="I59" s="76">
        <v>33.332999999999998</v>
      </c>
      <c r="J59" s="76">
        <v>33.332999999999998</v>
      </c>
      <c r="K59" s="76">
        <v>33.332999999999998</v>
      </c>
      <c r="L59" s="76">
        <v>33.332999999999998</v>
      </c>
      <c r="M59" s="76">
        <v>33.332999999999998</v>
      </c>
      <c r="N59" s="76">
        <v>33.332999999999998</v>
      </c>
      <c r="O59" s="76">
        <v>33.332999999999998</v>
      </c>
      <c r="P59" s="76">
        <v>33.332999999999998</v>
      </c>
      <c r="Q59" s="76">
        <v>33.332999999999998</v>
      </c>
      <c r="R59" s="76">
        <v>33.332999999999998</v>
      </c>
      <c r="S59" s="76">
        <v>33.332999999999998</v>
      </c>
      <c r="T59" s="76"/>
      <c r="U59" s="76"/>
      <c r="V59" s="76"/>
    </row>
    <row r="60" spans="1:22">
      <c r="A60" s="326" t="s">
        <v>8</v>
      </c>
      <c r="B60" s="159">
        <v>877</v>
      </c>
      <c r="C60" s="76">
        <v>0</v>
      </c>
      <c r="D60" s="76">
        <v>0.23400000000000001</v>
      </c>
      <c r="E60" s="76">
        <v>0.35399999999999998</v>
      </c>
      <c r="F60" s="76">
        <v>0.59799999999999998</v>
      </c>
      <c r="G60" s="76">
        <v>0.84899999999999998</v>
      </c>
      <c r="H60" s="76">
        <v>0.84899999999999998</v>
      </c>
      <c r="I60" s="76">
        <v>1.1160000000000001</v>
      </c>
      <c r="J60" s="76">
        <v>1.1160000000000001</v>
      </c>
      <c r="K60" s="76">
        <v>1.6850000000000001</v>
      </c>
      <c r="L60" s="76">
        <v>2.117</v>
      </c>
      <c r="M60" s="76">
        <v>2.415</v>
      </c>
      <c r="N60" s="76">
        <v>2.72</v>
      </c>
      <c r="O60" s="76">
        <v>3.0350000000000001</v>
      </c>
      <c r="P60" s="76">
        <v>3.5329999999999999</v>
      </c>
      <c r="Q60" s="76">
        <v>4.2160000000000002</v>
      </c>
      <c r="R60" s="76">
        <v>4.5819999999999999</v>
      </c>
      <c r="S60" s="76">
        <v>5.5179999999999998</v>
      </c>
      <c r="T60" s="76">
        <v>6.4950000000000001</v>
      </c>
      <c r="U60" s="76">
        <v>6.6950000000000003</v>
      </c>
      <c r="V60" s="76">
        <v>6.6950000000000003</v>
      </c>
    </row>
    <row r="61" spans="1:22">
      <c r="A61" s="326" t="s">
        <v>9</v>
      </c>
      <c r="B61" s="159">
        <v>229</v>
      </c>
      <c r="C61" s="76">
        <v>1.3320000000000001</v>
      </c>
      <c r="D61" s="76">
        <v>2.27</v>
      </c>
      <c r="E61" s="76">
        <v>2.7559999999999998</v>
      </c>
      <c r="F61" s="76">
        <v>3.8250000000000002</v>
      </c>
      <c r="G61" s="76">
        <v>4.9279999999999999</v>
      </c>
      <c r="H61" s="76">
        <v>4.9279999999999999</v>
      </c>
      <c r="I61" s="76">
        <v>4.9279999999999999</v>
      </c>
      <c r="J61" s="76">
        <v>6.226</v>
      </c>
      <c r="K61" s="76">
        <v>11.03</v>
      </c>
      <c r="L61" s="76">
        <v>11.778</v>
      </c>
      <c r="M61" s="76">
        <v>11.778</v>
      </c>
      <c r="N61" s="76">
        <v>13.412000000000001</v>
      </c>
      <c r="O61" s="76">
        <v>19.681999999999999</v>
      </c>
      <c r="P61" s="76">
        <v>22.646999999999998</v>
      </c>
      <c r="Q61" s="76">
        <v>22.646999999999998</v>
      </c>
      <c r="R61" s="76">
        <v>23.800999999999998</v>
      </c>
      <c r="S61" s="76">
        <v>26.384</v>
      </c>
      <c r="T61" s="76">
        <v>33.146000000000001</v>
      </c>
      <c r="U61" s="76">
        <v>34.567999999999998</v>
      </c>
      <c r="V61" s="76">
        <v>36.246000000000002</v>
      </c>
    </row>
    <row r="62" spans="1:22">
      <c r="A62" s="326" t="s">
        <v>79</v>
      </c>
      <c r="B62" s="159">
        <v>1106</v>
      </c>
      <c r="C62" s="76">
        <v>0.27400000000000002</v>
      </c>
      <c r="D62" s="76">
        <v>0.64800000000000002</v>
      </c>
      <c r="E62" s="76">
        <v>0.84099999999999997</v>
      </c>
      <c r="F62" s="76">
        <v>1.2390000000000001</v>
      </c>
      <c r="G62" s="76">
        <v>1.6479999999999999</v>
      </c>
      <c r="H62" s="76">
        <v>1.6479999999999999</v>
      </c>
      <c r="I62" s="76">
        <v>1.8680000000000001</v>
      </c>
      <c r="J62" s="76">
        <v>2.0939999999999999</v>
      </c>
      <c r="K62" s="76">
        <v>3.3860000000000001</v>
      </c>
      <c r="L62" s="76">
        <v>3.8679999999999999</v>
      </c>
      <c r="M62" s="76">
        <v>4.1180000000000003</v>
      </c>
      <c r="N62" s="76">
        <v>4.63</v>
      </c>
      <c r="O62" s="76">
        <v>5.8319999999999999</v>
      </c>
      <c r="P62" s="76">
        <v>6.6840000000000002</v>
      </c>
      <c r="Q62" s="76">
        <v>7.2679999999999998</v>
      </c>
      <c r="R62" s="76">
        <v>7.7370000000000001</v>
      </c>
      <c r="S62" s="76">
        <v>8.8780000000000001</v>
      </c>
      <c r="T62" s="76">
        <v>10.573</v>
      </c>
      <c r="U62" s="76">
        <v>10.922000000000001</v>
      </c>
      <c r="V62" s="76">
        <v>11.119</v>
      </c>
    </row>
    <row r="63" spans="1:22">
      <c r="A63" s="326">
        <v>27395</v>
      </c>
      <c r="B63" s="327"/>
    </row>
    <row r="64" spans="1:22">
      <c r="A64" s="328" t="s">
        <v>0</v>
      </c>
      <c r="B64" s="329" t="s">
        <v>78</v>
      </c>
      <c r="C64" s="329">
        <v>1</v>
      </c>
      <c r="D64" s="329">
        <v>2</v>
      </c>
      <c r="E64" s="329">
        <v>3</v>
      </c>
      <c r="F64" s="329">
        <v>4</v>
      </c>
      <c r="G64" s="329">
        <v>5</v>
      </c>
      <c r="H64" s="329">
        <v>6</v>
      </c>
      <c r="I64" s="329">
        <v>7</v>
      </c>
      <c r="J64" s="329">
        <v>8</v>
      </c>
      <c r="K64" s="329">
        <v>9</v>
      </c>
      <c r="L64" s="329">
        <v>10</v>
      </c>
      <c r="M64" s="329">
        <v>11</v>
      </c>
      <c r="N64" s="329">
        <v>12</v>
      </c>
      <c r="O64" s="329">
        <v>13</v>
      </c>
      <c r="P64" s="329">
        <v>14</v>
      </c>
      <c r="Q64" s="329">
        <v>15</v>
      </c>
      <c r="R64" s="329">
        <v>16</v>
      </c>
      <c r="S64" s="329">
        <v>17</v>
      </c>
      <c r="T64" s="329">
        <v>18</v>
      </c>
      <c r="U64" s="329">
        <v>19</v>
      </c>
      <c r="V64" s="329">
        <v>20</v>
      </c>
    </row>
    <row r="65" spans="1:22">
      <c r="A65" s="326" t="s">
        <v>1</v>
      </c>
      <c r="B65" s="159">
        <v>52</v>
      </c>
      <c r="C65" s="76">
        <v>0</v>
      </c>
      <c r="D65" s="76">
        <v>0</v>
      </c>
      <c r="E65" s="76">
        <v>0</v>
      </c>
      <c r="F65" s="76">
        <v>0</v>
      </c>
      <c r="G65" s="76">
        <v>0</v>
      </c>
      <c r="H65" s="76">
        <v>0</v>
      </c>
      <c r="I65" s="76">
        <v>0</v>
      </c>
      <c r="J65" s="76">
        <v>0</v>
      </c>
      <c r="K65" s="76">
        <v>0</v>
      </c>
      <c r="L65" s="76">
        <v>0</v>
      </c>
      <c r="M65" s="76">
        <v>0</v>
      </c>
      <c r="N65" s="76">
        <v>0</v>
      </c>
      <c r="O65" s="76">
        <v>2.0409999999999999</v>
      </c>
      <c r="P65" s="76">
        <v>2.0409999999999999</v>
      </c>
      <c r="Q65" s="76">
        <v>2.0409999999999999</v>
      </c>
      <c r="R65" s="76">
        <v>2.0409999999999999</v>
      </c>
      <c r="S65" s="76">
        <v>2.0409999999999999</v>
      </c>
      <c r="T65" s="76">
        <v>2.0409999999999999</v>
      </c>
      <c r="U65" s="76">
        <v>2.0409999999999999</v>
      </c>
      <c r="V65" s="76">
        <v>2.0409999999999999</v>
      </c>
    </row>
    <row r="66" spans="1:22">
      <c r="A66" s="326" t="s">
        <v>2</v>
      </c>
      <c r="B66" s="159">
        <v>106</v>
      </c>
      <c r="C66" s="76">
        <v>0</v>
      </c>
      <c r="D66" s="76">
        <v>0</v>
      </c>
      <c r="E66" s="76">
        <v>0</v>
      </c>
      <c r="F66" s="76">
        <v>0</v>
      </c>
      <c r="G66" s="76">
        <v>0</v>
      </c>
      <c r="H66" s="76">
        <v>0</v>
      </c>
      <c r="I66" s="76">
        <v>0</v>
      </c>
      <c r="J66" s="76">
        <v>1.02</v>
      </c>
      <c r="K66" s="76">
        <v>1.02</v>
      </c>
      <c r="L66" s="76">
        <v>1.02</v>
      </c>
      <c r="M66" s="76">
        <v>1.02</v>
      </c>
      <c r="N66" s="76">
        <v>1.02</v>
      </c>
      <c r="O66" s="76">
        <v>1.02</v>
      </c>
      <c r="P66" s="76">
        <v>2.1709999999999998</v>
      </c>
      <c r="Q66" s="76">
        <v>2.1709999999999998</v>
      </c>
      <c r="R66" s="76">
        <v>3.379</v>
      </c>
      <c r="S66" s="76">
        <v>3.379</v>
      </c>
      <c r="T66" s="76">
        <v>3.379</v>
      </c>
      <c r="U66" s="76">
        <v>3.379</v>
      </c>
      <c r="V66" s="76">
        <v>3.379</v>
      </c>
    </row>
    <row r="67" spans="1:22">
      <c r="A67" s="326" t="s">
        <v>3</v>
      </c>
      <c r="B67" s="159">
        <v>324</v>
      </c>
      <c r="C67" s="76">
        <v>0</v>
      </c>
      <c r="D67" s="76">
        <v>0</v>
      </c>
      <c r="E67" s="76">
        <v>0</v>
      </c>
      <c r="F67" s="76">
        <v>0</v>
      </c>
      <c r="G67" s="76">
        <v>0</v>
      </c>
      <c r="H67" s="76">
        <v>0</v>
      </c>
      <c r="I67" s="76">
        <v>0</v>
      </c>
      <c r="J67" s="76">
        <v>0</v>
      </c>
      <c r="K67" s="76">
        <v>0.34799999999999998</v>
      </c>
      <c r="L67" s="76">
        <v>0.34799999999999998</v>
      </c>
      <c r="M67" s="76">
        <v>0.34799999999999998</v>
      </c>
      <c r="N67" s="76">
        <v>0.71799999999999997</v>
      </c>
      <c r="O67" s="76">
        <v>0.71799999999999997</v>
      </c>
      <c r="P67" s="76">
        <v>1.4990000000000001</v>
      </c>
      <c r="Q67" s="76">
        <v>1.4990000000000001</v>
      </c>
      <c r="R67" s="76">
        <v>1.9259999999999999</v>
      </c>
      <c r="S67" s="76">
        <v>2.8149999999999999</v>
      </c>
      <c r="T67" s="76">
        <v>3.2759999999999998</v>
      </c>
      <c r="U67" s="76">
        <v>3.819</v>
      </c>
      <c r="V67" s="76">
        <v>3.819</v>
      </c>
    </row>
    <row r="68" spans="1:22">
      <c r="A68" s="326" t="s">
        <v>4</v>
      </c>
      <c r="B68" s="159">
        <v>412</v>
      </c>
      <c r="C68" s="76">
        <v>0</v>
      </c>
      <c r="D68" s="76">
        <v>0</v>
      </c>
      <c r="E68" s="76">
        <v>0.26800000000000002</v>
      </c>
      <c r="F68" s="76">
        <v>0.82499999999999996</v>
      </c>
      <c r="G68" s="76">
        <v>0.82499999999999996</v>
      </c>
      <c r="H68" s="76">
        <v>1.4359999999999999</v>
      </c>
      <c r="I68" s="76">
        <v>1.4359999999999999</v>
      </c>
      <c r="J68" s="76">
        <v>2.444</v>
      </c>
      <c r="K68" s="76">
        <v>3.1309999999999998</v>
      </c>
      <c r="L68" s="76">
        <v>3.85</v>
      </c>
      <c r="M68" s="76">
        <v>4.5960000000000001</v>
      </c>
      <c r="N68" s="76">
        <v>4.9870000000000001</v>
      </c>
      <c r="O68" s="76">
        <v>5.851</v>
      </c>
      <c r="P68" s="76">
        <v>6.2949999999999999</v>
      </c>
      <c r="Q68" s="76">
        <v>7.282</v>
      </c>
      <c r="R68" s="76">
        <v>9.3350000000000009</v>
      </c>
      <c r="S68" s="76">
        <v>11.481</v>
      </c>
      <c r="T68" s="76">
        <v>11.481</v>
      </c>
      <c r="U68" s="76">
        <v>11.481</v>
      </c>
      <c r="V68" s="76">
        <v>11.481</v>
      </c>
    </row>
    <row r="69" spans="1:22">
      <c r="A69" s="326" t="s">
        <v>5</v>
      </c>
      <c r="B69" s="159">
        <v>200</v>
      </c>
      <c r="C69" s="76">
        <v>1.0289999999999999</v>
      </c>
      <c r="D69" s="76">
        <v>2.117</v>
      </c>
      <c r="E69" s="76">
        <v>3.266</v>
      </c>
      <c r="F69" s="76">
        <v>3.8860000000000001</v>
      </c>
      <c r="G69" s="76">
        <v>3.8860000000000001</v>
      </c>
      <c r="H69" s="76">
        <v>3.8860000000000001</v>
      </c>
      <c r="I69" s="76">
        <v>4.593</v>
      </c>
      <c r="J69" s="76">
        <v>8.4429999999999996</v>
      </c>
      <c r="K69" s="76">
        <v>9.2750000000000004</v>
      </c>
      <c r="L69" s="76">
        <v>9.2750000000000004</v>
      </c>
      <c r="M69" s="76">
        <v>11.089</v>
      </c>
      <c r="N69" s="76">
        <v>17.015000000000001</v>
      </c>
      <c r="O69" s="76">
        <v>20.309999999999999</v>
      </c>
      <c r="P69" s="76">
        <v>21.465</v>
      </c>
      <c r="Q69" s="76">
        <v>22.731999999999999</v>
      </c>
      <c r="R69" s="76">
        <v>24.087</v>
      </c>
      <c r="S69" s="76">
        <v>29.744</v>
      </c>
      <c r="T69" s="76">
        <v>31.207999999999998</v>
      </c>
      <c r="U69" s="76">
        <v>32.927999999999997</v>
      </c>
      <c r="V69" s="76">
        <v>32.927999999999997</v>
      </c>
    </row>
    <row r="70" spans="1:22">
      <c r="A70" s="326" t="s">
        <v>6</v>
      </c>
      <c r="B70" s="159">
        <v>33</v>
      </c>
      <c r="C70" s="76">
        <v>6.1580000000000004</v>
      </c>
      <c r="D70" s="76">
        <v>6.1580000000000004</v>
      </c>
      <c r="E70" s="76">
        <v>6.1580000000000004</v>
      </c>
      <c r="F70" s="76">
        <v>9.51</v>
      </c>
      <c r="G70" s="76">
        <v>9.51</v>
      </c>
      <c r="H70" s="76">
        <v>9.51</v>
      </c>
      <c r="I70" s="76">
        <v>13.444000000000001</v>
      </c>
      <c r="J70" s="76">
        <v>22.1</v>
      </c>
      <c r="K70" s="76">
        <v>22.1</v>
      </c>
      <c r="L70" s="76">
        <v>22.1</v>
      </c>
      <c r="M70" s="76">
        <v>22.1</v>
      </c>
      <c r="N70" s="76">
        <v>28.591000000000001</v>
      </c>
      <c r="O70" s="76">
        <v>28.591000000000001</v>
      </c>
      <c r="P70" s="76">
        <v>28.591000000000001</v>
      </c>
      <c r="Q70" s="76">
        <v>28.591000000000001</v>
      </c>
      <c r="R70" s="76">
        <v>38.792999999999999</v>
      </c>
      <c r="S70" s="76">
        <v>48.994</v>
      </c>
      <c r="T70" s="76">
        <v>48.994</v>
      </c>
      <c r="U70" s="76">
        <v>48.994</v>
      </c>
      <c r="V70" s="76">
        <v>48.994</v>
      </c>
    </row>
    <row r="71" spans="1:22">
      <c r="A71" s="326" t="s">
        <v>71</v>
      </c>
      <c r="B71" s="159">
        <v>3</v>
      </c>
      <c r="C71" s="76">
        <v>0</v>
      </c>
      <c r="D71" s="76">
        <v>0</v>
      </c>
      <c r="E71" s="76">
        <v>33.332999999999998</v>
      </c>
      <c r="F71" s="76">
        <v>33.332999999999998</v>
      </c>
      <c r="G71" s="76">
        <v>33.332999999999998</v>
      </c>
      <c r="H71" s="76">
        <v>33.332999999999998</v>
      </c>
      <c r="I71" s="76">
        <v>33.332999999999998</v>
      </c>
      <c r="J71" s="76">
        <v>33.332999999999998</v>
      </c>
      <c r="K71" s="76">
        <v>33.332999999999998</v>
      </c>
      <c r="L71" s="76">
        <v>33.332999999999998</v>
      </c>
      <c r="M71" s="76">
        <v>33.332999999999998</v>
      </c>
      <c r="N71" s="76">
        <v>33.332999999999998</v>
      </c>
      <c r="O71" s="76">
        <v>33.332999999999998</v>
      </c>
      <c r="P71" s="76">
        <v>33.332999999999998</v>
      </c>
      <c r="Q71" s="76">
        <v>33.332999999999998</v>
      </c>
      <c r="R71" s="76">
        <v>33.332999999999998</v>
      </c>
      <c r="S71" s="76"/>
      <c r="T71" s="76"/>
      <c r="U71" s="76"/>
      <c r="V71" s="76"/>
    </row>
    <row r="72" spans="1:22">
      <c r="A72" s="326" t="s">
        <v>8</v>
      </c>
      <c r="B72" s="159">
        <v>894</v>
      </c>
      <c r="C72" s="76">
        <v>0</v>
      </c>
      <c r="D72" s="76">
        <v>0</v>
      </c>
      <c r="E72" s="76">
        <v>0.11899999999999999</v>
      </c>
      <c r="F72" s="76">
        <v>0.36099999999999999</v>
      </c>
      <c r="G72" s="76">
        <v>0.36099999999999999</v>
      </c>
      <c r="H72" s="76">
        <v>0.61699999999999999</v>
      </c>
      <c r="I72" s="76">
        <v>0.61699999999999999</v>
      </c>
      <c r="J72" s="76">
        <v>1.161</v>
      </c>
      <c r="K72" s="76">
        <v>1.5740000000000001</v>
      </c>
      <c r="L72" s="76">
        <v>1.8580000000000001</v>
      </c>
      <c r="M72" s="76">
        <v>2.1469999999999998</v>
      </c>
      <c r="N72" s="76">
        <v>2.4470000000000001</v>
      </c>
      <c r="O72" s="76">
        <v>2.92</v>
      </c>
      <c r="P72" s="76">
        <v>3.569</v>
      </c>
      <c r="Q72" s="76">
        <v>3.9140000000000001</v>
      </c>
      <c r="R72" s="76">
        <v>4.9790000000000001</v>
      </c>
      <c r="S72" s="76">
        <v>6.0810000000000004</v>
      </c>
      <c r="T72" s="76">
        <v>6.2690000000000001</v>
      </c>
      <c r="U72" s="76">
        <v>6.4870000000000001</v>
      </c>
      <c r="V72" s="76">
        <v>6.4870000000000001</v>
      </c>
    </row>
    <row r="73" spans="1:22">
      <c r="A73" s="326" t="s">
        <v>9</v>
      </c>
      <c r="B73" s="159">
        <v>236</v>
      </c>
      <c r="C73" s="76">
        <v>1.742</v>
      </c>
      <c r="D73" s="76">
        <v>2.6589999999999998</v>
      </c>
      <c r="E73" s="76">
        <v>4.117</v>
      </c>
      <c r="F73" s="76">
        <v>5.1349999999999998</v>
      </c>
      <c r="G73" s="76">
        <v>5.1349999999999998</v>
      </c>
      <c r="H73" s="76">
        <v>5.1349999999999998</v>
      </c>
      <c r="I73" s="76">
        <v>6.3289999999999997</v>
      </c>
      <c r="J73" s="76">
        <v>10.801</v>
      </c>
      <c r="K73" s="76">
        <v>11.497</v>
      </c>
      <c r="L73" s="76">
        <v>11.497</v>
      </c>
      <c r="M73" s="76">
        <v>13.037000000000001</v>
      </c>
      <c r="N73" s="76">
        <v>18.908000000000001</v>
      </c>
      <c r="O73" s="76">
        <v>21.686</v>
      </c>
      <c r="P73" s="76">
        <v>22.652999999999999</v>
      </c>
      <c r="Q73" s="76">
        <v>23.712</v>
      </c>
      <c r="R73" s="76">
        <v>26.06</v>
      </c>
      <c r="S73" s="76">
        <v>32.174999999999997</v>
      </c>
      <c r="T73" s="76">
        <v>33.454999999999998</v>
      </c>
      <c r="U73" s="76">
        <v>34.933</v>
      </c>
      <c r="V73" s="76">
        <v>34.933</v>
      </c>
    </row>
    <row r="74" spans="1:22">
      <c r="A74" s="326" t="s">
        <v>79</v>
      </c>
      <c r="B74" s="159">
        <v>1130</v>
      </c>
      <c r="C74" s="76">
        <v>0.35899999999999999</v>
      </c>
      <c r="D74" s="76">
        <v>0.54300000000000004</v>
      </c>
      <c r="E74" s="76">
        <v>0.92500000000000004</v>
      </c>
      <c r="F74" s="76">
        <v>1.3160000000000001</v>
      </c>
      <c r="G74" s="76">
        <v>1.3160000000000001</v>
      </c>
      <c r="H74" s="76">
        <v>1.5249999999999999</v>
      </c>
      <c r="I74" s="76">
        <v>1.74</v>
      </c>
      <c r="J74" s="76">
        <v>2.9689999999999999</v>
      </c>
      <c r="K74" s="76">
        <v>3.427</v>
      </c>
      <c r="L74" s="76">
        <v>3.665</v>
      </c>
      <c r="M74" s="76">
        <v>4.1509999999999998</v>
      </c>
      <c r="N74" s="76">
        <v>5.2889999999999997</v>
      </c>
      <c r="O74" s="76">
        <v>6.0949999999999998</v>
      </c>
      <c r="P74" s="76">
        <v>6.7859999999999996</v>
      </c>
      <c r="Q74" s="76">
        <v>7.2279999999999998</v>
      </c>
      <c r="R74" s="76">
        <v>8.4550000000000001</v>
      </c>
      <c r="S74" s="76">
        <v>10.199999999999999</v>
      </c>
      <c r="T74" s="76">
        <v>10.526999999999999</v>
      </c>
      <c r="U74" s="76">
        <v>10.898</v>
      </c>
      <c r="V74" s="76">
        <v>10.898</v>
      </c>
    </row>
    <row r="75" spans="1:22">
      <c r="A75" s="326">
        <v>27760</v>
      </c>
      <c r="B75" s="327"/>
    </row>
    <row r="76" spans="1:22">
      <c r="A76" s="328" t="s">
        <v>0</v>
      </c>
      <c r="B76" s="329" t="s">
        <v>78</v>
      </c>
      <c r="C76" s="329">
        <v>1</v>
      </c>
      <c r="D76" s="329">
        <v>2</v>
      </c>
      <c r="E76" s="329">
        <v>3</v>
      </c>
      <c r="F76" s="329">
        <v>4</v>
      </c>
      <c r="G76" s="329">
        <v>5</v>
      </c>
      <c r="H76" s="329">
        <v>6</v>
      </c>
      <c r="I76" s="329">
        <v>7</v>
      </c>
      <c r="J76" s="329">
        <v>8</v>
      </c>
      <c r="K76" s="329">
        <v>9</v>
      </c>
      <c r="L76" s="329">
        <v>10</v>
      </c>
      <c r="M76" s="329">
        <v>11</v>
      </c>
      <c r="N76" s="329">
        <v>12</v>
      </c>
      <c r="O76" s="329">
        <v>13</v>
      </c>
      <c r="P76" s="329">
        <v>14</v>
      </c>
      <c r="Q76" s="329">
        <v>15</v>
      </c>
      <c r="R76" s="329">
        <v>16</v>
      </c>
      <c r="S76" s="329">
        <v>17</v>
      </c>
      <c r="T76" s="329">
        <v>18</v>
      </c>
      <c r="U76" s="329">
        <v>19</v>
      </c>
      <c r="V76" s="329">
        <v>20</v>
      </c>
    </row>
    <row r="77" spans="1:22">
      <c r="A77" s="326" t="s">
        <v>1</v>
      </c>
      <c r="B77" s="159">
        <v>66</v>
      </c>
      <c r="C77" s="76">
        <v>0</v>
      </c>
      <c r="D77" s="76">
        <v>0</v>
      </c>
      <c r="E77" s="76">
        <v>0</v>
      </c>
      <c r="F77" s="76">
        <v>0</v>
      </c>
      <c r="G77" s="76">
        <v>0</v>
      </c>
      <c r="H77" s="76">
        <v>0</v>
      </c>
      <c r="I77" s="76">
        <v>0</v>
      </c>
      <c r="J77" s="76">
        <v>0</v>
      </c>
      <c r="K77" s="76">
        <v>0</v>
      </c>
      <c r="L77" s="76">
        <v>0</v>
      </c>
      <c r="M77" s="76">
        <v>0</v>
      </c>
      <c r="N77" s="76">
        <v>1.6950000000000001</v>
      </c>
      <c r="O77" s="76">
        <v>1.6950000000000001</v>
      </c>
      <c r="P77" s="76">
        <v>1.6950000000000001</v>
      </c>
      <c r="Q77" s="76">
        <v>1.6950000000000001</v>
      </c>
      <c r="R77" s="76">
        <v>1.6950000000000001</v>
      </c>
      <c r="S77" s="76">
        <v>1.6950000000000001</v>
      </c>
      <c r="T77" s="76">
        <v>1.6950000000000001</v>
      </c>
      <c r="U77" s="76">
        <v>1.6950000000000001</v>
      </c>
      <c r="V77" s="76">
        <v>1.6950000000000001</v>
      </c>
    </row>
    <row r="78" spans="1:22">
      <c r="A78" s="326" t="s">
        <v>2</v>
      </c>
      <c r="B78" s="159">
        <v>115</v>
      </c>
      <c r="C78" s="76">
        <v>0</v>
      </c>
      <c r="D78" s="76">
        <v>0</v>
      </c>
      <c r="E78" s="76">
        <v>0</v>
      </c>
      <c r="F78" s="76">
        <v>0</v>
      </c>
      <c r="G78" s="76">
        <v>0</v>
      </c>
      <c r="H78" s="76">
        <v>0</v>
      </c>
      <c r="I78" s="76">
        <v>0.93500000000000005</v>
      </c>
      <c r="J78" s="76">
        <v>0.93500000000000005</v>
      </c>
      <c r="K78" s="76">
        <v>0.93500000000000005</v>
      </c>
      <c r="L78" s="76">
        <v>0.93500000000000005</v>
      </c>
      <c r="M78" s="76">
        <v>0.93500000000000005</v>
      </c>
      <c r="N78" s="76">
        <v>0.93500000000000005</v>
      </c>
      <c r="O78" s="76">
        <v>2</v>
      </c>
      <c r="P78" s="76">
        <v>2</v>
      </c>
      <c r="Q78" s="76">
        <v>3.113</v>
      </c>
      <c r="R78" s="76">
        <v>3.113</v>
      </c>
      <c r="S78" s="76">
        <v>3.113</v>
      </c>
      <c r="T78" s="76">
        <v>3.113</v>
      </c>
      <c r="U78" s="76">
        <v>3.113</v>
      </c>
      <c r="V78" s="76">
        <v>3.113</v>
      </c>
    </row>
    <row r="79" spans="1:22">
      <c r="A79" s="326" t="s">
        <v>3</v>
      </c>
      <c r="B79" s="159">
        <v>370</v>
      </c>
      <c r="C79" s="76">
        <v>0</v>
      </c>
      <c r="D79" s="76">
        <v>0</v>
      </c>
      <c r="E79" s="76">
        <v>0</v>
      </c>
      <c r="F79" s="76">
        <v>0</v>
      </c>
      <c r="G79" s="76">
        <v>0</v>
      </c>
      <c r="H79" s="76">
        <v>0</v>
      </c>
      <c r="I79" s="76">
        <v>0</v>
      </c>
      <c r="J79" s="76">
        <v>0.60799999999999998</v>
      </c>
      <c r="K79" s="76">
        <v>0.60799999999999998</v>
      </c>
      <c r="L79" s="76">
        <v>0.60799999999999998</v>
      </c>
      <c r="M79" s="76">
        <v>1.268</v>
      </c>
      <c r="N79" s="76">
        <v>1.268</v>
      </c>
      <c r="O79" s="76">
        <v>2.33</v>
      </c>
      <c r="P79" s="76">
        <v>2.33</v>
      </c>
      <c r="Q79" s="76">
        <v>3.0990000000000002</v>
      </c>
      <c r="R79" s="76">
        <v>4.3120000000000003</v>
      </c>
      <c r="S79" s="76">
        <v>4.3120000000000003</v>
      </c>
      <c r="T79" s="76">
        <v>4.8109999999999999</v>
      </c>
      <c r="U79" s="76">
        <v>4.8109999999999999</v>
      </c>
      <c r="V79" s="76">
        <v>5.3550000000000004</v>
      </c>
    </row>
    <row r="80" spans="1:22">
      <c r="A80" s="326" t="s">
        <v>4</v>
      </c>
      <c r="B80" s="159">
        <v>371</v>
      </c>
      <c r="C80" s="76">
        <v>0</v>
      </c>
      <c r="D80" s="76">
        <v>0.28799999999999998</v>
      </c>
      <c r="E80" s="76">
        <v>0.58399999999999996</v>
      </c>
      <c r="F80" s="76">
        <v>0.58399999999999996</v>
      </c>
      <c r="G80" s="76">
        <v>0.90600000000000003</v>
      </c>
      <c r="H80" s="76">
        <v>0.90600000000000003</v>
      </c>
      <c r="I80" s="76">
        <v>2.3439999999999999</v>
      </c>
      <c r="J80" s="76">
        <v>3.0779999999999998</v>
      </c>
      <c r="K80" s="76">
        <v>3.8490000000000002</v>
      </c>
      <c r="L80" s="76">
        <v>4.6500000000000004</v>
      </c>
      <c r="M80" s="76">
        <v>5.0679999999999996</v>
      </c>
      <c r="N80" s="76">
        <v>5.984</v>
      </c>
      <c r="O80" s="76">
        <v>5.984</v>
      </c>
      <c r="P80" s="76">
        <v>7.0380000000000003</v>
      </c>
      <c r="Q80" s="76">
        <v>9.2390000000000008</v>
      </c>
      <c r="R80" s="76">
        <v>10.962999999999999</v>
      </c>
      <c r="S80" s="76">
        <v>11.548</v>
      </c>
      <c r="T80" s="76">
        <v>11.548</v>
      </c>
      <c r="U80" s="76">
        <v>11.548</v>
      </c>
      <c r="V80" s="76">
        <v>11.548</v>
      </c>
    </row>
    <row r="81" spans="1:22">
      <c r="A81" s="326" t="s">
        <v>5</v>
      </c>
      <c r="B81" s="159">
        <v>206</v>
      </c>
      <c r="C81" s="76">
        <v>0.995</v>
      </c>
      <c r="D81" s="76">
        <v>2.044</v>
      </c>
      <c r="E81" s="76">
        <v>3.1629999999999998</v>
      </c>
      <c r="F81" s="76">
        <v>3.1629999999999998</v>
      </c>
      <c r="G81" s="76">
        <v>3.7879999999999998</v>
      </c>
      <c r="H81" s="76">
        <v>4.4249999999999998</v>
      </c>
      <c r="I81" s="76">
        <v>7.202</v>
      </c>
      <c r="J81" s="76">
        <v>7.9569999999999999</v>
      </c>
      <c r="K81" s="76">
        <v>7.9569999999999999</v>
      </c>
      <c r="L81" s="76">
        <v>9.5860000000000003</v>
      </c>
      <c r="M81" s="76">
        <v>14.85</v>
      </c>
      <c r="N81" s="76">
        <v>17.800999999999998</v>
      </c>
      <c r="O81" s="76">
        <v>18.827999999999999</v>
      </c>
      <c r="P81" s="76">
        <v>19.956</v>
      </c>
      <c r="Q81" s="76">
        <v>21.169</v>
      </c>
      <c r="R81" s="76">
        <v>27.414999999999999</v>
      </c>
      <c r="S81" s="76">
        <v>28.710999999999999</v>
      </c>
      <c r="T81" s="76">
        <v>30.196000000000002</v>
      </c>
      <c r="U81" s="76">
        <v>30.196000000000002</v>
      </c>
      <c r="V81" s="76">
        <v>30.196000000000002</v>
      </c>
    </row>
    <row r="82" spans="1:22">
      <c r="A82" s="326" t="s">
        <v>6</v>
      </c>
      <c r="B82" s="159">
        <v>27</v>
      </c>
      <c r="C82" s="76">
        <v>0</v>
      </c>
      <c r="D82" s="76">
        <v>0</v>
      </c>
      <c r="E82" s="76">
        <v>4</v>
      </c>
      <c r="F82" s="76">
        <v>4</v>
      </c>
      <c r="G82" s="76">
        <v>4</v>
      </c>
      <c r="H82" s="76">
        <v>8.8000000000000007</v>
      </c>
      <c r="I82" s="76">
        <v>19.529</v>
      </c>
      <c r="J82" s="76">
        <v>19.529</v>
      </c>
      <c r="K82" s="76">
        <v>19.529</v>
      </c>
      <c r="L82" s="76">
        <v>19.529</v>
      </c>
      <c r="M82" s="76">
        <v>28.471</v>
      </c>
      <c r="N82" s="76">
        <v>28.471</v>
      </c>
      <c r="O82" s="76">
        <v>28.471</v>
      </c>
      <c r="P82" s="76">
        <v>28.471</v>
      </c>
      <c r="Q82" s="76">
        <v>42.776000000000003</v>
      </c>
      <c r="R82" s="76">
        <v>57.082000000000001</v>
      </c>
      <c r="S82" s="76">
        <v>57.082000000000001</v>
      </c>
      <c r="T82" s="76">
        <v>57.082000000000001</v>
      </c>
      <c r="U82" s="76">
        <v>57.082000000000001</v>
      </c>
      <c r="V82" s="76">
        <v>57.082000000000001</v>
      </c>
    </row>
    <row r="83" spans="1:22">
      <c r="A83" s="326" t="s">
        <v>71</v>
      </c>
      <c r="B83" s="159">
        <v>3</v>
      </c>
      <c r="C83" s="76">
        <v>0</v>
      </c>
      <c r="D83" s="76">
        <v>33.332999999999998</v>
      </c>
      <c r="E83" s="76">
        <v>33.332999999999998</v>
      </c>
      <c r="F83" s="76">
        <v>33.332999999999998</v>
      </c>
      <c r="G83" s="76">
        <v>33.332999999999998</v>
      </c>
      <c r="H83" s="76">
        <v>33.332999999999998</v>
      </c>
      <c r="I83" s="76">
        <v>33.332999999999998</v>
      </c>
      <c r="J83" s="76">
        <v>33.332999999999998</v>
      </c>
      <c r="K83" s="76">
        <v>33.332999999999998</v>
      </c>
      <c r="L83" s="76">
        <v>33.332999999999998</v>
      </c>
      <c r="M83" s="76">
        <v>33.332999999999998</v>
      </c>
      <c r="N83" s="76">
        <v>33.332999999999998</v>
      </c>
      <c r="O83" s="76">
        <v>33.332999999999998</v>
      </c>
      <c r="P83" s="76">
        <v>33.332999999999998</v>
      </c>
      <c r="Q83" s="76">
        <v>33.332999999999998</v>
      </c>
      <c r="R83" s="76" t="s">
        <v>172</v>
      </c>
      <c r="S83" s="76" t="s">
        <v>172</v>
      </c>
      <c r="T83" s="76" t="s">
        <v>172</v>
      </c>
      <c r="U83" s="76" t="s">
        <v>172</v>
      </c>
      <c r="V83" s="76" t="s">
        <v>172</v>
      </c>
    </row>
    <row r="84" spans="1:22">
      <c r="A84" s="326" t="s">
        <v>8</v>
      </c>
      <c r="B84" s="159">
        <v>922</v>
      </c>
      <c r="C84" s="76">
        <v>0</v>
      </c>
      <c r="D84" s="76">
        <v>0.112</v>
      </c>
      <c r="E84" s="76">
        <v>0.22600000000000001</v>
      </c>
      <c r="F84" s="76">
        <v>0.22600000000000001</v>
      </c>
      <c r="G84" s="76">
        <v>0.34599999999999997</v>
      </c>
      <c r="H84" s="76">
        <v>0.34599999999999997</v>
      </c>
      <c r="I84" s="76">
        <v>0.98599999999999999</v>
      </c>
      <c r="J84" s="76">
        <v>1.504</v>
      </c>
      <c r="K84" s="76">
        <v>1.7729999999999999</v>
      </c>
      <c r="L84" s="76">
        <v>2.048</v>
      </c>
      <c r="M84" s="76">
        <v>2.4750000000000001</v>
      </c>
      <c r="N84" s="76">
        <v>2.9249999999999998</v>
      </c>
      <c r="O84" s="76">
        <v>3.5430000000000001</v>
      </c>
      <c r="P84" s="76">
        <v>3.871</v>
      </c>
      <c r="Q84" s="76">
        <v>5.0510000000000002</v>
      </c>
      <c r="R84" s="76">
        <v>6.101</v>
      </c>
      <c r="S84" s="76">
        <v>6.28</v>
      </c>
      <c r="T84" s="76">
        <v>6.4880000000000004</v>
      </c>
      <c r="U84" s="76">
        <v>6.4880000000000004</v>
      </c>
      <c r="V84" s="76">
        <v>6.7249999999999996</v>
      </c>
    </row>
    <row r="85" spans="1:22">
      <c r="A85" s="326" t="s">
        <v>9</v>
      </c>
      <c r="B85" s="159">
        <v>236</v>
      </c>
      <c r="C85" s="76">
        <v>0.86799999999999999</v>
      </c>
      <c r="D85" s="76">
        <v>2.2480000000000002</v>
      </c>
      <c r="E85" s="76">
        <v>3.6909999999999998</v>
      </c>
      <c r="F85" s="76">
        <v>3.6909999999999998</v>
      </c>
      <c r="G85" s="76">
        <v>4.2350000000000003</v>
      </c>
      <c r="H85" s="76">
        <v>5.3550000000000004</v>
      </c>
      <c r="I85" s="76">
        <v>8.9589999999999996</v>
      </c>
      <c r="J85" s="76">
        <v>9.6180000000000003</v>
      </c>
      <c r="K85" s="76">
        <v>9.6180000000000003</v>
      </c>
      <c r="L85" s="76">
        <v>11.064</v>
      </c>
      <c r="M85" s="76">
        <v>16.54</v>
      </c>
      <c r="N85" s="76">
        <v>19.16</v>
      </c>
      <c r="O85" s="76">
        <v>20.068000000000001</v>
      </c>
      <c r="P85" s="76">
        <v>21.067</v>
      </c>
      <c r="Q85" s="76">
        <v>23.245000000000001</v>
      </c>
      <c r="R85" s="76">
        <v>30.088999999999999</v>
      </c>
      <c r="S85" s="76">
        <v>31.294</v>
      </c>
      <c r="T85" s="76">
        <v>32.668999999999997</v>
      </c>
      <c r="U85" s="76">
        <v>32.668999999999997</v>
      </c>
      <c r="V85" s="76">
        <v>32.668999999999997</v>
      </c>
    </row>
    <row r="86" spans="1:22">
      <c r="A86" s="326" t="s">
        <v>79</v>
      </c>
      <c r="B86" s="159">
        <v>1158</v>
      </c>
      <c r="C86" s="76">
        <v>0.17499999999999999</v>
      </c>
      <c r="D86" s="76">
        <v>0.53600000000000003</v>
      </c>
      <c r="E86" s="76">
        <v>0.90700000000000003</v>
      </c>
      <c r="F86" s="76">
        <v>0.90700000000000003</v>
      </c>
      <c r="G86" s="76">
        <v>1.1040000000000001</v>
      </c>
      <c r="H86" s="76">
        <v>1.306</v>
      </c>
      <c r="I86" s="76">
        <v>2.464</v>
      </c>
      <c r="J86" s="76">
        <v>3.004</v>
      </c>
      <c r="K86" s="76">
        <v>3.2280000000000002</v>
      </c>
      <c r="L86" s="76">
        <v>3.6890000000000001</v>
      </c>
      <c r="M86" s="76">
        <v>4.8920000000000003</v>
      </c>
      <c r="N86" s="76">
        <v>5.6589999999999998</v>
      </c>
      <c r="O86" s="76">
        <v>6.3170000000000002</v>
      </c>
      <c r="P86" s="76">
        <v>6.7359999999999998</v>
      </c>
      <c r="Q86" s="76">
        <v>8.0440000000000005</v>
      </c>
      <c r="R86" s="76">
        <v>9.8529999999999998</v>
      </c>
      <c r="S86" s="76">
        <v>10.163</v>
      </c>
      <c r="T86" s="76">
        <v>10.519</v>
      </c>
      <c r="U86" s="76">
        <v>10.519</v>
      </c>
      <c r="V86" s="76">
        <v>10.722</v>
      </c>
    </row>
    <row r="87" spans="1:22">
      <c r="A87" s="326">
        <v>28126</v>
      </c>
      <c r="B87" s="327"/>
    </row>
    <row r="88" spans="1:22">
      <c r="A88" s="328" t="s">
        <v>0</v>
      </c>
      <c r="B88" s="329" t="s">
        <v>78</v>
      </c>
      <c r="C88" s="329">
        <v>1</v>
      </c>
      <c r="D88" s="329">
        <v>2</v>
      </c>
      <c r="E88" s="329">
        <v>3</v>
      </c>
      <c r="F88" s="329">
        <v>4</v>
      </c>
      <c r="G88" s="329">
        <v>5</v>
      </c>
      <c r="H88" s="329">
        <v>6</v>
      </c>
      <c r="I88" s="329">
        <v>7</v>
      </c>
      <c r="J88" s="329">
        <v>8</v>
      </c>
      <c r="K88" s="329">
        <v>9</v>
      </c>
      <c r="L88" s="329">
        <v>10</v>
      </c>
      <c r="M88" s="329">
        <v>11</v>
      </c>
      <c r="N88" s="329">
        <v>12</v>
      </c>
      <c r="O88" s="329">
        <v>13</v>
      </c>
      <c r="P88" s="329">
        <v>14</v>
      </c>
      <c r="Q88" s="329">
        <v>15</v>
      </c>
      <c r="R88" s="329">
        <v>16</v>
      </c>
      <c r="S88" s="329">
        <v>17</v>
      </c>
      <c r="T88" s="329">
        <v>18</v>
      </c>
      <c r="U88" s="329">
        <v>19</v>
      </c>
      <c r="V88" s="329">
        <v>20</v>
      </c>
    </row>
    <row r="89" spans="1:22">
      <c r="A89" s="326" t="s">
        <v>1</v>
      </c>
      <c r="B89" s="159">
        <v>67</v>
      </c>
      <c r="C89" s="76">
        <v>0</v>
      </c>
      <c r="D89" s="76">
        <v>0</v>
      </c>
      <c r="E89" s="76">
        <v>0</v>
      </c>
      <c r="F89" s="76">
        <v>0</v>
      </c>
      <c r="G89" s="76">
        <v>0</v>
      </c>
      <c r="H89" s="76">
        <v>0</v>
      </c>
      <c r="I89" s="76">
        <v>0</v>
      </c>
      <c r="J89" s="76">
        <v>0</v>
      </c>
      <c r="K89" s="76">
        <v>0</v>
      </c>
      <c r="L89" s="76">
        <v>0</v>
      </c>
      <c r="M89" s="76">
        <v>1.6950000000000001</v>
      </c>
      <c r="N89" s="76">
        <v>1.6950000000000001</v>
      </c>
      <c r="O89" s="76">
        <v>1.6950000000000001</v>
      </c>
      <c r="P89" s="76">
        <v>1.6950000000000001</v>
      </c>
      <c r="Q89" s="76">
        <v>1.6950000000000001</v>
      </c>
      <c r="R89" s="76">
        <v>1.6950000000000001</v>
      </c>
      <c r="S89" s="76">
        <v>1.6950000000000001</v>
      </c>
      <c r="T89" s="76">
        <v>1.6950000000000001</v>
      </c>
      <c r="U89" s="76">
        <v>1.6950000000000001</v>
      </c>
      <c r="V89" s="76">
        <v>1.6950000000000001</v>
      </c>
    </row>
    <row r="90" spans="1:22">
      <c r="A90" s="326" t="s">
        <v>2</v>
      </c>
      <c r="B90" s="159">
        <v>122</v>
      </c>
      <c r="C90" s="76">
        <v>0</v>
      </c>
      <c r="D90" s="76">
        <v>0</v>
      </c>
      <c r="E90" s="76">
        <v>0</v>
      </c>
      <c r="F90" s="76">
        <v>0</v>
      </c>
      <c r="G90" s="76">
        <v>0</v>
      </c>
      <c r="H90" s="76">
        <v>0.877</v>
      </c>
      <c r="I90" s="76">
        <v>0.877</v>
      </c>
      <c r="J90" s="76">
        <v>0.877</v>
      </c>
      <c r="K90" s="76">
        <v>0.877</v>
      </c>
      <c r="L90" s="76">
        <v>0.877</v>
      </c>
      <c r="M90" s="76">
        <v>0.877</v>
      </c>
      <c r="N90" s="76">
        <v>1.889</v>
      </c>
      <c r="O90" s="76">
        <v>1.889</v>
      </c>
      <c r="P90" s="76">
        <v>2.9319999999999999</v>
      </c>
      <c r="Q90" s="76">
        <v>2.9319999999999999</v>
      </c>
      <c r="R90" s="76">
        <v>2.9319999999999999</v>
      </c>
      <c r="S90" s="76">
        <v>2.9319999999999999</v>
      </c>
      <c r="T90" s="76">
        <v>2.9319999999999999</v>
      </c>
      <c r="U90" s="76">
        <v>2.9319999999999999</v>
      </c>
      <c r="V90" s="76">
        <v>2.9319999999999999</v>
      </c>
    </row>
    <row r="91" spans="1:22">
      <c r="A91" s="326" t="s">
        <v>3</v>
      </c>
      <c r="B91" s="159">
        <v>391</v>
      </c>
      <c r="C91" s="76">
        <v>0</v>
      </c>
      <c r="D91" s="76">
        <v>0</v>
      </c>
      <c r="E91" s="76">
        <v>0</v>
      </c>
      <c r="F91" s="76">
        <v>0</v>
      </c>
      <c r="G91" s="76">
        <v>0</v>
      </c>
      <c r="H91" s="76">
        <v>0</v>
      </c>
      <c r="I91" s="76">
        <v>0.57099999999999995</v>
      </c>
      <c r="J91" s="76">
        <v>0.57099999999999995</v>
      </c>
      <c r="K91" s="76">
        <v>0.57099999999999995</v>
      </c>
      <c r="L91" s="76">
        <v>1.1919999999999999</v>
      </c>
      <c r="M91" s="76">
        <v>1.1919999999999999</v>
      </c>
      <c r="N91" s="76">
        <v>2.8690000000000002</v>
      </c>
      <c r="O91" s="76">
        <v>2.8690000000000002</v>
      </c>
      <c r="P91" s="76">
        <v>3.9510000000000001</v>
      </c>
      <c r="Q91" s="76">
        <v>5.0999999999999996</v>
      </c>
      <c r="R91" s="76">
        <v>5.0999999999999996</v>
      </c>
      <c r="S91" s="76">
        <v>5.5720000000000001</v>
      </c>
      <c r="T91" s="76">
        <v>5.5720000000000001</v>
      </c>
      <c r="U91" s="76">
        <v>6.0880000000000001</v>
      </c>
      <c r="V91" s="76">
        <v>6.0880000000000001</v>
      </c>
    </row>
    <row r="92" spans="1:22">
      <c r="A92" s="326" t="s">
        <v>4</v>
      </c>
      <c r="B92" s="159">
        <v>355</v>
      </c>
      <c r="C92" s="76">
        <v>0.29399999999999998</v>
      </c>
      <c r="D92" s="76">
        <v>0.59499999999999997</v>
      </c>
      <c r="E92" s="76">
        <v>0.59499999999999997</v>
      </c>
      <c r="F92" s="76">
        <v>0.59499999999999997</v>
      </c>
      <c r="G92" s="76">
        <v>0.59499999999999997</v>
      </c>
      <c r="H92" s="76">
        <v>2.0539999999999998</v>
      </c>
      <c r="I92" s="76">
        <v>2.798</v>
      </c>
      <c r="J92" s="76">
        <v>3.581</v>
      </c>
      <c r="K92" s="76">
        <v>4.3979999999999997</v>
      </c>
      <c r="L92" s="76">
        <v>4.8250000000000002</v>
      </c>
      <c r="M92" s="76">
        <v>5.7539999999999996</v>
      </c>
      <c r="N92" s="76">
        <v>5.7539999999999996</v>
      </c>
      <c r="O92" s="76">
        <v>6.8259999999999996</v>
      </c>
      <c r="P92" s="76">
        <v>8.5060000000000002</v>
      </c>
      <c r="Q92" s="76">
        <v>10.244</v>
      </c>
      <c r="R92" s="76">
        <v>10.83</v>
      </c>
      <c r="S92" s="76">
        <v>10.83</v>
      </c>
      <c r="T92" s="76">
        <v>10.83</v>
      </c>
      <c r="U92" s="76">
        <v>10.83</v>
      </c>
      <c r="V92" s="76">
        <v>10.83</v>
      </c>
    </row>
    <row r="93" spans="1:22">
      <c r="A93" s="326" t="s">
        <v>5</v>
      </c>
      <c r="B93" s="159">
        <v>195</v>
      </c>
      <c r="C93" s="76">
        <v>0.54300000000000004</v>
      </c>
      <c r="D93" s="76">
        <v>1.6739999999999999</v>
      </c>
      <c r="E93" s="76">
        <v>1.6739999999999999</v>
      </c>
      <c r="F93" s="76">
        <v>2.2730000000000001</v>
      </c>
      <c r="G93" s="76">
        <v>2.92</v>
      </c>
      <c r="H93" s="76">
        <v>5.7210000000000001</v>
      </c>
      <c r="I93" s="76">
        <v>6.4809999999999999</v>
      </c>
      <c r="J93" s="76">
        <v>6.4809999999999999</v>
      </c>
      <c r="K93" s="76">
        <v>8.1069999999999993</v>
      </c>
      <c r="L93" s="76">
        <v>13.365</v>
      </c>
      <c r="M93" s="76">
        <v>16.3</v>
      </c>
      <c r="N93" s="76">
        <v>17.32</v>
      </c>
      <c r="O93" s="76">
        <v>18.437999999999999</v>
      </c>
      <c r="P93" s="76">
        <v>19.637</v>
      </c>
      <c r="Q93" s="76">
        <v>25.808</v>
      </c>
      <c r="R93" s="76">
        <v>27.11</v>
      </c>
      <c r="S93" s="76">
        <v>28.597999999999999</v>
      </c>
      <c r="T93" s="76">
        <v>28.597999999999999</v>
      </c>
      <c r="U93" s="76">
        <v>28.597999999999999</v>
      </c>
      <c r="V93" s="76">
        <v>28.597999999999999</v>
      </c>
    </row>
    <row r="94" spans="1:22">
      <c r="A94" s="326" t="s">
        <v>6</v>
      </c>
      <c r="B94" s="159">
        <v>31</v>
      </c>
      <c r="C94" s="76">
        <v>3.226</v>
      </c>
      <c r="D94" s="76">
        <v>6.5629999999999997</v>
      </c>
      <c r="E94" s="76">
        <v>6.5629999999999997</v>
      </c>
      <c r="F94" s="76">
        <v>10.625</v>
      </c>
      <c r="G94" s="76">
        <v>14.881</v>
      </c>
      <c r="H94" s="76">
        <v>24.895</v>
      </c>
      <c r="I94" s="76">
        <v>24.895</v>
      </c>
      <c r="J94" s="76">
        <v>24.895</v>
      </c>
      <c r="K94" s="76">
        <v>24.895</v>
      </c>
      <c r="L94" s="76">
        <v>33.24</v>
      </c>
      <c r="M94" s="76">
        <v>33.24</v>
      </c>
      <c r="N94" s="76">
        <v>33.24</v>
      </c>
      <c r="O94" s="76">
        <v>33.24</v>
      </c>
      <c r="P94" s="76">
        <v>46.591999999999999</v>
      </c>
      <c r="Q94" s="76">
        <v>59.944000000000003</v>
      </c>
      <c r="R94" s="76">
        <v>59.944000000000003</v>
      </c>
      <c r="S94" s="76">
        <v>59.944000000000003</v>
      </c>
      <c r="T94" s="76">
        <v>59.944000000000003</v>
      </c>
      <c r="U94" s="76">
        <v>59.944000000000003</v>
      </c>
      <c r="V94" s="76">
        <v>59.944000000000003</v>
      </c>
    </row>
    <row r="95" spans="1:22">
      <c r="A95" s="326" t="s">
        <v>71</v>
      </c>
      <c r="B95" s="159">
        <v>3</v>
      </c>
      <c r="C95" s="76">
        <v>33.332999999999998</v>
      </c>
      <c r="D95" s="76">
        <v>33.332999999999998</v>
      </c>
      <c r="E95" s="76">
        <v>33.332999999999998</v>
      </c>
      <c r="F95" s="76">
        <v>33.332999999999998</v>
      </c>
      <c r="G95" s="76">
        <v>33.332999999999998</v>
      </c>
      <c r="H95" s="76">
        <v>33.332999999999998</v>
      </c>
      <c r="I95" s="76">
        <v>33.332999999999998</v>
      </c>
      <c r="J95" s="76">
        <v>33.332999999999998</v>
      </c>
      <c r="K95" s="76">
        <v>33.332999999999998</v>
      </c>
      <c r="L95" s="76">
        <v>33.332999999999998</v>
      </c>
      <c r="M95" s="76">
        <v>33.332999999999998</v>
      </c>
      <c r="N95" s="76">
        <v>33.332999999999998</v>
      </c>
      <c r="O95" s="76">
        <v>33.332999999999998</v>
      </c>
      <c r="P95" s="76">
        <v>33.332999999999998</v>
      </c>
      <c r="Q95" s="76" t="s">
        <v>172</v>
      </c>
      <c r="R95" s="76" t="s">
        <v>172</v>
      </c>
      <c r="S95" s="76" t="s">
        <v>172</v>
      </c>
      <c r="T95" s="76" t="s">
        <v>172</v>
      </c>
      <c r="U95" s="76" t="s">
        <v>172</v>
      </c>
      <c r="V95" s="76" t="s">
        <v>172</v>
      </c>
    </row>
    <row r="96" spans="1:22">
      <c r="A96" s="326" t="s">
        <v>8</v>
      </c>
      <c r="B96" s="159">
        <v>935</v>
      </c>
      <c r="C96" s="76">
        <v>0.109</v>
      </c>
      <c r="D96" s="76">
        <v>0.22</v>
      </c>
      <c r="E96" s="76">
        <v>0.22</v>
      </c>
      <c r="F96" s="76">
        <v>0.22</v>
      </c>
      <c r="G96" s="76">
        <v>0.22</v>
      </c>
      <c r="H96" s="76">
        <v>0.84</v>
      </c>
      <c r="I96" s="76">
        <v>1.343</v>
      </c>
      <c r="J96" s="76">
        <v>1.6040000000000001</v>
      </c>
      <c r="K96" s="76">
        <v>1.8720000000000001</v>
      </c>
      <c r="L96" s="76">
        <v>2.2869999999999999</v>
      </c>
      <c r="M96" s="76">
        <v>2.7240000000000002</v>
      </c>
      <c r="N96" s="76">
        <v>3.629</v>
      </c>
      <c r="O96" s="76">
        <v>3.948</v>
      </c>
      <c r="P96" s="76">
        <v>5.0910000000000002</v>
      </c>
      <c r="Q96" s="76">
        <v>6.1070000000000002</v>
      </c>
      <c r="R96" s="76">
        <v>6.2809999999999997</v>
      </c>
      <c r="S96" s="76">
        <v>6.484</v>
      </c>
      <c r="T96" s="76">
        <v>6.484</v>
      </c>
      <c r="U96" s="76">
        <v>6.7140000000000004</v>
      </c>
      <c r="V96" s="76">
        <v>6.7140000000000004</v>
      </c>
    </row>
    <row r="97" spans="1:22">
      <c r="A97" s="326" t="s">
        <v>9</v>
      </c>
      <c r="B97" s="159">
        <v>229</v>
      </c>
      <c r="C97" s="76">
        <v>1.36</v>
      </c>
      <c r="D97" s="76">
        <v>2.7879999999999998</v>
      </c>
      <c r="E97" s="76">
        <v>2.7879999999999998</v>
      </c>
      <c r="F97" s="76">
        <v>3.843</v>
      </c>
      <c r="G97" s="76">
        <v>4.9550000000000001</v>
      </c>
      <c r="H97" s="76">
        <v>8.5510000000000002</v>
      </c>
      <c r="I97" s="76">
        <v>9.2089999999999996</v>
      </c>
      <c r="J97" s="76">
        <v>9.2089999999999996</v>
      </c>
      <c r="K97" s="76">
        <v>10.638</v>
      </c>
      <c r="L97" s="76">
        <v>16.052</v>
      </c>
      <c r="M97" s="76">
        <v>18.632999999999999</v>
      </c>
      <c r="N97" s="76">
        <v>19.527000000000001</v>
      </c>
      <c r="O97" s="76">
        <v>20.509</v>
      </c>
      <c r="P97" s="76">
        <v>22.643000000000001</v>
      </c>
      <c r="Q97" s="76">
        <v>29.341000000000001</v>
      </c>
      <c r="R97" s="76">
        <v>30.539000000000001</v>
      </c>
      <c r="S97" s="76">
        <v>31.901</v>
      </c>
      <c r="T97" s="76">
        <v>31.901</v>
      </c>
      <c r="U97" s="76">
        <v>31.901</v>
      </c>
      <c r="V97" s="76">
        <v>31.901</v>
      </c>
    </row>
    <row r="98" spans="1:22">
      <c r="A98" s="326" t="s">
        <v>79</v>
      </c>
      <c r="B98" s="159">
        <v>1164</v>
      </c>
      <c r="C98" s="76">
        <v>0.35199999999999998</v>
      </c>
      <c r="D98" s="76">
        <v>0.71299999999999997</v>
      </c>
      <c r="E98" s="76">
        <v>0.71299999999999997</v>
      </c>
      <c r="F98" s="76">
        <v>0.90600000000000003</v>
      </c>
      <c r="G98" s="76">
        <v>1.103</v>
      </c>
      <c r="H98" s="76">
        <v>2.2320000000000002</v>
      </c>
      <c r="I98" s="76">
        <v>2.7570000000000001</v>
      </c>
      <c r="J98" s="76">
        <v>2.9769999999999999</v>
      </c>
      <c r="K98" s="76">
        <v>3.4260000000000002</v>
      </c>
      <c r="L98" s="76">
        <v>4.5990000000000002</v>
      </c>
      <c r="M98" s="76">
        <v>5.3449999999999998</v>
      </c>
      <c r="N98" s="76">
        <v>6.2460000000000004</v>
      </c>
      <c r="O98" s="76">
        <v>6.6539999999999999</v>
      </c>
      <c r="P98" s="76">
        <v>7.923</v>
      </c>
      <c r="Q98" s="76">
        <v>9.6780000000000008</v>
      </c>
      <c r="R98" s="76">
        <v>9.98</v>
      </c>
      <c r="S98" s="76">
        <v>10.327</v>
      </c>
      <c r="T98" s="76">
        <v>10.327</v>
      </c>
      <c r="U98" s="76">
        <v>10.525</v>
      </c>
      <c r="V98" s="76">
        <v>10.525</v>
      </c>
    </row>
    <row r="99" spans="1:22">
      <c r="A99" s="326">
        <v>28491</v>
      </c>
      <c r="B99" s="327"/>
    </row>
    <row r="100" spans="1:22">
      <c r="A100" s="328" t="s">
        <v>0</v>
      </c>
      <c r="B100" s="329" t="s">
        <v>78</v>
      </c>
      <c r="C100" s="329">
        <v>1</v>
      </c>
      <c r="D100" s="329">
        <v>2</v>
      </c>
      <c r="E100" s="329">
        <v>3</v>
      </c>
      <c r="F100" s="329">
        <v>4</v>
      </c>
      <c r="G100" s="329">
        <v>5</v>
      </c>
      <c r="H100" s="329">
        <v>6</v>
      </c>
      <c r="I100" s="329">
        <v>7</v>
      </c>
      <c r="J100" s="329">
        <v>8</v>
      </c>
      <c r="K100" s="329">
        <v>9</v>
      </c>
      <c r="L100" s="329">
        <v>10</v>
      </c>
      <c r="M100" s="329">
        <v>11</v>
      </c>
      <c r="N100" s="329">
        <v>12</v>
      </c>
      <c r="O100" s="329">
        <v>13</v>
      </c>
      <c r="P100" s="329">
        <v>14</v>
      </c>
      <c r="Q100" s="329">
        <v>15</v>
      </c>
      <c r="R100" s="329">
        <v>16</v>
      </c>
      <c r="S100" s="329">
        <v>17</v>
      </c>
      <c r="T100" s="329">
        <v>18</v>
      </c>
      <c r="U100" s="329">
        <v>19</v>
      </c>
      <c r="V100" s="329">
        <v>20</v>
      </c>
    </row>
    <row r="101" spans="1:22">
      <c r="A101" s="326" t="s">
        <v>1</v>
      </c>
      <c r="B101" s="159">
        <v>71</v>
      </c>
      <c r="C101" s="76">
        <v>0</v>
      </c>
      <c r="D101" s="76">
        <v>0</v>
      </c>
      <c r="E101" s="76">
        <v>0</v>
      </c>
      <c r="F101" s="76">
        <v>0</v>
      </c>
      <c r="G101" s="76">
        <v>0</v>
      </c>
      <c r="H101" s="76">
        <v>0</v>
      </c>
      <c r="I101" s="76">
        <v>0</v>
      </c>
      <c r="J101" s="76">
        <v>0</v>
      </c>
      <c r="K101" s="76">
        <v>0</v>
      </c>
      <c r="L101" s="76">
        <v>1.5629999999999999</v>
      </c>
      <c r="M101" s="76">
        <v>1.5629999999999999</v>
      </c>
      <c r="N101" s="76">
        <v>1.5629999999999999</v>
      </c>
      <c r="O101" s="76">
        <v>3.15</v>
      </c>
      <c r="P101" s="76">
        <v>3.15</v>
      </c>
      <c r="Q101" s="76">
        <v>3.15</v>
      </c>
      <c r="R101" s="76">
        <v>3.15</v>
      </c>
      <c r="S101" s="76">
        <v>3.15</v>
      </c>
      <c r="T101" s="76">
        <v>3.15</v>
      </c>
      <c r="U101" s="76">
        <v>3.15</v>
      </c>
      <c r="V101" s="76">
        <v>3.15</v>
      </c>
    </row>
    <row r="102" spans="1:22">
      <c r="A102" s="326" t="s">
        <v>2</v>
      </c>
      <c r="B102" s="159">
        <v>134</v>
      </c>
      <c r="C102" s="76">
        <v>0</v>
      </c>
      <c r="D102" s="76">
        <v>0</v>
      </c>
      <c r="E102" s="76">
        <v>0</v>
      </c>
      <c r="F102" s="76">
        <v>0</v>
      </c>
      <c r="G102" s="76">
        <v>0.8</v>
      </c>
      <c r="H102" s="76">
        <v>0.8</v>
      </c>
      <c r="I102" s="76">
        <v>0.8</v>
      </c>
      <c r="J102" s="76">
        <v>0.8</v>
      </c>
      <c r="K102" s="76">
        <v>0.8</v>
      </c>
      <c r="L102" s="76">
        <v>0.8</v>
      </c>
      <c r="M102" s="76">
        <v>1.702</v>
      </c>
      <c r="N102" s="76">
        <v>1.702</v>
      </c>
      <c r="O102" s="76">
        <v>1.702</v>
      </c>
      <c r="P102" s="76">
        <v>1.702</v>
      </c>
      <c r="Q102" s="76">
        <v>1.702</v>
      </c>
      <c r="R102" s="76">
        <v>1.702</v>
      </c>
      <c r="S102" s="76">
        <v>1.702</v>
      </c>
      <c r="T102" s="76">
        <v>1.702</v>
      </c>
      <c r="U102" s="76">
        <v>1.702</v>
      </c>
      <c r="V102" s="76">
        <v>1.702</v>
      </c>
    </row>
    <row r="103" spans="1:22">
      <c r="A103" s="326" t="s">
        <v>3</v>
      </c>
      <c r="B103" s="159">
        <v>383</v>
      </c>
      <c r="C103" s="76">
        <v>0</v>
      </c>
      <c r="D103" s="76">
        <v>0</v>
      </c>
      <c r="E103" s="76">
        <v>0</v>
      </c>
      <c r="F103" s="76">
        <v>0</v>
      </c>
      <c r="G103" s="76">
        <v>0</v>
      </c>
      <c r="H103" s="76">
        <v>0.57599999999999996</v>
      </c>
      <c r="I103" s="76">
        <v>0.57599999999999996</v>
      </c>
      <c r="J103" s="76">
        <v>0.57599999999999996</v>
      </c>
      <c r="K103" s="76">
        <v>1.2050000000000001</v>
      </c>
      <c r="L103" s="76">
        <v>1.2050000000000001</v>
      </c>
      <c r="M103" s="76">
        <v>2.5779999999999998</v>
      </c>
      <c r="N103" s="76">
        <v>2.5779999999999998</v>
      </c>
      <c r="O103" s="76">
        <v>4.0640000000000001</v>
      </c>
      <c r="P103" s="76">
        <v>4.843</v>
      </c>
      <c r="Q103" s="76">
        <v>4.843</v>
      </c>
      <c r="R103" s="76">
        <v>5.3259999999999996</v>
      </c>
      <c r="S103" s="76">
        <v>5.3259999999999996</v>
      </c>
      <c r="T103" s="76">
        <v>5.8520000000000003</v>
      </c>
      <c r="U103" s="76">
        <v>5.8520000000000003</v>
      </c>
      <c r="V103" s="76">
        <v>5.8520000000000003</v>
      </c>
    </row>
    <row r="104" spans="1:22">
      <c r="A104" s="326" t="s">
        <v>4</v>
      </c>
      <c r="B104" s="159">
        <v>341</v>
      </c>
      <c r="C104" s="76">
        <v>0</v>
      </c>
      <c r="D104" s="76">
        <v>0</v>
      </c>
      <c r="E104" s="76">
        <v>0</v>
      </c>
      <c r="F104" s="76">
        <v>0</v>
      </c>
      <c r="G104" s="76">
        <v>1.415</v>
      </c>
      <c r="H104" s="76">
        <v>1.7769999999999999</v>
      </c>
      <c r="I104" s="76">
        <v>2.54</v>
      </c>
      <c r="J104" s="76">
        <v>2.9380000000000002</v>
      </c>
      <c r="K104" s="76">
        <v>3.3530000000000002</v>
      </c>
      <c r="L104" s="76">
        <v>4.6840000000000002</v>
      </c>
      <c r="M104" s="76">
        <v>5.1440000000000001</v>
      </c>
      <c r="N104" s="76">
        <v>6.1710000000000003</v>
      </c>
      <c r="O104" s="76">
        <v>7.7789999999999999</v>
      </c>
      <c r="P104" s="76">
        <v>10.009</v>
      </c>
      <c r="Q104" s="76">
        <v>10.571</v>
      </c>
      <c r="R104" s="76">
        <v>10.571</v>
      </c>
      <c r="S104" s="76">
        <v>10.571</v>
      </c>
      <c r="T104" s="76">
        <v>10.571</v>
      </c>
      <c r="U104" s="76">
        <v>10.571</v>
      </c>
      <c r="V104" s="76">
        <v>10.571</v>
      </c>
    </row>
    <row r="105" spans="1:22">
      <c r="A105" s="326" t="s">
        <v>5</v>
      </c>
      <c r="B105" s="159">
        <v>187</v>
      </c>
      <c r="C105" s="76">
        <v>1.1240000000000001</v>
      </c>
      <c r="D105" s="76">
        <v>1.1240000000000001</v>
      </c>
      <c r="E105" s="76">
        <v>1.1240000000000001</v>
      </c>
      <c r="F105" s="76">
        <v>1.77</v>
      </c>
      <c r="G105" s="76">
        <v>4.5830000000000002</v>
      </c>
      <c r="H105" s="76">
        <v>6.0919999999999996</v>
      </c>
      <c r="I105" s="76">
        <v>6.0919999999999996</v>
      </c>
      <c r="J105" s="76">
        <v>9.33</v>
      </c>
      <c r="K105" s="76">
        <v>15.441000000000001</v>
      </c>
      <c r="L105" s="76">
        <v>17.431000000000001</v>
      </c>
      <c r="M105" s="76">
        <v>18.437000000000001</v>
      </c>
      <c r="N105" s="76">
        <v>19.555</v>
      </c>
      <c r="O105" s="76">
        <v>21.939</v>
      </c>
      <c r="P105" s="76">
        <v>28.123999999999999</v>
      </c>
      <c r="Q105" s="76">
        <v>29.43</v>
      </c>
      <c r="R105" s="76">
        <v>32.371000000000002</v>
      </c>
      <c r="S105" s="76">
        <v>32.371000000000002</v>
      </c>
      <c r="T105" s="76">
        <v>32.371000000000002</v>
      </c>
      <c r="U105" s="76">
        <v>32.371000000000002</v>
      </c>
      <c r="V105" s="76">
        <v>32.371000000000002</v>
      </c>
    </row>
    <row r="106" spans="1:22">
      <c r="A106" s="326" t="s">
        <v>6</v>
      </c>
      <c r="B106" s="159">
        <v>37</v>
      </c>
      <c r="C106" s="76">
        <v>5.4050000000000002</v>
      </c>
      <c r="D106" s="76">
        <v>5.4050000000000002</v>
      </c>
      <c r="E106" s="76">
        <v>11.712</v>
      </c>
      <c r="F106" s="76">
        <v>14.981999999999999</v>
      </c>
      <c r="G106" s="76">
        <v>22.375</v>
      </c>
      <c r="H106" s="76">
        <v>22.375</v>
      </c>
      <c r="I106" s="76">
        <v>26.940999999999999</v>
      </c>
      <c r="J106" s="76">
        <v>26.940999999999999</v>
      </c>
      <c r="K106" s="76">
        <v>32.561</v>
      </c>
      <c r="L106" s="76">
        <v>38.692</v>
      </c>
      <c r="M106" s="76">
        <v>38.692</v>
      </c>
      <c r="N106" s="76">
        <v>38.692</v>
      </c>
      <c r="O106" s="76">
        <v>47.45</v>
      </c>
      <c r="P106" s="76">
        <v>60.587000000000003</v>
      </c>
      <c r="Q106" s="76">
        <v>60.587000000000003</v>
      </c>
      <c r="R106" s="76">
        <v>60.587000000000003</v>
      </c>
      <c r="S106" s="76">
        <v>60.587000000000003</v>
      </c>
      <c r="T106" s="76">
        <v>60.587000000000003</v>
      </c>
      <c r="U106" s="76">
        <v>60.587000000000003</v>
      </c>
      <c r="V106" s="76">
        <v>60.587000000000003</v>
      </c>
    </row>
    <row r="107" spans="1:22">
      <c r="A107" s="326" t="s">
        <v>71</v>
      </c>
      <c r="B107" s="159">
        <v>3</v>
      </c>
      <c r="C107" s="76">
        <v>0</v>
      </c>
      <c r="D107" s="76">
        <v>0</v>
      </c>
      <c r="E107" s="76">
        <v>0</v>
      </c>
      <c r="F107" s="76">
        <v>0</v>
      </c>
      <c r="G107" s="76">
        <v>0</v>
      </c>
      <c r="H107" s="76">
        <v>0</v>
      </c>
      <c r="I107" s="76">
        <v>0</v>
      </c>
      <c r="J107" s="76">
        <v>0</v>
      </c>
      <c r="K107" s="76">
        <v>50</v>
      </c>
      <c r="L107" s="76">
        <v>50</v>
      </c>
      <c r="M107" s="76">
        <v>50</v>
      </c>
      <c r="N107" s="76">
        <v>50</v>
      </c>
      <c r="O107" s="76">
        <v>50</v>
      </c>
      <c r="P107" s="76" t="s">
        <v>172</v>
      </c>
      <c r="Q107" s="76" t="s">
        <v>172</v>
      </c>
      <c r="R107" s="76" t="s">
        <v>172</v>
      </c>
      <c r="S107" s="76" t="s">
        <v>172</v>
      </c>
      <c r="T107" s="76" t="s">
        <v>172</v>
      </c>
      <c r="U107" s="76" t="s">
        <v>172</v>
      </c>
      <c r="V107" s="76" t="s">
        <v>172</v>
      </c>
    </row>
    <row r="108" spans="1:22">
      <c r="A108" s="326" t="s">
        <v>8</v>
      </c>
      <c r="B108" s="159">
        <v>929</v>
      </c>
      <c r="C108" s="76">
        <v>0</v>
      </c>
      <c r="D108" s="76">
        <v>0</v>
      </c>
      <c r="E108" s="76">
        <v>0</v>
      </c>
      <c r="F108" s="76">
        <v>0</v>
      </c>
      <c r="G108" s="76">
        <v>0.60499999999999998</v>
      </c>
      <c r="H108" s="76">
        <v>0.97299999999999998</v>
      </c>
      <c r="I108" s="76">
        <v>1.2270000000000001</v>
      </c>
      <c r="J108" s="76">
        <v>1.3580000000000001</v>
      </c>
      <c r="K108" s="76">
        <v>1.7629999999999999</v>
      </c>
      <c r="L108" s="76">
        <v>2.327</v>
      </c>
      <c r="M108" s="76">
        <v>3.2090000000000001</v>
      </c>
      <c r="N108" s="76">
        <v>3.5190000000000001</v>
      </c>
      <c r="O108" s="76">
        <v>4.7919999999999998</v>
      </c>
      <c r="P108" s="76">
        <v>5.7809999999999997</v>
      </c>
      <c r="Q108" s="76">
        <v>5.95</v>
      </c>
      <c r="R108" s="76">
        <v>6.1479999999999997</v>
      </c>
      <c r="S108" s="76">
        <v>6.1479999999999997</v>
      </c>
      <c r="T108" s="76">
        <v>6.3710000000000004</v>
      </c>
      <c r="U108" s="76">
        <v>6.3710000000000004</v>
      </c>
      <c r="V108" s="76">
        <v>6.3710000000000004</v>
      </c>
    </row>
    <row r="109" spans="1:22">
      <c r="A109" s="326" t="s">
        <v>9</v>
      </c>
      <c r="B109" s="159">
        <v>227</v>
      </c>
      <c r="C109" s="76">
        <v>1.823</v>
      </c>
      <c r="D109" s="76">
        <v>1.823</v>
      </c>
      <c r="E109" s="76">
        <v>2.8410000000000002</v>
      </c>
      <c r="F109" s="76">
        <v>3.9089999999999998</v>
      </c>
      <c r="G109" s="76">
        <v>7.37</v>
      </c>
      <c r="H109" s="76">
        <v>8.6140000000000008</v>
      </c>
      <c r="I109" s="76">
        <v>9.2810000000000006</v>
      </c>
      <c r="J109" s="76">
        <v>12.009</v>
      </c>
      <c r="K109" s="76">
        <v>18.681000000000001</v>
      </c>
      <c r="L109" s="76">
        <v>21.155999999999999</v>
      </c>
      <c r="M109" s="76">
        <v>22.004000000000001</v>
      </c>
      <c r="N109" s="76">
        <v>22.943000000000001</v>
      </c>
      <c r="O109" s="76">
        <v>26.013000000000002</v>
      </c>
      <c r="P109" s="76">
        <v>32.610999999999997</v>
      </c>
      <c r="Q109" s="76">
        <v>33.792999999999999</v>
      </c>
      <c r="R109" s="76">
        <v>36.441000000000003</v>
      </c>
      <c r="S109" s="76">
        <v>36.441000000000003</v>
      </c>
      <c r="T109" s="76">
        <v>36.441000000000003</v>
      </c>
      <c r="U109" s="76">
        <v>36.441000000000003</v>
      </c>
      <c r="V109" s="76">
        <v>36.441000000000003</v>
      </c>
    </row>
    <row r="110" spans="1:22">
      <c r="A110" s="326" t="s">
        <v>79</v>
      </c>
      <c r="B110" s="159">
        <v>1156</v>
      </c>
      <c r="C110" s="76">
        <v>0.35199999999999998</v>
      </c>
      <c r="D110" s="76">
        <v>0.35199999999999998</v>
      </c>
      <c r="E110" s="76">
        <v>0.53900000000000003</v>
      </c>
      <c r="F110" s="76">
        <v>0.73099999999999998</v>
      </c>
      <c r="G110" s="76">
        <v>1.83</v>
      </c>
      <c r="H110" s="76">
        <v>2.3410000000000002</v>
      </c>
      <c r="I110" s="76">
        <v>2.6589999999999998</v>
      </c>
      <c r="J110" s="76">
        <v>3.206</v>
      </c>
      <c r="K110" s="76">
        <v>4.5750000000000002</v>
      </c>
      <c r="L110" s="76">
        <v>5.4180000000000001</v>
      </c>
      <c r="M110" s="76">
        <v>6.2919999999999998</v>
      </c>
      <c r="N110" s="76">
        <v>6.6870000000000003</v>
      </c>
      <c r="O110" s="76">
        <v>8.1950000000000003</v>
      </c>
      <c r="P110" s="76">
        <v>9.9039999999999999</v>
      </c>
      <c r="Q110" s="76">
        <v>10.199</v>
      </c>
      <c r="R110" s="76">
        <v>10.702</v>
      </c>
      <c r="S110" s="76">
        <v>10.702</v>
      </c>
      <c r="T110" s="76">
        <v>10.894</v>
      </c>
      <c r="U110" s="76">
        <v>10.894</v>
      </c>
      <c r="V110" s="76">
        <v>10.894</v>
      </c>
    </row>
    <row r="111" spans="1:22">
      <c r="A111" s="326">
        <v>28856</v>
      </c>
      <c r="B111" s="327"/>
    </row>
    <row r="112" spans="1:22">
      <c r="A112" s="328" t="s">
        <v>0</v>
      </c>
      <c r="B112" s="329" t="s">
        <v>78</v>
      </c>
      <c r="C112" s="329">
        <v>1</v>
      </c>
      <c r="D112" s="329">
        <v>2</v>
      </c>
      <c r="E112" s="329">
        <v>3</v>
      </c>
      <c r="F112" s="329">
        <v>4</v>
      </c>
      <c r="G112" s="329">
        <v>5</v>
      </c>
      <c r="H112" s="329">
        <v>6</v>
      </c>
      <c r="I112" s="329">
        <v>7</v>
      </c>
      <c r="J112" s="329">
        <v>8</v>
      </c>
      <c r="K112" s="329">
        <v>9</v>
      </c>
      <c r="L112" s="329">
        <v>10</v>
      </c>
      <c r="M112" s="329">
        <v>11</v>
      </c>
      <c r="N112" s="329">
        <v>12</v>
      </c>
      <c r="O112" s="329">
        <v>13</v>
      </c>
      <c r="P112" s="329">
        <v>14</v>
      </c>
      <c r="Q112" s="329">
        <v>15</v>
      </c>
      <c r="R112" s="329">
        <v>16</v>
      </c>
      <c r="S112" s="329">
        <v>17</v>
      </c>
      <c r="T112" s="329">
        <v>18</v>
      </c>
      <c r="U112" s="329">
        <v>19</v>
      </c>
      <c r="V112" s="329">
        <v>20</v>
      </c>
    </row>
    <row r="113" spans="1:22">
      <c r="A113" s="326" t="s">
        <v>1</v>
      </c>
      <c r="B113" s="159">
        <v>75</v>
      </c>
      <c r="C113" s="76">
        <v>0</v>
      </c>
      <c r="D113" s="76">
        <v>0</v>
      </c>
      <c r="E113" s="76">
        <v>0</v>
      </c>
      <c r="F113" s="76">
        <v>0</v>
      </c>
      <c r="G113" s="76">
        <v>0</v>
      </c>
      <c r="H113" s="76">
        <v>0</v>
      </c>
      <c r="I113" s="76">
        <v>0</v>
      </c>
      <c r="J113" s="76">
        <v>0</v>
      </c>
      <c r="K113" s="76">
        <v>1.4710000000000001</v>
      </c>
      <c r="L113" s="76">
        <v>1.4710000000000001</v>
      </c>
      <c r="M113" s="76">
        <v>1.4710000000000001</v>
      </c>
      <c r="N113" s="76">
        <v>2.9630000000000001</v>
      </c>
      <c r="O113" s="76">
        <v>2.9630000000000001</v>
      </c>
      <c r="P113" s="76">
        <v>2.9630000000000001</v>
      </c>
      <c r="Q113" s="76">
        <v>2.9630000000000001</v>
      </c>
      <c r="R113" s="76">
        <v>2.9630000000000001</v>
      </c>
      <c r="S113" s="76">
        <v>2.9630000000000001</v>
      </c>
      <c r="T113" s="76">
        <v>2.9630000000000001</v>
      </c>
      <c r="U113" s="76">
        <v>2.9630000000000001</v>
      </c>
      <c r="V113" s="76">
        <v>2.9630000000000001</v>
      </c>
    </row>
    <row r="114" spans="1:22">
      <c r="A114" s="326" t="s">
        <v>2</v>
      </c>
      <c r="B114" s="159">
        <v>135</v>
      </c>
      <c r="C114" s="76">
        <v>0</v>
      </c>
      <c r="D114" s="76">
        <v>0</v>
      </c>
      <c r="E114" s="76">
        <v>0</v>
      </c>
      <c r="F114" s="76">
        <v>0.78700000000000003</v>
      </c>
      <c r="G114" s="76">
        <v>0.78700000000000003</v>
      </c>
      <c r="H114" s="76">
        <v>0.78700000000000003</v>
      </c>
      <c r="I114" s="76">
        <v>0.78700000000000003</v>
      </c>
      <c r="J114" s="76">
        <v>0.78700000000000003</v>
      </c>
      <c r="K114" s="76">
        <v>0.78700000000000003</v>
      </c>
      <c r="L114" s="76">
        <v>1.673</v>
      </c>
      <c r="M114" s="76">
        <v>1.673</v>
      </c>
      <c r="N114" s="76">
        <v>1.673</v>
      </c>
      <c r="O114" s="76">
        <v>1.673</v>
      </c>
      <c r="P114" s="76">
        <v>1.673</v>
      </c>
      <c r="Q114" s="76">
        <v>1.673</v>
      </c>
      <c r="R114" s="76">
        <v>1.673</v>
      </c>
      <c r="S114" s="76">
        <v>1.673</v>
      </c>
      <c r="T114" s="76">
        <v>1.673</v>
      </c>
      <c r="U114" s="76">
        <v>1.673</v>
      </c>
      <c r="V114" s="76">
        <v>1.673</v>
      </c>
    </row>
    <row r="115" spans="1:22">
      <c r="A115" s="326" t="s">
        <v>3</v>
      </c>
      <c r="B115" s="159">
        <v>379</v>
      </c>
      <c r="C115" s="76">
        <v>0</v>
      </c>
      <c r="D115" s="76">
        <v>0</v>
      </c>
      <c r="E115" s="76">
        <v>0</v>
      </c>
      <c r="F115" s="76">
        <v>0</v>
      </c>
      <c r="G115" s="76">
        <v>0.56799999999999995</v>
      </c>
      <c r="H115" s="76">
        <v>0.56799999999999995</v>
      </c>
      <c r="I115" s="76">
        <v>0.56799999999999995</v>
      </c>
      <c r="J115" s="76">
        <v>1.1870000000000001</v>
      </c>
      <c r="K115" s="76">
        <v>1.1870000000000001</v>
      </c>
      <c r="L115" s="76">
        <v>2.548</v>
      </c>
      <c r="M115" s="76">
        <v>2.548</v>
      </c>
      <c r="N115" s="76">
        <v>3.6459999999999999</v>
      </c>
      <c r="O115" s="76">
        <v>4.4119999999999999</v>
      </c>
      <c r="P115" s="76">
        <v>4.4119999999999999</v>
      </c>
      <c r="Q115" s="76">
        <v>4.8899999999999997</v>
      </c>
      <c r="R115" s="76">
        <v>4.8899999999999997</v>
      </c>
      <c r="S115" s="76">
        <v>5.4039999999999999</v>
      </c>
      <c r="T115" s="76">
        <v>5.4039999999999999</v>
      </c>
      <c r="U115" s="76">
        <v>5.4039999999999999</v>
      </c>
      <c r="V115" s="76">
        <v>5.4039999999999999</v>
      </c>
    </row>
    <row r="116" spans="1:22">
      <c r="A116" s="326" t="s">
        <v>4</v>
      </c>
      <c r="B116" s="159">
        <v>336</v>
      </c>
      <c r="C116" s="76">
        <v>0</v>
      </c>
      <c r="D116" s="76">
        <v>0.313</v>
      </c>
      <c r="E116" s="76">
        <v>0.313</v>
      </c>
      <c r="F116" s="76">
        <v>1.696</v>
      </c>
      <c r="G116" s="76">
        <v>2.0510000000000002</v>
      </c>
      <c r="H116" s="76">
        <v>2.4260000000000002</v>
      </c>
      <c r="I116" s="76">
        <v>2.8130000000000002</v>
      </c>
      <c r="J116" s="76">
        <v>2.8130000000000002</v>
      </c>
      <c r="K116" s="76">
        <v>4.1100000000000003</v>
      </c>
      <c r="L116" s="76">
        <v>4.5599999999999996</v>
      </c>
      <c r="M116" s="76">
        <v>5.577</v>
      </c>
      <c r="N116" s="76">
        <v>8.2539999999999996</v>
      </c>
      <c r="O116" s="76">
        <v>10.472</v>
      </c>
      <c r="P116" s="76">
        <v>11.031000000000001</v>
      </c>
      <c r="Q116" s="76">
        <v>11.031000000000001</v>
      </c>
      <c r="R116" s="76">
        <v>11.031000000000001</v>
      </c>
      <c r="S116" s="76">
        <v>11.031000000000001</v>
      </c>
      <c r="T116" s="76">
        <v>11.031000000000001</v>
      </c>
      <c r="U116" s="76">
        <v>11.031000000000001</v>
      </c>
      <c r="V116" s="76">
        <v>11.031000000000001</v>
      </c>
    </row>
    <row r="117" spans="1:22">
      <c r="A117" s="326" t="s">
        <v>5</v>
      </c>
      <c r="B117" s="159">
        <v>207</v>
      </c>
      <c r="C117" s="76">
        <v>0.51300000000000001</v>
      </c>
      <c r="D117" s="76">
        <v>0.51300000000000001</v>
      </c>
      <c r="E117" s="76">
        <v>1.0720000000000001</v>
      </c>
      <c r="F117" s="76">
        <v>3.4780000000000002</v>
      </c>
      <c r="G117" s="76">
        <v>6.0609999999999999</v>
      </c>
      <c r="H117" s="76">
        <v>9.4749999999999996</v>
      </c>
      <c r="I117" s="76">
        <v>12.260999999999999</v>
      </c>
      <c r="J117" s="76">
        <v>18.888000000000002</v>
      </c>
      <c r="K117" s="76">
        <v>20.542999999999999</v>
      </c>
      <c r="L117" s="76">
        <v>21.388000000000002</v>
      </c>
      <c r="M117" s="76">
        <v>22.324000000000002</v>
      </c>
      <c r="N117" s="76">
        <v>25.376999999999999</v>
      </c>
      <c r="O117" s="76">
        <v>31.696999999999999</v>
      </c>
      <c r="P117" s="76">
        <v>32.798000000000002</v>
      </c>
      <c r="Q117" s="76">
        <v>35.241999999999997</v>
      </c>
      <c r="R117" s="76">
        <v>35.241999999999997</v>
      </c>
      <c r="S117" s="76">
        <v>35.241999999999997</v>
      </c>
      <c r="T117" s="76">
        <v>35.241999999999997</v>
      </c>
      <c r="U117" s="76">
        <v>35.241999999999997</v>
      </c>
      <c r="V117" s="76">
        <v>35.241999999999997</v>
      </c>
    </row>
    <row r="118" spans="1:22">
      <c r="A118" s="326" t="s">
        <v>6</v>
      </c>
      <c r="B118" s="159">
        <v>34</v>
      </c>
      <c r="C118" s="76">
        <v>0</v>
      </c>
      <c r="D118" s="76">
        <v>6.452</v>
      </c>
      <c r="E118" s="76">
        <v>9.7929999999999993</v>
      </c>
      <c r="F118" s="76">
        <v>17.009</v>
      </c>
      <c r="G118" s="76">
        <v>17.009</v>
      </c>
      <c r="H118" s="76">
        <v>21.62</v>
      </c>
      <c r="I118" s="76">
        <v>26.518999999999998</v>
      </c>
      <c r="J118" s="76">
        <v>38.954000000000001</v>
      </c>
      <c r="K118" s="76">
        <v>45.737000000000002</v>
      </c>
      <c r="L118" s="76">
        <v>45.737000000000002</v>
      </c>
      <c r="M118" s="76">
        <v>45.737000000000002</v>
      </c>
      <c r="N118" s="76">
        <v>56.588999999999999</v>
      </c>
      <c r="O118" s="76">
        <v>56.588999999999999</v>
      </c>
      <c r="P118" s="76" t="s">
        <v>172</v>
      </c>
      <c r="Q118" s="76" t="s">
        <v>172</v>
      </c>
      <c r="R118" s="76" t="s">
        <v>172</v>
      </c>
      <c r="S118" s="76" t="s">
        <v>172</v>
      </c>
      <c r="T118" s="76" t="s">
        <v>172</v>
      </c>
      <c r="U118" s="76" t="s">
        <v>172</v>
      </c>
      <c r="V118" s="76" t="s">
        <v>172</v>
      </c>
    </row>
    <row r="119" spans="1:22">
      <c r="A119" s="326" t="s">
        <v>71</v>
      </c>
      <c r="B119" s="159">
        <v>3</v>
      </c>
      <c r="C119" s="76">
        <v>0</v>
      </c>
      <c r="D119" s="76">
        <v>0</v>
      </c>
      <c r="E119" s="76">
        <v>0</v>
      </c>
      <c r="F119" s="76">
        <v>0</v>
      </c>
      <c r="G119" s="76">
        <v>0</v>
      </c>
      <c r="H119" s="76">
        <v>0</v>
      </c>
      <c r="I119" s="76">
        <v>0</v>
      </c>
      <c r="J119" s="76">
        <v>50</v>
      </c>
      <c r="K119" s="76">
        <v>50</v>
      </c>
      <c r="L119" s="76">
        <v>50</v>
      </c>
      <c r="M119" s="76">
        <v>50</v>
      </c>
      <c r="N119" s="76">
        <v>50</v>
      </c>
      <c r="O119" s="76"/>
      <c r="P119" s="76" t="s">
        <v>172</v>
      </c>
      <c r="Q119" s="76" t="s">
        <v>172</v>
      </c>
      <c r="R119" s="76" t="s">
        <v>172</v>
      </c>
      <c r="S119" s="76" t="s">
        <v>172</v>
      </c>
      <c r="T119" s="76" t="s">
        <v>172</v>
      </c>
      <c r="U119" s="76" t="s">
        <v>172</v>
      </c>
      <c r="V119" s="76" t="s">
        <v>172</v>
      </c>
    </row>
    <row r="120" spans="1:22">
      <c r="A120" s="326" t="s">
        <v>8</v>
      </c>
      <c r="B120" s="159">
        <v>925</v>
      </c>
      <c r="C120" s="76">
        <v>0</v>
      </c>
      <c r="D120" s="76">
        <v>0.112</v>
      </c>
      <c r="E120" s="76">
        <v>0.112</v>
      </c>
      <c r="F120" s="76">
        <v>0.70399999999999996</v>
      </c>
      <c r="G120" s="76">
        <v>1.0649999999999999</v>
      </c>
      <c r="H120" s="76">
        <v>1.19</v>
      </c>
      <c r="I120" s="76">
        <v>1.3169999999999999</v>
      </c>
      <c r="J120" s="76">
        <v>1.581</v>
      </c>
      <c r="K120" s="76">
        <v>2.133</v>
      </c>
      <c r="L120" s="76">
        <v>2.9969999999999999</v>
      </c>
      <c r="M120" s="76">
        <v>3.3010000000000002</v>
      </c>
      <c r="N120" s="76">
        <v>4.7119999999999997</v>
      </c>
      <c r="O120" s="76">
        <v>5.6840000000000002</v>
      </c>
      <c r="P120" s="76">
        <v>5.85</v>
      </c>
      <c r="Q120" s="76">
        <v>6.0439999999999996</v>
      </c>
      <c r="R120" s="76">
        <v>6.0439999999999996</v>
      </c>
      <c r="S120" s="76">
        <v>6.2629999999999999</v>
      </c>
      <c r="T120" s="76">
        <v>6.2629999999999999</v>
      </c>
      <c r="U120" s="76">
        <v>6.2629999999999999</v>
      </c>
      <c r="V120" s="76">
        <v>6.2629999999999999</v>
      </c>
    </row>
    <row r="121" spans="1:22">
      <c r="A121" s="326" t="s">
        <v>9</v>
      </c>
      <c r="B121" s="159">
        <v>244</v>
      </c>
      <c r="C121" s="76">
        <v>0.435</v>
      </c>
      <c r="D121" s="76">
        <v>1.345</v>
      </c>
      <c r="E121" s="76">
        <v>2.2930000000000001</v>
      </c>
      <c r="F121" s="76">
        <v>5.3369999999999997</v>
      </c>
      <c r="G121" s="76">
        <v>7.5330000000000004</v>
      </c>
      <c r="H121" s="76">
        <v>11.045</v>
      </c>
      <c r="I121" s="76">
        <v>14.051</v>
      </c>
      <c r="J121" s="76">
        <v>21.806000000000001</v>
      </c>
      <c r="K121" s="76">
        <v>23.952000000000002</v>
      </c>
      <c r="L121" s="76">
        <v>24.690999999999999</v>
      </c>
      <c r="M121" s="76">
        <v>25.509</v>
      </c>
      <c r="N121" s="76">
        <v>29.143999999999998</v>
      </c>
      <c r="O121" s="76">
        <v>34.988999999999997</v>
      </c>
      <c r="P121" s="76">
        <v>36.036999999999999</v>
      </c>
      <c r="Q121" s="76">
        <v>38.363</v>
      </c>
      <c r="R121" s="76">
        <v>38.363</v>
      </c>
      <c r="S121" s="76">
        <v>38.363</v>
      </c>
      <c r="T121" s="76">
        <v>38.363</v>
      </c>
      <c r="U121" s="76">
        <v>38.363</v>
      </c>
      <c r="V121" s="76">
        <v>38.363</v>
      </c>
    </row>
    <row r="122" spans="1:22">
      <c r="A122" s="326" t="s">
        <v>79</v>
      </c>
      <c r="B122" s="159">
        <v>1169</v>
      </c>
      <c r="C122" s="76">
        <v>8.7999999999999995E-2</v>
      </c>
      <c r="D122" s="76">
        <v>0.35799999999999998</v>
      </c>
      <c r="E122" s="76">
        <v>0.54300000000000004</v>
      </c>
      <c r="F122" s="76">
        <v>1.5980000000000001</v>
      </c>
      <c r="G122" s="76">
        <v>2.2879999999999998</v>
      </c>
      <c r="H122" s="76">
        <v>3.0019999999999998</v>
      </c>
      <c r="I122" s="76">
        <v>3.633</v>
      </c>
      <c r="J122" s="76">
        <v>5.165</v>
      </c>
      <c r="K122" s="76">
        <v>5.9740000000000002</v>
      </c>
      <c r="L122" s="76">
        <v>6.8159999999999998</v>
      </c>
      <c r="M122" s="76">
        <v>7.1980000000000004</v>
      </c>
      <c r="N122" s="76">
        <v>8.9250000000000007</v>
      </c>
      <c r="O122" s="76">
        <v>10.577999999999999</v>
      </c>
      <c r="P122" s="76">
        <v>10.863</v>
      </c>
      <c r="Q122" s="76">
        <v>11.349</v>
      </c>
      <c r="R122" s="76">
        <v>11.349</v>
      </c>
      <c r="S122" s="76">
        <v>11.534000000000001</v>
      </c>
      <c r="T122" s="76">
        <v>11.534000000000001</v>
      </c>
      <c r="U122" s="76">
        <v>11.534000000000001</v>
      </c>
      <c r="V122" s="76">
        <v>11.534000000000001</v>
      </c>
    </row>
    <row r="123" spans="1:22">
      <c r="A123" s="326">
        <v>29221</v>
      </c>
      <c r="B123" s="327"/>
    </row>
    <row r="124" spans="1:22">
      <c r="A124" s="328" t="s">
        <v>0</v>
      </c>
      <c r="B124" s="329" t="s">
        <v>78</v>
      </c>
      <c r="C124" s="329">
        <v>1</v>
      </c>
      <c r="D124" s="329">
        <v>2</v>
      </c>
      <c r="E124" s="329">
        <v>3</v>
      </c>
      <c r="F124" s="329">
        <v>4</v>
      </c>
      <c r="G124" s="329">
        <v>5</v>
      </c>
      <c r="H124" s="329">
        <v>6</v>
      </c>
      <c r="I124" s="329">
        <v>7</v>
      </c>
      <c r="J124" s="329">
        <v>8</v>
      </c>
      <c r="K124" s="329">
        <v>9</v>
      </c>
      <c r="L124" s="329">
        <v>10</v>
      </c>
      <c r="M124" s="329">
        <v>11</v>
      </c>
      <c r="N124" s="329">
        <v>12</v>
      </c>
      <c r="O124" s="329">
        <v>13</v>
      </c>
      <c r="P124" s="329">
        <v>14</v>
      </c>
      <c r="Q124" s="329">
        <v>15</v>
      </c>
      <c r="R124" s="329">
        <v>16</v>
      </c>
      <c r="S124" s="329">
        <v>17</v>
      </c>
      <c r="T124" s="329">
        <v>18</v>
      </c>
      <c r="U124" s="329">
        <v>19</v>
      </c>
      <c r="V124" s="329">
        <v>20</v>
      </c>
    </row>
    <row r="125" spans="1:22">
      <c r="A125" s="326" t="s">
        <v>1</v>
      </c>
      <c r="B125" s="159">
        <v>88</v>
      </c>
      <c r="C125" s="76">
        <v>0</v>
      </c>
      <c r="D125" s="76">
        <v>0</v>
      </c>
      <c r="E125" s="76">
        <v>0</v>
      </c>
      <c r="F125" s="76">
        <v>0</v>
      </c>
      <c r="G125" s="76">
        <v>0</v>
      </c>
      <c r="H125" s="76">
        <v>0</v>
      </c>
      <c r="I125" s="76">
        <v>0</v>
      </c>
      <c r="J125" s="76">
        <v>1.266</v>
      </c>
      <c r="K125" s="76">
        <v>1.266</v>
      </c>
      <c r="L125" s="76">
        <v>1.266</v>
      </c>
      <c r="M125" s="76">
        <v>2.5649999999999999</v>
      </c>
      <c r="N125" s="76">
        <v>2.5649999999999999</v>
      </c>
      <c r="O125" s="76">
        <v>2.5649999999999999</v>
      </c>
      <c r="P125" s="76">
        <v>2.5649999999999999</v>
      </c>
      <c r="Q125" s="76">
        <v>2.5649999999999999</v>
      </c>
      <c r="R125" s="76">
        <v>2.5649999999999999</v>
      </c>
      <c r="S125" s="76">
        <v>2.5649999999999999</v>
      </c>
      <c r="T125" s="76">
        <v>2.5649999999999999</v>
      </c>
      <c r="U125" s="76">
        <v>2.5649999999999999</v>
      </c>
      <c r="V125" s="76">
        <v>2.5649999999999999</v>
      </c>
    </row>
    <row r="126" spans="1:22">
      <c r="A126" s="326" t="s">
        <v>2</v>
      </c>
      <c r="B126" s="159">
        <v>132</v>
      </c>
      <c r="C126" s="76">
        <v>0</v>
      </c>
      <c r="D126" s="76">
        <v>0</v>
      </c>
      <c r="E126" s="76">
        <v>0</v>
      </c>
      <c r="F126" s="76">
        <v>0</v>
      </c>
      <c r="G126" s="76">
        <v>0</v>
      </c>
      <c r="H126" s="76">
        <v>0</v>
      </c>
      <c r="I126" s="76">
        <v>0</v>
      </c>
      <c r="J126" s="76">
        <v>0.877</v>
      </c>
      <c r="K126" s="76">
        <v>1.762</v>
      </c>
      <c r="L126" s="76">
        <v>1.762</v>
      </c>
      <c r="M126" s="76">
        <v>1.762</v>
      </c>
      <c r="N126" s="76">
        <v>1.762</v>
      </c>
      <c r="O126" s="76">
        <v>1.762</v>
      </c>
      <c r="P126" s="76">
        <v>1.762</v>
      </c>
      <c r="Q126" s="76">
        <v>1.762</v>
      </c>
      <c r="R126" s="76">
        <v>1.762</v>
      </c>
      <c r="S126" s="76">
        <v>1.762</v>
      </c>
      <c r="T126" s="76">
        <v>1.762</v>
      </c>
      <c r="U126" s="76">
        <v>1.762</v>
      </c>
      <c r="V126" s="76">
        <v>1.762</v>
      </c>
    </row>
    <row r="127" spans="1:22">
      <c r="A127" s="326" t="s">
        <v>3</v>
      </c>
      <c r="B127" s="159">
        <v>384</v>
      </c>
      <c r="C127" s="76">
        <v>0</v>
      </c>
      <c r="D127" s="76">
        <v>0</v>
      </c>
      <c r="E127" s="76">
        <v>0.27400000000000002</v>
      </c>
      <c r="F127" s="76">
        <v>0.82299999999999995</v>
      </c>
      <c r="G127" s="76">
        <v>0.82299999999999995</v>
      </c>
      <c r="H127" s="76">
        <v>0.82299999999999995</v>
      </c>
      <c r="I127" s="76">
        <v>1.72</v>
      </c>
      <c r="J127" s="76">
        <v>2.0329999999999999</v>
      </c>
      <c r="K127" s="76">
        <v>3.0219999999999998</v>
      </c>
      <c r="L127" s="76">
        <v>3.0219999999999998</v>
      </c>
      <c r="M127" s="76">
        <v>4.0910000000000002</v>
      </c>
      <c r="N127" s="76">
        <v>4.8360000000000003</v>
      </c>
      <c r="O127" s="76">
        <v>4.8360000000000003</v>
      </c>
      <c r="P127" s="76">
        <v>5.298</v>
      </c>
      <c r="Q127" s="76">
        <v>5.298</v>
      </c>
      <c r="R127" s="76">
        <v>5.7969999999999997</v>
      </c>
      <c r="S127" s="76">
        <v>5.7969999999999997</v>
      </c>
      <c r="T127" s="76">
        <v>5.7969999999999997</v>
      </c>
      <c r="U127" s="76">
        <v>5.7969999999999997</v>
      </c>
      <c r="V127" s="76">
        <v>6.9889999999999999</v>
      </c>
    </row>
    <row r="128" spans="1:22">
      <c r="A128" s="326" t="s">
        <v>4</v>
      </c>
      <c r="B128" s="159">
        <v>336</v>
      </c>
      <c r="C128" s="76">
        <v>0</v>
      </c>
      <c r="D128" s="76">
        <v>0</v>
      </c>
      <c r="E128" s="76">
        <v>1.01</v>
      </c>
      <c r="F128" s="76">
        <v>1.357</v>
      </c>
      <c r="G128" s="76">
        <v>1.722</v>
      </c>
      <c r="H128" s="76">
        <v>2.4649999999999999</v>
      </c>
      <c r="I128" s="76">
        <v>2.4649999999999999</v>
      </c>
      <c r="J128" s="76">
        <v>3.3090000000000002</v>
      </c>
      <c r="K128" s="76">
        <v>4.1879999999999997</v>
      </c>
      <c r="L128" s="76">
        <v>5.6210000000000004</v>
      </c>
      <c r="M128" s="76">
        <v>8.1539999999999999</v>
      </c>
      <c r="N128" s="76">
        <v>10.747999999999999</v>
      </c>
      <c r="O128" s="76">
        <v>11.818</v>
      </c>
      <c r="P128" s="76">
        <v>11.818</v>
      </c>
      <c r="Q128" s="76">
        <v>11.818</v>
      </c>
      <c r="R128" s="76">
        <v>11.818</v>
      </c>
      <c r="S128" s="76">
        <v>11.818</v>
      </c>
      <c r="T128" s="76">
        <v>11.818</v>
      </c>
      <c r="U128" s="76">
        <v>11.818</v>
      </c>
      <c r="V128" s="76">
        <v>11.818</v>
      </c>
    </row>
    <row r="129" spans="1:22">
      <c r="A129" s="326" t="s">
        <v>5</v>
      </c>
      <c r="B129" s="159">
        <v>207</v>
      </c>
      <c r="C129" s="76">
        <v>0</v>
      </c>
      <c r="D129" s="76">
        <v>0.52400000000000002</v>
      </c>
      <c r="E129" s="76">
        <v>3.871</v>
      </c>
      <c r="F129" s="76">
        <v>5.077</v>
      </c>
      <c r="G129" s="76">
        <v>8.8490000000000002</v>
      </c>
      <c r="H129" s="76">
        <v>12.082000000000001</v>
      </c>
      <c r="I129" s="76">
        <v>18.196999999999999</v>
      </c>
      <c r="J129" s="76">
        <v>20.463999999999999</v>
      </c>
      <c r="K129" s="76">
        <v>21.242999999999999</v>
      </c>
      <c r="L129" s="76">
        <v>23.960999999999999</v>
      </c>
      <c r="M129" s="76">
        <v>26.861000000000001</v>
      </c>
      <c r="N129" s="76">
        <v>33.098999999999997</v>
      </c>
      <c r="O129" s="76">
        <v>35.432000000000002</v>
      </c>
      <c r="P129" s="76">
        <v>37.915999999999997</v>
      </c>
      <c r="Q129" s="76">
        <v>37.915999999999997</v>
      </c>
      <c r="R129" s="76">
        <v>37.915999999999997</v>
      </c>
      <c r="S129" s="76">
        <v>37.915999999999997</v>
      </c>
      <c r="T129" s="76">
        <v>39.468000000000004</v>
      </c>
      <c r="U129" s="76">
        <v>39.468000000000004</v>
      </c>
      <c r="V129" s="76">
        <v>39.468000000000004</v>
      </c>
    </row>
    <row r="130" spans="1:22">
      <c r="A130" s="326" t="s">
        <v>6</v>
      </c>
      <c r="B130" s="159">
        <v>41</v>
      </c>
      <c r="C130" s="76">
        <v>5</v>
      </c>
      <c r="D130" s="76">
        <v>7.5679999999999996</v>
      </c>
      <c r="E130" s="76">
        <v>15.723000000000001</v>
      </c>
      <c r="F130" s="76">
        <v>21.536000000000001</v>
      </c>
      <c r="G130" s="76">
        <v>27.949000000000002</v>
      </c>
      <c r="H130" s="76">
        <v>31.552</v>
      </c>
      <c r="I130" s="76">
        <v>44.780999999999999</v>
      </c>
      <c r="J130" s="76">
        <v>49.383000000000003</v>
      </c>
      <c r="K130" s="76">
        <v>49.383000000000003</v>
      </c>
      <c r="L130" s="76">
        <v>49.383000000000003</v>
      </c>
      <c r="M130" s="76">
        <v>61.433999999999997</v>
      </c>
      <c r="N130" s="76">
        <v>69.147999999999996</v>
      </c>
      <c r="O130" s="76">
        <v>69.147999999999996</v>
      </c>
      <c r="P130" s="76">
        <v>69.147999999999996</v>
      </c>
      <c r="Q130" s="76">
        <v>69.147999999999996</v>
      </c>
      <c r="R130" s="76">
        <v>69.147999999999996</v>
      </c>
      <c r="S130" s="76">
        <v>69.147999999999996</v>
      </c>
      <c r="T130" s="76">
        <v>69.147999999999996</v>
      </c>
      <c r="U130" s="76">
        <v>69.147999999999996</v>
      </c>
      <c r="V130" s="76">
        <v>69.147999999999996</v>
      </c>
    </row>
    <row r="131" spans="1:22">
      <c r="A131" s="326" t="s">
        <v>71</v>
      </c>
      <c r="B131" s="159">
        <v>6</v>
      </c>
      <c r="C131" s="76">
        <v>33.332999999999998</v>
      </c>
      <c r="D131" s="76">
        <v>33.332999999999998</v>
      </c>
      <c r="E131" s="76">
        <v>33.332999999999998</v>
      </c>
      <c r="F131" s="76">
        <v>33.332999999999998</v>
      </c>
      <c r="G131" s="76">
        <v>33.332999999999998</v>
      </c>
      <c r="H131" s="76">
        <v>33.332999999999998</v>
      </c>
      <c r="I131" s="76">
        <v>55.555999999999997</v>
      </c>
      <c r="J131" s="76">
        <v>55.555999999999997</v>
      </c>
      <c r="K131" s="76">
        <v>55.555999999999997</v>
      </c>
      <c r="L131" s="76">
        <v>55.555999999999997</v>
      </c>
      <c r="M131" s="76">
        <v>55.555999999999997</v>
      </c>
      <c r="N131" s="76" t="s">
        <v>172</v>
      </c>
      <c r="O131" s="76" t="s">
        <v>172</v>
      </c>
      <c r="P131" s="76" t="s">
        <v>172</v>
      </c>
      <c r="Q131" s="76" t="s">
        <v>172</v>
      </c>
      <c r="R131" s="76" t="s">
        <v>172</v>
      </c>
      <c r="S131" s="76" t="s">
        <v>172</v>
      </c>
      <c r="T131" s="76" t="s">
        <v>172</v>
      </c>
      <c r="U131" s="76" t="s">
        <v>172</v>
      </c>
      <c r="V131" s="76" t="s">
        <v>172</v>
      </c>
    </row>
    <row r="132" spans="1:22">
      <c r="A132" s="326" t="s">
        <v>8</v>
      </c>
      <c r="B132" s="159">
        <v>940</v>
      </c>
      <c r="C132" s="76">
        <v>0</v>
      </c>
      <c r="D132" s="76">
        <v>0</v>
      </c>
      <c r="E132" s="76">
        <v>0.45800000000000002</v>
      </c>
      <c r="F132" s="76">
        <v>0.80600000000000005</v>
      </c>
      <c r="G132" s="76">
        <v>0.92700000000000005</v>
      </c>
      <c r="H132" s="76">
        <v>1.171</v>
      </c>
      <c r="I132" s="76">
        <v>1.5509999999999999</v>
      </c>
      <c r="J132" s="76">
        <v>2.218</v>
      </c>
      <c r="K132" s="76">
        <v>3.05</v>
      </c>
      <c r="L132" s="76">
        <v>3.4870000000000001</v>
      </c>
      <c r="M132" s="76">
        <v>4.84</v>
      </c>
      <c r="N132" s="76">
        <v>5.9249999999999998</v>
      </c>
      <c r="O132" s="76">
        <v>6.2519999999999998</v>
      </c>
      <c r="P132" s="76">
        <v>6.4379999999999997</v>
      </c>
      <c r="Q132" s="76">
        <v>6.4379999999999997</v>
      </c>
      <c r="R132" s="76">
        <v>6.6479999999999997</v>
      </c>
      <c r="S132" s="76">
        <v>6.6479999999999997</v>
      </c>
      <c r="T132" s="76">
        <v>6.6479999999999997</v>
      </c>
      <c r="U132" s="76">
        <v>6.6479999999999997</v>
      </c>
      <c r="V132" s="76">
        <v>7.1509999999999998</v>
      </c>
    </row>
    <row r="133" spans="1:22">
      <c r="A133" s="326" t="s">
        <v>9</v>
      </c>
      <c r="B133" s="159">
        <v>254</v>
      </c>
      <c r="C133" s="76">
        <v>1.63</v>
      </c>
      <c r="D133" s="76">
        <v>2.4820000000000002</v>
      </c>
      <c r="E133" s="76">
        <v>6.5380000000000003</v>
      </c>
      <c r="F133" s="76">
        <v>8.4779999999999998</v>
      </c>
      <c r="G133" s="76">
        <v>12.574999999999999</v>
      </c>
      <c r="H133" s="76">
        <v>15.773999999999999</v>
      </c>
      <c r="I133" s="76">
        <v>23.175999999999998</v>
      </c>
      <c r="J133" s="76">
        <v>25.675999999999998</v>
      </c>
      <c r="K133" s="76">
        <v>26.321999999999999</v>
      </c>
      <c r="L133" s="76">
        <v>28.556000000000001</v>
      </c>
      <c r="M133" s="76">
        <v>32.582000000000001</v>
      </c>
      <c r="N133" s="76">
        <v>38.807000000000002</v>
      </c>
      <c r="O133" s="76">
        <v>40.869</v>
      </c>
      <c r="P133" s="76">
        <v>43.058999999999997</v>
      </c>
      <c r="Q133" s="76">
        <v>43.058999999999997</v>
      </c>
      <c r="R133" s="76">
        <v>43.058999999999997</v>
      </c>
      <c r="S133" s="76">
        <v>43.058999999999997</v>
      </c>
      <c r="T133" s="76">
        <v>44.414999999999999</v>
      </c>
      <c r="U133" s="76">
        <v>44.414999999999999</v>
      </c>
      <c r="V133" s="76">
        <v>44.414999999999999</v>
      </c>
    </row>
    <row r="134" spans="1:22">
      <c r="A134" s="326" t="s">
        <v>79</v>
      </c>
      <c r="B134" s="159">
        <v>1194</v>
      </c>
      <c r="C134" s="76">
        <v>0.34200000000000003</v>
      </c>
      <c r="D134" s="76">
        <v>0.51800000000000002</v>
      </c>
      <c r="E134" s="76">
        <v>1.7010000000000001</v>
      </c>
      <c r="F134" s="76">
        <v>2.3559999999999999</v>
      </c>
      <c r="G134" s="76">
        <v>3.226</v>
      </c>
      <c r="H134" s="76">
        <v>4.0229999999999997</v>
      </c>
      <c r="I134" s="76">
        <v>5.6849999999999996</v>
      </c>
      <c r="J134" s="76">
        <v>6.67</v>
      </c>
      <c r="K134" s="76">
        <v>7.468</v>
      </c>
      <c r="L134" s="76">
        <v>8.1929999999999996</v>
      </c>
      <c r="M134" s="76">
        <v>9.9529999999999994</v>
      </c>
      <c r="N134" s="76">
        <v>11.781000000000001</v>
      </c>
      <c r="O134" s="76">
        <v>12.340999999999999</v>
      </c>
      <c r="P134" s="76">
        <v>12.803000000000001</v>
      </c>
      <c r="Q134" s="76">
        <v>12.803000000000001</v>
      </c>
      <c r="R134" s="76">
        <v>12.98</v>
      </c>
      <c r="S134" s="76">
        <v>12.98</v>
      </c>
      <c r="T134" s="76">
        <v>13.170999999999999</v>
      </c>
      <c r="U134" s="76">
        <v>13.170999999999999</v>
      </c>
      <c r="V134" s="76">
        <v>13.597</v>
      </c>
    </row>
    <row r="135" spans="1:22">
      <c r="A135" s="326">
        <v>29587</v>
      </c>
      <c r="B135" s="327"/>
    </row>
    <row r="136" spans="1:22">
      <c r="A136" s="328" t="s">
        <v>0</v>
      </c>
      <c r="B136" s="329" t="s">
        <v>78</v>
      </c>
      <c r="C136" s="329">
        <v>1</v>
      </c>
      <c r="D136" s="329">
        <v>2</v>
      </c>
      <c r="E136" s="329">
        <v>3</v>
      </c>
      <c r="F136" s="329">
        <v>4</v>
      </c>
      <c r="G136" s="329">
        <v>5</v>
      </c>
      <c r="H136" s="329">
        <v>6</v>
      </c>
      <c r="I136" s="329">
        <v>7</v>
      </c>
      <c r="J136" s="329">
        <v>8</v>
      </c>
      <c r="K136" s="329">
        <v>9</v>
      </c>
      <c r="L136" s="329">
        <v>10</v>
      </c>
      <c r="M136" s="329">
        <v>11</v>
      </c>
      <c r="N136" s="329">
        <v>12</v>
      </c>
      <c r="O136" s="329">
        <v>13</v>
      </c>
      <c r="P136" s="329">
        <v>14</v>
      </c>
      <c r="Q136" s="329">
        <v>15</v>
      </c>
      <c r="R136" s="329">
        <v>16</v>
      </c>
      <c r="S136" s="329">
        <v>17</v>
      </c>
      <c r="T136" s="329">
        <v>18</v>
      </c>
      <c r="U136" s="329">
        <v>19</v>
      </c>
      <c r="V136" s="329">
        <v>20</v>
      </c>
    </row>
    <row r="137" spans="1:22">
      <c r="A137" s="326" t="s">
        <v>1</v>
      </c>
      <c r="B137" s="159">
        <v>93</v>
      </c>
      <c r="C137" s="76">
        <v>0</v>
      </c>
      <c r="D137" s="76">
        <v>0</v>
      </c>
      <c r="E137" s="76">
        <v>0</v>
      </c>
      <c r="F137" s="76">
        <v>0</v>
      </c>
      <c r="G137" s="76">
        <v>0</v>
      </c>
      <c r="H137" s="76">
        <v>0</v>
      </c>
      <c r="I137" s="76">
        <v>1.22</v>
      </c>
      <c r="J137" s="76">
        <v>1.22</v>
      </c>
      <c r="K137" s="76">
        <v>1.22</v>
      </c>
      <c r="L137" s="76">
        <v>2.4860000000000002</v>
      </c>
      <c r="M137" s="76">
        <v>2.4860000000000002</v>
      </c>
      <c r="N137" s="76">
        <v>2.4860000000000002</v>
      </c>
      <c r="O137" s="76">
        <v>2.4860000000000002</v>
      </c>
      <c r="P137" s="76">
        <v>2.4860000000000002</v>
      </c>
      <c r="Q137" s="76">
        <v>2.4860000000000002</v>
      </c>
      <c r="R137" s="76">
        <v>2.4860000000000002</v>
      </c>
      <c r="S137" s="76">
        <v>2.4860000000000002</v>
      </c>
      <c r="T137" s="76">
        <v>2.4860000000000002</v>
      </c>
      <c r="U137" s="76">
        <v>2.4860000000000002</v>
      </c>
      <c r="V137" s="76">
        <v>2.4860000000000002</v>
      </c>
    </row>
    <row r="138" spans="1:22">
      <c r="A138" s="326" t="s">
        <v>2</v>
      </c>
      <c r="B138" s="159">
        <v>136</v>
      </c>
      <c r="C138" s="76">
        <v>0</v>
      </c>
      <c r="D138" s="76">
        <v>0</v>
      </c>
      <c r="E138" s="76">
        <v>0</v>
      </c>
      <c r="F138" s="76">
        <v>0</v>
      </c>
      <c r="G138" s="76">
        <v>0</v>
      </c>
      <c r="H138" s="76">
        <v>0</v>
      </c>
      <c r="I138" s="76">
        <v>0.82</v>
      </c>
      <c r="J138" s="76">
        <v>2.4870000000000001</v>
      </c>
      <c r="K138" s="76">
        <v>2.4870000000000001</v>
      </c>
      <c r="L138" s="76">
        <v>2.4870000000000001</v>
      </c>
      <c r="M138" s="76">
        <v>2.4870000000000001</v>
      </c>
      <c r="N138" s="76">
        <v>2.4870000000000001</v>
      </c>
      <c r="O138" s="76">
        <v>2.4870000000000001</v>
      </c>
      <c r="P138" s="76">
        <v>2.4870000000000001</v>
      </c>
      <c r="Q138" s="76">
        <v>2.4870000000000001</v>
      </c>
      <c r="R138" s="76">
        <v>2.4870000000000001</v>
      </c>
      <c r="S138" s="76">
        <v>2.4870000000000001</v>
      </c>
      <c r="T138" s="76">
        <v>2.4870000000000001</v>
      </c>
      <c r="U138" s="76">
        <v>2.4870000000000001</v>
      </c>
      <c r="V138" s="76">
        <v>3.964</v>
      </c>
    </row>
    <row r="139" spans="1:22">
      <c r="A139" s="326" t="s">
        <v>3</v>
      </c>
      <c r="B139" s="159">
        <v>389</v>
      </c>
      <c r="C139" s="76">
        <v>0</v>
      </c>
      <c r="D139" s="76">
        <v>0.26700000000000002</v>
      </c>
      <c r="E139" s="76">
        <v>0.26700000000000002</v>
      </c>
      <c r="F139" s="76">
        <v>0.26700000000000002</v>
      </c>
      <c r="G139" s="76">
        <v>0.26700000000000002</v>
      </c>
      <c r="H139" s="76">
        <v>1.155</v>
      </c>
      <c r="I139" s="76">
        <v>1.4690000000000001</v>
      </c>
      <c r="J139" s="76">
        <v>2.1320000000000001</v>
      </c>
      <c r="K139" s="76">
        <v>2.1320000000000001</v>
      </c>
      <c r="L139" s="76">
        <v>3.1989999999999998</v>
      </c>
      <c r="M139" s="76">
        <v>3.9489999999999998</v>
      </c>
      <c r="N139" s="76">
        <v>3.9489999999999998</v>
      </c>
      <c r="O139" s="76">
        <v>4.4130000000000003</v>
      </c>
      <c r="P139" s="76">
        <v>4.4130000000000003</v>
      </c>
      <c r="Q139" s="76">
        <v>4.9160000000000004</v>
      </c>
      <c r="R139" s="76">
        <v>4.9160000000000004</v>
      </c>
      <c r="S139" s="76">
        <v>4.9160000000000004</v>
      </c>
      <c r="T139" s="76">
        <v>4.9160000000000004</v>
      </c>
      <c r="U139" s="76">
        <v>6.1040000000000001</v>
      </c>
      <c r="V139" s="76">
        <v>6.7140000000000004</v>
      </c>
    </row>
    <row r="140" spans="1:22">
      <c r="A140" s="326" t="s">
        <v>4</v>
      </c>
      <c r="B140" s="159">
        <v>339</v>
      </c>
      <c r="C140" s="76">
        <v>0</v>
      </c>
      <c r="D140" s="76">
        <v>0.64</v>
      </c>
      <c r="E140" s="76">
        <v>1.952</v>
      </c>
      <c r="F140" s="76">
        <v>2.6520000000000001</v>
      </c>
      <c r="G140" s="76">
        <v>3.379</v>
      </c>
      <c r="H140" s="76">
        <v>3.379</v>
      </c>
      <c r="I140" s="76">
        <v>3.7930000000000001</v>
      </c>
      <c r="J140" s="76">
        <v>4.6340000000000003</v>
      </c>
      <c r="K140" s="76">
        <v>6.008</v>
      </c>
      <c r="L140" s="76">
        <v>8.4260000000000002</v>
      </c>
      <c r="M140" s="76">
        <v>10.404</v>
      </c>
      <c r="N140" s="76">
        <v>11.419</v>
      </c>
      <c r="O140" s="76">
        <v>11.419</v>
      </c>
      <c r="P140" s="76">
        <v>11.419</v>
      </c>
      <c r="Q140" s="76">
        <v>11.419</v>
      </c>
      <c r="R140" s="76">
        <v>11.419</v>
      </c>
      <c r="S140" s="76">
        <v>11.419</v>
      </c>
      <c r="T140" s="76">
        <v>11.419</v>
      </c>
      <c r="U140" s="76">
        <v>11.419</v>
      </c>
      <c r="V140" s="76">
        <v>12.342000000000001</v>
      </c>
    </row>
    <row r="141" spans="1:22">
      <c r="A141" s="326" t="s">
        <v>5</v>
      </c>
      <c r="B141" s="159">
        <v>241</v>
      </c>
      <c r="C141" s="76">
        <v>0</v>
      </c>
      <c r="D141" s="76">
        <v>3.637</v>
      </c>
      <c r="E141" s="76">
        <v>5.1150000000000002</v>
      </c>
      <c r="F141" s="76">
        <v>8.1549999999999994</v>
      </c>
      <c r="G141" s="76">
        <v>11.856999999999999</v>
      </c>
      <c r="H141" s="76">
        <v>18.545999999999999</v>
      </c>
      <c r="I141" s="76">
        <v>21.053999999999998</v>
      </c>
      <c r="J141" s="76">
        <v>21.707000000000001</v>
      </c>
      <c r="K141" s="76">
        <v>24.756</v>
      </c>
      <c r="L141" s="76">
        <v>28.946999999999999</v>
      </c>
      <c r="M141" s="76">
        <v>35.417000000000002</v>
      </c>
      <c r="N141" s="76">
        <v>37.593000000000004</v>
      </c>
      <c r="O141" s="76">
        <v>39.905000000000001</v>
      </c>
      <c r="P141" s="76">
        <v>39.905000000000001</v>
      </c>
      <c r="Q141" s="76">
        <v>39.905000000000001</v>
      </c>
      <c r="R141" s="76">
        <v>39.905000000000001</v>
      </c>
      <c r="S141" s="76">
        <v>41.335000000000001</v>
      </c>
      <c r="T141" s="76">
        <v>42.802</v>
      </c>
      <c r="U141" s="76">
        <v>42.802</v>
      </c>
      <c r="V141" s="76">
        <v>42.802</v>
      </c>
    </row>
    <row r="142" spans="1:22">
      <c r="A142" s="326" t="s">
        <v>6</v>
      </c>
      <c r="B142" s="159">
        <v>46</v>
      </c>
      <c r="C142" s="76">
        <v>4.3970000000000002</v>
      </c>
      <c r="D142" s="76">
        <v>11.393000000000001</v>
      </c>
      <c r="E142" s="76">
        <v>16.315000000000001</v>
      </c>
      <c r="F142" s="76">
        <v>24.335000000000001</v>
      </c>
      <c r="G142" s="76">
        <v>27.245000000000001</v>
      </c>
      <c r="H142" s="76">
        <v>41.234000000000002</v>
      </c>
      <c r="I142" s="76">
        <v>41.234000000000002</v>
      </c>
      <c r="J142" s="76">
        <v>41.234000000000002</v>
      </c>
      <c r="K142" s="76">
        <v>41.234000000000002</v>
      </c>
      <c r="L142" s="76">
        <v>51.518000000000001</v>
      </c>
      <c r="M142" s="76">
        <v>57.578000000000003</v>
      </c>
      <c r="N142" s="76">
        <v>57.578000000000003</v>
      </c>
      <c r="O142" s="76">
        <v>57.578000000000003</v>
      </c>
      <c r="P142" s="76">
        <v>57.578000000000003</v>
      </c>
      <c r="Q142" s="76">
        <v>57.578000000000003</v>
      </c>
      <c r="R142" s="76">
        <v>57.578000000000003</v>
      </c>
      <c r="S142" s="76">
        <v>57.578000000000003</v>
      </c>
      <c r="T142" s="76">
        <v>57.578000000000003</v>
      </c>
      <c r="U142" s="76">
        <v>57.578000000000003</v>
      </c>
      <c r="V142" s="76">
        <v>57.578000000000003</v>
      </c>
    </row>
    <row r="143" spans="1:22">
      <c r="A143" s="326" t="s">
        <v>71</v>
      </c>
      <c r="B143" s="159">
        <v>7</v>
      </c>
      <c r="C143" s="76">
        <v>0</v>
      </c>
      <c r="D143" s="76">
        <v>0</v>
      </c>
      <c r="E143" s="76">
        <v>0</v>
      </c>
      <c r="F143" s="76">
        <v>0</v>
      </c>
      <c r="G143" s="76">
        <v>0</v>
      </c>
      <c r="H143" s="76">
        <v>16.667000000000002</v>
      </c>
      <c r="I143" s="76">
        <v>33.332999999999998</v>
      </c>
      <c r="J143" s="76">
        <v>33.332999999999998</v>
      </c>
      <c r="K143" s="76">
        <v>33.332999999999998</v>
      </c>
      <c r="L143" s="76">
        <v>33.332999999999998</v>
      </c>
      <c r="M143" s="76">
        <v>33.332999999999998</v>
      </c>
      <c r="N143" s="76">
        <v>33.332999999999998</v>
      </c>
      <c r="O143" s="76">
        <v>33.332999999999998</v>
      </c>
      <c r="P143" s="76">
        <v>33.332999999999998</v>
      </c>
      <c r="Q143" s="76">
        <v>33.332999999999998</v>
      </c>
      <c r="R143" s="76">
        <v>33.332999999999998</v>
      </c>
      <c r="S143" s="76">
        <v>33.332999999999998</v>
      </c>
      <c r="T143" s="76">
        <v>33.332999999999998</v>
      </c>
      <c r="U143" s="76">
        <v>33.332999999999998</v>
      </c>
      <c r="V143" s="76">
        <v>33.332999999999998</v>
      </c>
    </row>
    <row r="144" spans="1:22">
      <c r="A144" s="326" t="s">
        <v>8</v>
      </c>
      <c r="B144" s="159">
        <v>957</v>
      </c>
      <c r="C144" s="76">
        <v>0</v>
      </c>
      <c r="D144" s="76">
        <v>0.32900000000000001</v>
      </c>
      <c r="E144" s="76">
        <v>0.77300000000000002</v>
      </c>
      <c r="F144" s="76">
        <v>1.0049999999999999</v>
      </c>
      <c r="G144" s="76">
        <v>1.2450000000000001</v>
      </c>
      <c r="H144" s="76">
        <v>1.613</v>
      </c>
      <c r="I144" s="76">
        <v>2.1360000000000001</v>
      </c>
      <c r="J144" s="76">
        <v>2.9449999999999998</v>
      </c>
      <c r="K144" s="76">
        <v>3.371</v>
      </c>
      <c r="L144" s="76">
        <v>4.6870000000000003</v>
      </c>
      <c r="M144" s="76">
        <v>5.5919999999999996</v>
      </c>
      <c r="N144" s="76">
        <v>5.9109999999999996</v>
      </c>
      <c r="O144" s="76">
        <v>6.09</v>
      </c>
      <c r="P144" s="76">
        <v>6.09</v>
      </c>
      <c r="Q144" s="76">
        <v>6.2949999999999999</v>
      </c>
      <c r="R144" s="76">
        <v>6.2949999999999999</v>
      </c>
      <c r="S144" s="76">
        <v>6.2949999999999999</v>
      </c>
      <c r="T144" s="76">
        <v>6.2949999999999999</v>
      </c>
      <c r="U144" s="76">
        <v>6.7850000000000001</v>
      </c>
      <c r="V144" s="76">
        <v>7.5529999999999999</v>
      </c>
    </row>
    <row r="145" spans="1:22">
      <c r="A145" s="326" t="s">
        <v>9</v>
      </c>
      <c r="B145" s="159">
        <v>294</v>
      </c>
      <c r="C145" s="76">
        <v>0.69799999999999995</v>
      </c>
      <c r="D145" s="76">
        <v>4.7720000000000002</v>
      </c>
      <c r="E145" s="76">
        <v>6.7640000000000002</v>
      </c>
      <c r="F145" s="76">
        <v>10.496</v>
      </c>
      <c r="G145" s="76">
        <v>13.971</v>
      </c>
      <c r="H145" s="76">
        <v>21.88</v>
      </c>
      <c r="I145" s="76">
        <v>24.457999999999998</v>
      </c>
      <c r="J145" s="76">
        <v>24.994</v>
      </c>
      <c r="K145" s="76">
        <v>27.484999999999999</v>
      </c>
      <c r="L145" s="76">
        <v>32.33</v>
      </c>
      <c r="M145" s="76">
        <v>38.536999999999999</v>
      </c>
      <c r="N145" s="76">
        <v>40.39</v>
      </c>
      <c r="O145" s="76">
        <v>42.344000000000001</v>
      </c>
      <c r="P145" s="76">
        <v>42.344000000000001</v>
      </c>
      <c r="Q145" s="76">
        <v>42.344000000000001</v>
      </c>
      <c r="R145" s="76">
        <v>42.344000000000001</v>
      </c>
      <c r="S145" s="76">
        <v>43.570999999999998</v>
      </c>
      <c r="T145" s="76">
        <v>44.825000000000003</v>
      </c>
      <c r="U145" s="76">
        <v>44.825000000000003</v>
      </c>
      <c r="V145" s="76">
        <v>44.825000000000003</v>
      </c>
    </row>
    <row r="146" spans="1:22">
      <c r="A146" s="326" t="s">
        <v>79</v>
      </c>
      <c r="B146" s="159">
        <v>1251</v>
      </c>
      <c r="C146" s="76">
        <v>0.16200000000000001</v>
      </c>
      <c r="D146" s="76">
        <v>1.3420000000000001</v>
      </c>
      <c r="E146" s="76">
        <v>2.1240000000000001</v>
      </c>
      <c r="F146" s="76">
        <v>3.1160000000000001</v>
      </c>
      <c r="G146" s="76">
        <v>4.0490000000000004</v>
      </c>
      <c r="H146" s="76">
        <v>5.9950000000000001</v>
      </c>
      <c r="I146" s="76">
        <v>6.9260000000000002</v>
      </c>
      <c r="J146" s="76">
        <v>7.68</v>
      </c>
      <c r="K146" s="76">
        <v>8.4819999999999993</v>
      </c>
      <c r="L146" s="76">
        <v>10.396000000000001</v>
      </c>
      <c r="M146" s="76">
        <v>12.14</v>
      </c>
      <c r="N146" s="76">
        <v>12.677</v>
      </c>
      <c r="O146" s="76">
        <v>13.118</v>
      </c>
      <c r="P146" s="76">
        <v>13.118</v>
      </c>
      <c r="Q146" s="76">
        <v>13.287000000000001</v>
      </c>
      <c r="R146" s="76">
        <v>13.287000000000001</v>
      </c>
      <c r="S146" s="76">
        <v>13.47</v>
      </c>
      <c r="T146" s="76">
        <v>13.66</v>
      </c>
      <c r="U146" s="76">
        <v>14.069000000000001</v>
      </c>
      <c r="V146" s="76">
        <v>14.709</v>
      </c>
    </row>
    <row r="147" spans="1:22">
      <c r="A147" s="326">
        <v>29952</v>
      </c>
      <c r="B147" s="327"/>
    </row>
    <row r="148" spans="1:22">
      <c r="A148" s="328" t="s">
        <v>0</v>
      </c>
      <c r="B148" s="329" t="s">
        <v>78</v>
      </c>
      <c r="C148" s="329">
        <v>1</v>
      </c>
      <c r="D148" s="329">
        <v>2</v>
      </c>
      <c r="E148" s="329">
        <v>3</v>
      </c>
      <c r="F148" s="329">
        <v>4</v>
      </c>
      <c r="G148" s="329">
        <v>5</v>
      </c>
      <c r="H148" s="329">
        <v>6</v>
      </c>
      <c r="I148" s="329">
        <v>7</v>
      </c>
      <c r="J148" s="329">
        <v>8</v>
      </c>
      <c r="K148" s="329">
        <v>9</v>
      </c>
      <c r="L148" s="329">
        <v>10</v>
      </c>
      <c r="M148" s="329">
        <v>11</v>
      </c>
      <c r="N148" s="329">
        <v>12</v>
      </c>
      <c r="O148" s="329">
        <v>13</v>
      </c>
      <c r="P148" s="329">
        <v>14</v>
      </c>
      <c r="Q148" s="329">
        <v>15</v>
      </c>
      <c r="R148" s="329">
        <v>16</v>
      </c>
      <c r="S148" s="329">
        <v>17</v>
      </c>
      <c r="T148" s="329">
        <v>18</v>
      </c>
      <c r="U148" s="329">
        <v>19</v>
      </c>
      <c r="V148" s="329">
        <v>20</v>
      </c>
    </row>
    <row r="149" spans="1:22">
      <c r="A149" s="326" t="s">
        <v>1</v>
      </c>
      <c r="B149" s="159">
        <v>96</v>
      </c>
      <c r="C149" s="76">
        <v>0</v>
      </c>
      <c r="D149" s="76">
        <v>0</v>
      </c>
      <c r="E149" s="76">
        <v>0</v>
      </c>
      <c r="F149" s="76">
        <v>0</v>
      </c>
      <c r="G149" s="76">
        <v>0</v>
      </c>
      <c r="H149" s="76">
        <v>1.19</v>
      </c>
      <c r="I149" s="76">
        <v>1.19</v>
      </c>
      <c r="J149" s="76">
        <v>1.19</v>
      </c>
      <c r="K149" s="76">
        <v>2.4409999999999998</v>
      </c>
      <c r="L149" s="76">
        <v>2.4409999999999998</v>
      </c>
      <c r="M149" s="76">
        <v>2.4409999999999998</v>
      </c>
      <c r="N149" s="76">
        <v>2.4409999999999998</v>
      </c>
      <c r="O149" s="76">
        <v>2.4409999999999998</v>
      </c>
      <c r="P149" s="76">
        <v>2.4409999999999998</v>
      </c>
      <c r="Q149" s="76">
        <v>2.4409999999999998</v>
      </c>
      <c r="R149" s="76">
        <v>2.4409999999999998</v>
      </c>
      <c r="S149" s="76">
        <v>2.4409999999999998</v>
      </c>
      <c r="T149" s="76">
        <v>2.4409999999999998</v>
      </c>
      <c r="U149" s="76">
        <v>2.4409999999999998</v>
      </c>
      <c r="V149" s="76">
        <v>2.4409999999999998</v>
      </c>
    </row>
    <row r="150" spans="1:22">
      <c r="A150" s="326" t="s">
        <v>2</v>
      </c>
      <c r="B150" s="159">
        <v>148</v>
      </c>
      <c r="C150" s="76">
        <v>0</v>
      </c>
      <c r="D150" s="76">
        <v>0</v>
      </c>
      <c r="E150" s="76">
        <v>0</v>
      </c>
      <c r="F150" s="76">
        <v>0</v>
      </c>
      <c r="G150" s="76">
        <v>0</v>
      </c>
      <c r="H150" s="76">
        <v>0.746</v>
      </c>
      <c r="I150" s="76">
        <v>2.2730000000000001</v>
      </c>
      <c r="J150" s="76">
        <v>2.2730000000000001</v>
      </c>
      <c r="K150" s="76">
        <v>2.2730000000000001</v>
      </c>
      <c r="L150" s="76">
        <v>2.2730000000000001</v>
      </c>
      <c r="M150" s="76">
        <v>2.2730000000000001</v>
      </c>
      <c r="N150" s="76">
        <v>2.2730000000000001</v>
      </c>
      <c r="O150" s="76">
        <v>2.2730000000000001</v>
      </c>
      <c r="P150" s="76">
        <v>3.3969999999999998</v>
      </c>
      <c r="Q150" s="76">
        <v>3.3969999999999998</v>
      </c>
      <c r="R150" s="76">
        <v>3.3969999999999998</v>
      </c>
      <c r="S150" s="76">
        <v>3.3969999999999998</v>
      </c>
      <c r="T150" s="76">
        <v>3.3969999999999998</v>
      </c>
      <c r="U150" s="76">
        <v>4.7770000000000001</v>
      </c>
      <c r="V150" s="76">
        <v>4.7770000000000001</v>
      </c>
    </row>
    <row r="151" spans="1:22">
      <c r="A151" s="326" t="s">
        <v>3</v>
      </c>
      <c r="B151" s="159">
        <v>399</v>
      </c>
      <c r="C151" s="76">
        <v>0.254</v>
      </c>
      <c r="D151" s="76">
        <v>0.254</v>
      </c>
      <c r="E151" s="76">
        <v>0.254</v>
      </c>
      <c r="F151" s="76">
        <v>0.254</v>
      </c>
      <c r="G151" s="76">
        <v>1.113</v>
      </c>
      <c r="H151" s="76">
        <v>1.113</v>
      </c>
      <c r="I151" s="76">
        <v>1.756</v>
      </c>
      <c r="J151" s="76">
        <v>1.756</v>
      </c>
      <c r="K151" s="76">
        <v>3.141</v>
      </c>
      <c r="L151" s="76">
        <v>3.8679999999999999</v>
      </c>
      <c r="M151" s="76">
        <v>3.8679999999999999</v>
      </c>
      <c r="N151" s="76">
        <v>4.3090000000000002</v>
      </c>
      <c r="O151" s="76">
        <v>4.3090000000000002</v>
      </c>
      <c r="P151" s="76">
        <v>4.3090000000000002</v>
      </c>
      <c r="Q151" s="76">
        <v>4.3090000000000002</v>
      </c>
      <c r="R151" s="76">
        <v>4.3090000000000002</v>
      </c>
      <c r="S151" s="76">
        <v>4.3090000000000002</v>
      </c>
      <c r="T151" s="76">
        <v>4.8819999999999997</v>
      </c>
      <c r="U151" s="76">
        <v>5.4690000000000003</v>
      </c>
      <c r="V151" s="76">
        <v>9.1020000000000003</v>
      </c>
    </row>
    <row r="152" spans="1:22">
      <c r="A152" s="326" t="s">
        <v>4</v>
      </c>
      <c r="B152" s="159">
        <v>326</v>
      </c>
      <c r="C152" s="76">
        <v>0.32800000000000001</v>
      </c>
      <c r="D152" s="76">
        <v>0.32800000000000001</v>
      </c>
      <c r="E152" s="76">
        <v>1.3959999999999999</v>
      </c>
      <c r="F152" s="76">
        <v>2.137</v>
      </c>
      <c r="G152" s="76">
        <v>2.5270000000000001</v>
      </c>
      <c r="H152" s="76">
        <v>3.3620000000000001</v>
      </c>
      <c r="I152" s="76">
        <v>4.2249999999999996</v>
      </c>
      <c r="J152" s="76">
        <v>5.625</v>
      </c>
      <c r="K152" s="76">
        <v>8.0909999999999993</v>
      </c>
      <c r="L152" s="76">
        <v>10.112</v>
      </c>
      <c r="M152" s="76">
        <v>11.16</v>
      </c>
      <c r="N152" s="76">
        <v>11.16</v>
      </c>
      <c r="O152" s="76">
        <v>11.16</v>
      </c>
      <c r="P152" s="76">
        <v>11.16</v>
      </c>
      <c r="Q152" s="76">
        <v>11.16</v>
      </c>
      <c r="R152" s="76">
        <v>11.16</v>
      </c>
      <c r="S152" s="76">
        <v>11.16</v>
      </c>
      <c r="T152" s="76">
        <v>12.04</v>
      </c>
      <c r="U152" s="76">
        <v>12.986000000000001</v>
      </c>
      <c r="V152" s="76">
        <v>12.986000000000001</v>
      </c>
    </row>
    <row r="153" spans="1:22">
      <c r="A153" s="326" t="s">
        <v>5</v>
      </c>
      <c r="B153" s="159">
        <v>254</v>
      </c>
      <c r="C153" s="76">
        <v>2.7770000000000001</v>
      </c>
      <c r="D153" s="76">
        <v>5.35</v>
      </c>
      <c r="E153" s="76">
        <v>8.0429999999999993</v>
      </c>
      <c r="F153" s="76">
        <v>11.785</v>
      </c>
      <c r="G153" s="76">
        <v>18.626000000000001</v>
      </c>
      <c r="H153" s="76">
        <v>20.834</v>
      </c>
      <c r="I153" s="76">
        <v>21.408000000000001</v>
      </c>
      <c r="J153" s="76">
        <v>24.097999999999999</v>
      </c>
      <c r="K153" s="76">
        <v>28.646999999999998</v>
      </c>
      <c r="L153" s="76">
        <v>32.820999999999998</v>
      </c>
      <c r="M153" s="76">
        <v>34.802</v>
      </c>
      <c r="N153" s="76">
        <v>36.905000000000001</v>
      </c>
      <c r="O153" s="76">
        <v>36.905000000000001</v>
      </c>
      <c r="P153" s="76">
        <v>36.905000000000001</v>
      </c>
      <c r="Q153" s="76">
        <v>36.905000000000001</v>
      </c>
      <c r="R153" s="76">
        <v>38.277000000000001</v>
      </c>
      <c r="S153" s="76">
        <v>39.781999999999996</v>
      </c>
      <c r="T153" s="76">
        <v>39.781999999999996</v>
      </c>
      <c r="U153" s="76">
        <v>39.781999999999996</v>
      </c>
      <c r="V153" s="76">
        <v>43.177</v>
      </c>
    </row>
    <row r="154" spans="1:22">
      <c r="A154" s="326" t="s">
        <v>6</v>
      </c>
      <c r="B154" s="159">
        <v>45</v>
      </c>
      <c r="C154" s="76">
        <v>2.222</v>
      </c>
      <c r="D154" s="76">
        <v>9.1010000000000009</v>
      </c>
      <c r="E154" s="76">
        <v>14.084</v>
      </c>
      <c r="F154" s="76">
        <v>16.768999999999998</v>
      </c>
      <c r="G154" s="76">
        <v>29.169</v>
      </c>
      <c r="H154" s="76">
        <v>29.169</v>
      </c>
      <c r="I154" s="76">
        <v>29.169</v>
      </c>
      <c r="J154" s="76">
        <v>29.169</v>
      </c>
      <c r="K154" s="76">
        <v>35.072000000000003</v>
      </c>
      <c r="L154" s="76">
        <v>55.478000000000002</v>
      </c>
      <c r="M154" s="76">
        <v>55.478000000000002</v>
      </c>
      <c r="N154" s="76">
        <v>55.478000000000002</v>
      </c>
      <c r="O154" s="76">
        <v>55.478000000000002</v>
      </c>
      <c r="P154" s="76">
        <v>55.478000000000002</v>
      </c>
      <c r="Q154" s="76">
        <v>55.478000000000002</v>
      </c>
      <c r="R154" s="76">
        <v>55.478000000000002</v>
      </c>
      <c r="S154" s="76">
        <v>55.478000000000002</v>
      </c>
      <c r="T154" s="76">
        <v>55.478000000000002</v>
      </c>
      <c r="U154" s="76">
        <v>55.478000000000002</v>
      </c>
      <c r="V154" s="76">
        <v>55.478000000000002</v>
      </c>
    </row>
    <row r="155" spans="1:22">
      <c r="A155" s="326" t="s">
        <v>71</v>
      </c>
      <c r="B155" s="159">
        <v>13</v>
      </c>
      <c r="C155" s="76">
        <v>23.077000000000002</v>
      </c>
      <c r="D155" s="76">
        <v>46.154000000000003</v>
      </c>
      <c r="E155" s="76">
        <v>46.154000000000003</v>
      </c>
      <c r="F155" s="76">
        <v>46.154000000000003</v>
      </c>
      <c r="G155" s="76">
        <v>55.128</v>
      </c>
      <c r="H155" s="76">
        <v>64.102999999999994</v>
      </c>
      <c r="I155" s="76">
        <v>64.102999999999994</v>
      </c>
      <c r="J155" s="76">
        <v>64.102999999999994</v>
      </c>
      <c r="K155" s="76">
        <v>64.102999999999994</v>
      </c>
      <c r="L155" s="76">
        <v>64.102999999999994</v>
      </c>
      <c r="M155" s="76">
        <v>64.102999999999994</v>
      </c>
      <c r="N155" s="76">
        <v>64.102999999999994</v>
      </c>
      <c r="O155" s="76">
        <v>64.102999999999994</v>
      </c>
      <c r="P155" s="76">
        <v>64.102999999999994</v>
      </c>
      <c r="Q155" s="76">
        <v>64.102999999999994</v>
      </c>
      <c r="R155" s="76">
        <v>64.102999999999994</v>
      </c>
      <c r="S155" s="76">
        <v>64.102999999999994</v>
      </c>
      <c r="T155" s="76">
        <v>64.102999999999994</v>
      </c>
      <c r="U155" s="76">
        <v>64.102999999999994</v>
      </c>
      <c r="V155" s="76">
        <v>64.102999999999994</v>
      </c>
    </row>
    <row r="156" spans="1:22">
      <c r="A156" s="326" t="s">
        <v>8</v>
      </c>
      <c r="B156" s="159">
        <v>969</v>
      </c>
      <c r="C156" s="76">
        <v>0.21199999999999999</v>
      </c>
      <c r="D156" s="76">
        <v>0.21199999999999999</v>
      </c>
      <c r="E156" s="76">
        <v>0.55000000000000004</v>
      </c>
      <c r="F156" s="76">
        <v>0.78300000000000003</v>
      </c>
      <c r="G156" s="76">
        <v>1.264</v>
      </c>
      <c r="H156" s="76">
        <v>1.774</v>
      </c>
      <c r="I156" s="76">
        <v>2.5659999999999998</v>
      </c>
      <c r="J156" s="76">
        <v>2.9820000000000002</v>
      </c>
      <c r="K156" s="76">
        <v>4.4189999999999996</v>
      </c>
      <c r="L156" s="76">
        <v>5.3090000000000002</v>
      </c>
      <c r="M156" s="76">
        <v>5.6230000000000002</v>
      </c>
      <c r="N156" s="76">
        <v>5.8</v>
      </c>
      <c r="O156" s="76">
        <v>5.8</v>
      </c>
      <c r="P156" s="76">
        <v>6.0010000000000003</v>
      </c>
      <c r="Q156" s="76">
        <v>6.0010000000000003</v>
      </c>
      <c r="R156" s="76">
        <v>6.0010000000000003</v>
      </c>
      <c r="S156" s="76">
        <v>6.0010000000000003</v>
      </c>
      <c r="T156" s="76">
        <v>6.4829999999999997</v>
      </c>
      <c r="U156" s="76">
        <v>7.2359999999999998</v>
      </c>
      <c r="V156" s="76">
        <v>8.7750000000000004</v>
      </c>
    </row>
    <row r="157" spans="1:22">
      <c r="A157" s="326" t="s">
        <v>9</v>
      </c>
      <c r="B157" s="159">
        <v>312</v>
      </c>
      <c r="C157" s="76">
        <v>3.544</v>
      </c>
      <c r="D157" s="76">
        <v>7.6550000000000002</v>
      </c>
      <c r="E157" s="76">
        <v>10.564</v>
      </c>
      <c r="F157" s="76">
        <v>13.99</v>
      </c>
      <c r="G157" s="76">
        <v>21.651</v>
      </c>
      <c r="H157" s="76">
        <v>23.893999999999998</v>
      </c>
      <c r="I157" s="76">
        <v>24.361000000000001</v>
      </c>
      <c r="J157" s="76">
        <v>26.591999999999999</v>
      </c>
      <c r="K157" s="76">
        <v>31.02</v>
      </c>
      <c r="L157" s="76">
        <v>36.634999999999998</v>
      </c>
      <c r="M157" s="76">
        <v>38.329000000000001</v>
      </c>
      <c r="N157" s="76">
        <v>40.116</v>
      </c>
      <c r="O157" s="76">
        <v>40.116</v>
      </c>
      <c r="P157" s="76">
        <v>40.116</v>
      </c>
      <c r="Q157" s="76">
        <v>40.116</v>
      </c>
      <c r="R157" s="76">
        <v>41.29</v>
      </c>
      <c r="S157" s="76">
        <v>42.567</v>
      </c>
      <c r="T157" s="76">
        <v>42.567</v>
      </c>
      <c r="U157" s="76">
        <v>42.567</v>
      </c>
      <c r="V157" s="76">
        <v>45.475999999999999</v>
      </c>
    </row>
    <row r="158" spans="1:22">
      <c r="A158" s="326" t="s">
        <v>79</v>
      </c>
      <c r="B158" s="159">
        <v>1281</v>
      </c>
      <c r="C158" s="76">
        <v>1.032</v>
      </c>
      <c r="D158" s="76">
        <v>2.0169999999999999</v>
      </c>
      <c r="E158" s="76">
        <v>2.9569999999999999</v>
      </c>
      <c r="F158" s="76">
        <v>3.9319999999999999</v>
      </c>
      <c r="G158" s="76">
        <v>6.0579999999999998</v>
      </c>
      <c r="H158" s="76">
        <v>6.9470000000000001</v>
      </c>
      <c r="I158" s="76">
        <v>7.6660000000000004</v>
      </c>
      <c r="J158" s="76">
        <v>8.4380000000000006</v>
      </c>
      <c r="K158" s="76">
        <v>10.404999999999999</v>
      </c>
      <c r="L158" s="76">
        <v>12.095000000000001</v>
      </c>
      <c r="M158" s="76">
        <v>12.616</v>
      </c>
      <c r="N158" s="76">
        <v>13.044</v>
      </c>
      <c r="O158" s="76">
        <v>13.044</v>
      </c>
      <c r="P158" s="76">
        <v>13.207000000000001</v>
      </c>
      <c r="Q158" s="76">
        <v>13.207000000000001</v>
      </c>
      <c r="R158" s="76">
        <v>13.387</v>
      </c>
      <c r="S158" s="76">
        <v>13.573</v>
      </c>
      <c r="T158" s="76">
        <v>13.974</v>
      </c>
      <c r="U158" s="76">
        <v>14.6</v>
      </c>
      <c r="V158" s="76">
        <v>16.300999999999998</v>
      </c>
    </row>
    <row r="159" spans="1:22">
      <c r="A159" s="326">
        <v>30317</v>
      </c>
      <c r="B159" s="327"/>
    </row>
    <row r="160" spans="1:22">
      <c r="A160" s="328" t="s">
        <v>0</v>
      </c>
      <c r="B160" s="329" t="s">
        <v>78</v>
      </c>
      <c r="C160" s="329">
        <v>1</v>
      </c>
      <c r="D160" s="329">
        <v>2</v>
      </c>
      <c r="E160" s="329">
        <v>3</v>
      </c>
      <c r="F160" s="329">
        <v>4</v>
      </c>
      <c r="G160" s="329">
        <v>5</v>
      </c>
      <c r="H160" s="329">
        <v>6</v>
      </c>
      <c r="I160" s="329">
        <v>7</v>
      </c>
      <c r="J160" s="329">
        <v>8</v>
      </c>
      <c r="K160" s="329">
        <v>9</v>
      </c>
      <c r="L160" s="329">
        <v>10</v>
      </c>
      <c r="M160" s="329">
        <v>11</v>
      </c>
      <c r="N160" s="329">
        <v>12</v>
      </c>
      <c r="O160" s="329">
        <v>13</v>
      </c>
      <c r="P160" s="329">
        <v>14</v>
      </c>
      <c r="Q160" s="329">
        <v>15</v>
      </c>
      <c r="R160" s="329">
        <v>16</v>
      </c>
      <c r="S160" s="329">
        <v>17</v>
      </c>
      <c r="T160" s="329">
        <v>18</v>
      </c>
      <c r="U160" s="329">
        <v>19</v>
      </c>
      <c r="V160" s="329">
        <v>20</v>
      </c>
    </row>
    <row r="161" spans="1:22">
      <c r="A161" s="326" t="s">
        <v>1</v>
      </c>
      <c r="B161" s="159">
        <v>98</v>
      </c>
      <c r="C161" s="76">
        <v>0</v>
      </c>
      <c r="D161" s="76">
        <v>0</v>
      </c>
      <c r="E161" s="76">
        <v>0</v>
      </c>
      <c r="F161" s="76">
        <v>0</v>
      </c>
      <c r="G161" s="76">
        <v>2.3530000000000002</v>
      </c>
      <c r="H161" s="76">
        <v>2.3530000000000002</v>
      </c>
      <c r="I161" s="76">
        <v>2.3530000000000002</v>
      </c>
      <c r="J161" s="76">
        <v>3.6379999999999999</v>
      </c>
      <c r="K161" s="76">
        <v>3.6379999999999999</v>
      </c>
      <c r="L161" s="76">
        <v>3.6379999999999999</v>
      </c>
      <c r="M161" s="76">
        <v>3.6379999999999999</v>
      </c>
      <c r="N161" s="76">
        <v>3.6379999999999999</v>
      </c>
      <c r="O161" s="76">
        <v>3.6379999999999999</v>
      </c>
      <c r="P161" s="76">
        <v>3.6379999999999999</v>
      </c>
      <c r="Q161" s="76">
        <v>3.6379999999999999</v>
      </c>
      <c r="R161" s="76">
        <v>3.6379999999999999</v>
      </c>
      <c r="S161" s="76">
        <v>3.6379999999999999</v>
      </c>
      <c r="T161" s="76">
        <v>3.6379999999999999</v>
      </c>
      <c r="U161" s="76">
        <v>3.6379999999999999</v>
      </c>
      <c r="V161" s="76">
        <v>3.6379999999999999</v>
      </c>
    </row>
    <row r="162" spans="1:22">
      <c r="A162" s="326" t="s">
        <v>2</v>
      </c>
      <c r="B162" s="159">
        <v>224</v>
      </c>
      <c r="C162" s="76">
        <v>0</v>
      </c>
      <c r="D162" s="76">
        <v>0</v>
      </c>
      <c r="E162" s="76">
        <v>0</v>
      </c>
      <c r="F162" s="76">
        <v>0</v>
      </c>
      <c r="G162" s="76">
        <v>0.48799999999999999</v>
      </c>
      <c r="H162" s="76">
        <v>1.9910000000000001</v>
      </c>
      <c r="I162" s="76">
        <v>1.9910000000000001</v>
      </c>
      <c r="J162" s="76">
        <v>1.9910000000000001</v>
      </c>
      <c r="K162" s="76">
        <v>1.9910000000000001</v>
      </c>
      <c r="L162" s="76">
        <v>1.9910000000000001</v>
      </c>
      <c r="M162" s="76">
        <v>1.9910000000000001</v>
      </c>
      <c r="N162" s="76">
        <v>1.9910000000000001</v>
      </c>
      <c r="O162" s="76">
        <v>2.706</v>
      </c>
      <c r="P162" s="76">
        <v>2.706</v>
      </c>
      <c r="Q162" s="76">
        <v>2.706</v>
      </c>
      <c r="R162" s="76">
        <v>2.706</v>
      </c>
      <c r="S162" s="76">
        <v>2.706</v>
      </c>
      <c r="T162" s="76">
        <v>2.706</v>
      </c>
      <c r="U162" s="76">
        <v>3.5990000000000002</v>
      </c>
      <c r="V162" s="76">
        <v>4.5439999999999996</v>
      </c>
    </row>
    <row r="163" spans="1:22">
      <c r="A163" s="326" t="s">
        <v>3</v>
      </c>
      <c r="B163" s="159">
        <v>426</v>
      </c>
      <c r="C163" s="76">
        <v>0</v>
      </c>
      <c r="D163" s="76">
        <v>0</v>
      </c>
      <c r="E163" s="76">
        <v>0</v>
      </c>
      <c r="F163" s="76">
        <v>0.26</v>
      </c>
      <c r="G163" s="76">
        <v>0.26</v>
      </c>
      <c r="H163" s="76">
        <v>0.84699999999999998</v>
      </c>
      <c r="I163" s="76">
        <v>0.84699999999999998</v>
      </c>
      <c r="J163" s="76">
        <v>2.1</v>
      </c>
      <c r="K163" s="76">
        <v>3.4159999999999999</v>
      </c>
      <c r="L163" s="76">
        <v>4.1120000000000001</v>
      </c>
      <c r="M163" s="76">
        <v>4.5019999999999998</v>
      </c>
      <c r="N163" s="76">
        <v>4.5019999999999998</v>
      </c>
      <c r="O163" s="76">
        <v>4.5019999999999998</v>
      </c>
      <c r="P163" s="76">
        <v>4.5019999999999998</v>
      </c>
      <c r="Q163" s="76">
        <v>4.5019999999999998</v>
      </c>
      <c r="R163" s="76">
        <v>4.5019999999999998</v>
      </c>
      <c r="S163" s="76">
        <v>4.5019999999999998</v>
      </c>
      <c r="T163" s="76">
        <v>5.0540000000000003</v>
      </c>
      <c r="U163" s="76">
        <v>6.7439999999999998</v>
      </c>
      <c r="V163" s="76">
        <v>7.3380000000000001</v>
      </c>
    </row>
    <row r="164" spans="1:22">
      <c r="A164" s="326" t="s">
        <v>4</v>
      </c>
      <c r="B164" s="159">
        <v>270</v>
      </c>
      <c r="C164" s="76">
        <v>0</v>
      </c>
      <c r="D164" s="76">
        <v>1.181</v>
      </c>
      <c r="E164" s="76">
        <v>1.603</v>
      </c>
      <c r="F164" s="76">
        <v>3.347</v>
      </c>
      <c r="G164" s="76">
        <v>3.851</v>
      </c>
      <c r="H164" s="76">
        <v>4.3680000000000003</v>
      </c>
      <c r="I164" s="76">
        <v>5.4770000000000003</v>
      </c>
      <c r="J164" s="76">
        <v>6.6440000000000001</v>
      </c>
      <c r="K164" s="76">
        <v>7.8529999999999998</v>
      </c>
      <c r="L164" s="76">
        <v>7.8529999999999998</v>
      </c>
      <c r="M164" s="76">
        <v>7.8529999999999998</v>
      </c>
      <c r="N164" s="76">
        <v>7.8529999999999998</v>
      </c>
      <c r="O164" s="76">
        <v>7.8529999999999998</v>
      </c>
      <c r="P164" s="76">
        <v>7.8529999999999998</v>
      </c>
      <c r="Q164" s="76">
        <v>7.8529999999999998</v>
      </c>
      <c r="R164" s="76">
        <v>7.8529999999999998</v>
      </c>
      <c r="S164" s="76">
        <v>8.9120000000000008</v>
      </c>
      <c r="T164" s="76">
        <v>11.189</v>
      </c>
      <c r="U164" s="76">
        <v>13.59</v>
      </c>
      <c r="V164" s="76">
        <v>16.094000000000001</v>
      </c>
    </row>
    <row r="165" spans="1:22">
      <c r="A165" s="326" t="s">
        <v>5</v>
      </c>
      <c r="B165" s="159">
        <v>229</v>
      </c>
      <c r="C165" s="76">
        <v>0.90100000000000002</v>
      </c>
      <c r="D165" s="76">
        <v>2.383</v>
      </c>
      <c r="E165" s="76">
        <v>4.4969999999999999</v>
      </c>
      <c r="F165" s="76">
        <v>12.177</v>
      </c>
      <c r="G165" s="76">
        <v>14.265000000000001</v>
      </c>
      <c r="H165" s="76">
        <v>17.306999999999999</v>
      </c>
      <c r="I165" s="76">
        <v>21.106000000000002</v>
      </c>
      <c r="J165" s="76">
        <v>26.308</v>
      </c>
      <c r="K165" s="76">
        <v>31.986999999999998</v>
      </c>
      <c r="L165" s="76">
        <v>31.986999999999998</v>
      </c>
      <c r="M165" s="76">
        <v>33.499000000000002</v>
      </c>
      <c r="N165" s="76">
        <v>33.499000000000002</v>
      </c>
      <c r="O165" s="76">
        <v>33.499000000000002</v>
      </c>
      <c r="P165" s="76">
        <v>33.499000000000002</v>
      </c>
      <c r="Q165" s="76">
        <v>35.454999999999998</v>
      </c>
      <c r="R165" s="76">
        <v>37.472000000000001</v>
      </c>
      <c r="S165" s="76">
        <v>39.704999999999998</v>
      </c>
      <c r="T165" s="76">
        <v>41.938000000000002</v>
      </c>
      <c r="U165" s="76">
        <v>46.497</v>
      </c>
      <c r="V165" s="76">
        <v>51.15</v>
      </c>
    </row>
    <row r="166" spans="1:22">
      <c r="A166" s="326" t="s">
        <v>6</v>
      </c>
      <c r="B166" s="159">
        <v>114</v>
      </c>
      <c r="C166" s="76">
        <v>6.3860000000000001</v>
      </c>
      <c r="D166" s="76">
        <v>11.153</v>
      </c>
      <c r="E166" s="76">
        <v>18.079999999999998</v>
      </c>
      <c r="F166" s="76">
        <v>25.279</v>
      </c>
      <c r="G166" s="76">
        <v>28.544</v>
      </c>
      <c r="H166" s="76">
        <v>29.643999999999998</v>
      </c>
      <c r="I166" s="76">
        <v>32.274999999999999</v>
      </c>
      <c r="J166" s="76">
        <v>40.478000000000002</v>
      </c>
      <c r="K166" s="76">
        <v>48.052999999999997</v>
      </c>
      <c r="L166" s="76">
        <v>53.392000000000003</v>
      </c>
      <c r="M166" s="76">
        <v>56.134</v>
      </c>
      <c r="N166" s="76">
        <v>56.134</v>
      </c>
      <c r="O166" s="76">
        <v>56.134</v>
      </c>
      <c r="P166" s="76">
        <v>56.134</v>
      </c>
      <c r="Q166" s="76">
        <v>56.134</v>
      </c>
      <c r="R166" s="76">
        <v>56.134</v>
      </c>
      <c r="S166" s="76">
        <v>56.134</v>
      </c>
      <c r="T166" s="76">
        <v>56.134</v>
      </c>
      <c r="U166" s="76">
        <v>56.134</v>
      </c>
      <c r="V166" s="76">
        <v>56.134</v>
      </c>
    </row>
    <row r="167" spans="1:22">
      <c r="A167" s="326" t="s">
        <v>71</v>
      </c>
      <c r="B167" s="159">
        <v>10</v>
      </c>
      <c r="C167" s="76">
        <v>41.667000000000002</v>
      </c>
      <c r="D167" s="76">
        <v>65</v>
      </c>
      <c r="E167" s="76">
        <v>65</v>
      </c>
      <c r="F167" s="76">
        <v>65</v>
      </c>
      <c r="G167" s="76">
        <v>76.667000000000002</v>
      </c>
      <c r="H167" s="76">
        <v>76.667000000000002</v>
      </c>
      <c r="I167" s="76">
        <v>76.667000000000002</v>
      </c>
      <c r="J167" s="76">
        <v>76.667000000000002</v>
      </c>
      <c r="K167" s="76">
        <v>76.667000000000002</v>
      </c>
      <c r="L167" s="76">
        <v>76.667000000000002</v>
      </c>
      <c r="M167" s="76">
        <v>76.667000000000002</v>
      </c>
      <c r="N167" s="76">
        <v>76.667000000000002</v>
      </c>
      <c r="O167" s="76">
        <v>76.667000000000002</v>
      </c>
      <c r="P167" s="76">
        <v>76.667000000000002</v>
      </c>
      <c r="Q167" s="76">
        <v>76.667000000000002</v>
      </c>
      <c r="R167" s="76">
        <v>76.667000000000002</v>
      </c>
      <c r="S167" s="76">
        <v>76.667000000000002</v>
      </c>
      <c r="T167" s="76">
        <v>76.667000000000002</v>
      </c>
      <c r="U167" s="76">
        <v>76.667000000000002</v>
      </c>
      <c r="V167" s="76">
        <v>76.667000000000002</v>
      </c>
    </row>
    <row r="168" spans="1:22">
      <c r="A168" s="326" t="s">
        <v>8</v>
      </c>
      <c r="B168" s="159">
        <v>1018</v>
      </c>
      <c r="C168" s="76">
        <v>0</v>
      </c>
      <c r="D168" s="76">
        <v>0.307</v>
      </c>
      <c r="E168" s="76">
        <v>0.41499999999999998</v>
      </c>
      <c r="F168" s="76">
        <v>0.96299999999999997</v>
      </c>
      <c r="G168" s="76">
        <v>1.431</v>
      </c>
      <c r="H168" s="76">
        <v>2.169</v>
      </c>
      <c r="I168" s="76">
        <v>2.4260000000000002</v>
      </c>
      <c r="J168" s="76">
        <v>3.3519999999999999</v>
      </c>
      <c r="K168" s="76">
        <v>4.1790000000000003</v>
      </c>
      <c r="L168" s="76">
        <v>4.47</v>
      </c>
      <c r="M168" s="76">
        <v>4.6340000000000003</v>
      </c>
      <c r="N168" s="76">
        <v>4.6340000000000003</v>
      </c>
      <c r="O168" s="76">
        <v>4.819</v>
      </c>
      <c r="P168" s="76">
        <v>4.819</v>
      </c>
      <c r="Q168" s="76">
        <v>4.819</v>
      </c>
      <c r="R168" s="76">
        <v>4.819</v>
      </c>
      <c r="S168" s="76">
        <v>5.0430000000000001</v>
      </c>
      <c r="T168" s="76">
        <v>5.742</v>
      </c>
      <c r="U168" s="76">
        <v>7.173</v>
      </c>
      <c r="V168" s="76">
        <v>8.1809999999999992</v>
      </c>
    </row>
    <row r="169" spans="1:22">
      <c r="A169" s="326" t="s">
        <v>9</v>
      </c>
      <c r="B169" s="159">
        <v>353</v>
      </c>
      <c r="C169" s="76">
        <v>3.8319999999999999</v>
      </c>
      <c r="D169" s="76">
        <v>7.0190000000000001</v>
      </c>
      <c r="E169" s="76">
        <v>10.715999999999999</v>
      </c>
      <c r="F169" s="76">
        <v>18.012</v>
      </c>
      <c r="G169" s="76">
        <v>20.913</v>
      </c>
      <c r="H169" s="76">
        <v>23.117999999999999</v>
      </c>
      <c r="I169" s="76">
        <v>26.37</v>
      </c>
      <c r="J169" s="76">
        <v>32.573999999999998</v>
      </c>
      <c r="K169" s="76">
        <v>38.825000000000003</v>
      </c>
      <c r="L169" s="76">
        <v>40.494999999999997</v>
      </c>
      <c r="M169" s="76">
        <v>42.353999999999999</v>
      </c>
      <c r="N169" s="76">
        <v>42.353999999999999</v>
      </c>
      <c r="O169" s="76">
        <v>42.353999999999999</v>
      </c>
      <c r="P169" s="76">
        <v>42.353999999999999</v>
      </c>
      <c r="Q169" s="76">
        <v>43.581000000000003</v>
      </c>
      <c r="R169" s="76">
        <v>44.957000000000001</v>
      </c>
      <c r="S169" s="76">
        <v>46.444000000000003</v>
      </c>
      <c r="T169" s="76">
        <v>47.973999999999997</v>
      </c>
      <c r="U169" s="76">
        <v>51.082999999999998</v>
      </c>
      <c r="V169" s="76">
        <v>54.344000000000001</v>
      </c>
    </row>
    <row r="170" spans="1:22">
      <c r="A170" s="326" t="s">
        <v>79</v>
      </c>
      <c r="B170" s="159">
        <v>1371</v>
      </c>
      <c r="C170" s="76">
        <v>0.96399999999999997</v>
      </c>
      <c r="D170" s="76">
        <v>1.968</v>
      </c>
      <c r="E170" s="76">
        <v>2.93</v>
      </c>
      <c r="F170" s="76">
        <v>5.0410000000000004</v>
      </c>
      <c r="G170" s="76">
        <v>6.0380000000000003</v>
      </c>
      <c r="H170" s="76">
        <v>7.0910000000000002</v>
      </c>
      <c r="I170" s="76">
        <v>7.9109999999999996</v>
      </c>
      <c r="J170" s="76">
        <v>9.7460000000000004</v>
      </c>
      <c r="K170" s="76">
        <v>11.44</v>
      </c>
      <c r="L170" s="76">
        <v>11.927</v>
      </c>
      <c r="M170" s="76">
        <v>12.329000000000001</v>
      </c>
      <c r="N170" s="76">
        <v>12.329000000000001</v>
      </c>
      <c r="O170" s="76">
        <v>12.483000000000001</v>
      </c>
      <c r="P170" s="76">
        <v>12.483000000000001</v>
      </c>
      <c r="Q170" s="76">
        <v>12.651</v>
      </c>
      <c r="R170" s="76">
        <v>12.827</v>
      </c>
      <c r="S170" s="76">
        <v>13.205</v>
      </c>
      <c r="T170" s="76">
        <v>13.987</v>
      </c>
      <c r="U170" s="76">
        <v>15.59</v>
      </c>
      <c r="V170" s="76">
        <v>16.859000000000002</v>
      </c>
    </row>
    <row r="171" spans="1:22">
      <c r="A171" s="326">
        <v>30682</v>
      </c>
      <c r="B171" s="327"/>
    </row>
    <row r="172" spans="1:22">
      <c r="A172" s="328" t="s">
        <v>0</v>
      </c>
      <c r="B172" s="329" t="s">
        <v>78</v>
      </c>
      <c r="C172" s="329">
        <v>1</v>
      </c>
      <c r="D172" s="329">
        <v>2</v>
      </c>
      <c r="E172" s="329">
        <v>3</v>
      </c>
      <c r="F172" s="329">
        <v>4</v>
      </c>
      <c r="G172" s="329">
        <v>5</v>
      </c>
      <c r="H172" s="329">
        <v>6</v>
      </c>
      <c r="I172" s="329">
        <v>7</v>
      </c>
      <c r="J172" s="329">
        <v>8</v>
      </c>
      <c r="K172" s="329">
        <v>9</v>
      </c>
      <c r="L172" s="329">
        <v>10</v>
      </c>
      <c r="M172" s="329">
        <v>11</v>
      </c>
      <c r="N172" s="329">
        <v>12</v>
      </c>
      <c r="O172" s="329">
        <v>13</v>
      </c>
      <c r="P172" s="329">
        <v>14</v>
      </c>
      <c r="Q172" s="329">
        <v>15</v>
      </c>
      <c r="R172" s="329">
        <v>16</v>
      </c>
      <c r="S172" s="329">
        <v>17</v>
      </c>
      <c r="T172" s="329">
        <v>18</v>
      </c>
      <c r="U172" s="329">
        <v>19</v>
      </c>
      <c r="V172" s="329">
        <v>20</v>
      </c>
    </row>
    <row r="173" spans="1:22">
      <c r="A173" s="326" t="s">
        <v>1</v>
      </c>
      <c r="B173" s="159">
        <v>79</v>
      </c>
      <c r="C173" s="76">
        <v>0</v>
      </c>
      <c r="D173" s="76">
        <v>0</v>
      </c>
      <c r="E173" s="76">
        <v>0</v>
      </c>
      <c r="F173" s="76">
        <v>1.429</v>
      </c>
      <c r="G173" s="76">
        <v>1.429</v>
      </c>
      <c r="H173" s="76">
        <v>1.429</v>
      </c>
      <c r="I173" s="76">
        <v>3.0179999999999998</v>
      </c>
      <c r="J173" s="76">
        <v>3.0179999999999998</v>
      </c>
      <c r="K173" s="76">
        <v>3.0179999999999998</v>
      </c>
      <c r="L173" s="76">
        <v>3.0179999999999998</v>
      </c>
      <c r="M173" s="76">
        <v>3.0179999999999998</v>
      </c>
      <c r="N173" s="76">
        <v>3.0179999999999998</v>
      </c>
      <c r="O173" s="76">
        <v>3.0179999999999998</v>
      </c>
      <c r="P173" s="76">
        <v>3.0179999999999998</v>
      </c>
      <c r="Q173" s="76">
        <v>3.0179999999999998</v>
      </c>
      <c r="R173" s="76">
        <v>3.0179999999999998</v>
      </c>
      <c r="S173" s="76">
        <v>3.0179999999999998</v>
      </c>
      <c r="T173" s="76">
        <v>3.0179999999999998</v>
      </c>
      <c r="U173" s="76">
        <v>3.0179999999999998</v>
      </c>
      <c r="V173" s="76">
        <v>3.0179999999999998</v>
      </c>
    </row>
    <row r="174" spans="1:22">
      <c r="A174" s="326" t="s">
        <v>2</v>
      </c>
      <c r="B174" s="159">
        <v>239</v>
      </c>
      <c r="C174" s="76">
        <v>0</v>
      </c>
      <c r="D174" s="76">
        <v>0</v>
      </c>
      <c r="E174" s="76">
        <v>0</v>
      </c>
      <c r="F174" s="76">
        <v>0.89700000000000002</v>
      </c>
      <c r="G174" s="76">
        <v>1.83</v>
      </c>
      <c r="H174" s="76">
        <v>1.83</v>
      </c>
      <c r="I174" s="76">
        <v>1.83</v>
      </c>
      <c r="J174" s="76">
        <v>1.83</v>
      </c>
      <c r="K174" s="76">
        <v>1.83</v>
      </c>
      <c r="L174" s="76">
        <v>1.83</v>
      </c>
      <c r="M174" s="76">
        <v>1.83</v>
      </c>
      <c r="N174" s="76">
        <v>2.4929999999999999</v>
      </c>
      <c r="O174" s="76">
        <v>2.4929999999999999</v>
      </c>
      <c r="P174" s="76">
        <v>2.4929999999999999</v>
      </c>
      <c r="Q174" s="76">
        <v>2.4929999999999999</v>
      </c>
      <c r="R174" s="76">
        <v>2.4929999999999999</v>
      </c>
      <c r="S174" s="76">
        <v>2.4929999999999999</v>
      </c>
      <c r="T174" s="76">
        <v>3.306</v>
      </c>
      <c r="U174" s="76">
        <v>4.1689999999999996</v>
      </c>
      <c r="V174" s="76">
        <v>4.1689999999999996</v>
      </c>
    </row>
    <row r="175" spans="1:22">
      <c r="A175" s="326" t="s">
        <v>3</v>
      </c>
      <c r="B175" s="159">
        <v>450</v>
      </c>
      <c r="C175" s="76">
        <v>0</v>
      </c>
      <c r="D175" s="76">
        <v>0.23599999999999999</v>
      </c>
      <c r="E175" s="76">
        <v>0.47599999999999998</v>
      </c>
      <c r="F175" s="76">
        <v>0.73499999999999999</v>
      </c>
      <c r="G175" s="76">
        <v>1.534</v>
      </c>
      <c r="H175" s="76">
        <v>1.534</v>
      </c>
      <c r="I175" s="76">
        <v>2.673</v>
      </c>
      <c r="J175" s="76">
        <v>3.867</v>
      </c>
      <c r="K175" s="76">
        <v>4.4950000000000001</v>
      </c>
      <c r="L175" s="76">
        <v>4.4950000000000001</v>
      </c>
      <c r="M175" s="76">
        <v>4.4950000000000001</v>
      </c>
      <c r="N175" s="76">
        <v>4.4950000000000001</v>
      </c>
      <c r="O175" s="76">
        <v>4.4950000000000001</v>
      </c>
      <c r="P175" s="76">
        <v>4.4950000000000001</v>
      </c>
      <c r="Q175" s="76">
        <v>4.4950000000000001</v>
      </c>
      <c r="R175" s="76">
        <v>4.4950000000000001</v>
      </c>
      <c r="S175" s="76">
        <v>4.9950000000000001</v>
      </c>
      <c r="T175" s="76">
        <v>6.5190000000000001</v>
      </c>
      <c r="U175" s="76">
        <v>7.0510000000000002</v>
      </c>
      <c r="V175" s="76">
        <v>7.6740000000000004</v>
      </c>
    </row>
    <row r="176" spans="1:22">
      <c r="A176" s="326" t="s">
        <v>4</v>
      </c>
      <c r="B176" s="159">
        <v>279</v>
      </c>
      <c r="C176" s="76">
        <v>0.36499999999999999</v>
      </c>
      <c r="D176" s="76">
        <v>0.36499999999999999</v>
      </c>
      <c r="E176" s="76">
        <v>0.76500000000000001</v>
      </c>
      <c r="F176" s="76">
        <v>1.252</v>
      </c>
      <c r="G176" s="76">
        <v>1.75</v>
      </c>
      <c r="H176" s="76">
        <v>2.827</v>
      </c>
      <c r="I176" s="76">
        <v>3.9649999999999999</v>
      </c>
      <c r="J176" s="76">
        <v>5.15</v>
      </c>
      <c r="K176" s="76">
        <v>5.15</v>
      </c>
      <c r="L176" s="76">
        <v>5.8479999999999999</v>
      </c>
      <c r="M176" s="76">
        <v>5.8479999999999999</v>
      </c>
      <c r="N176" s="76">
        <v>5.8479999999999999</v>
      </c>
      <c r="O176" s="76">
        <v>5.8479999999999999</v>
      </c>
      <c r="P176" s="76">
        <v>5.8479999999999999</v>
      </c>
      <c r="Q176" s="76">
        <v>5.8479999999999999</v>
      </c>
      <c r="R176" s="76">
        <v>6.8940000000000001</v>
      </c>
      <c r="S176" s="76">
        <v>9.1379999999999999</v>
      </c>
      <c r="T176" s="76">
        <v>12.678000000000001</v>
      </c>
      <c r="U176" s="76">
        <v>15.173</v>
      </c>
      <c r="V176" s="76">
        <v>15.173</v>
      </c>
    </row>
    <row r="177" spans="1:22">
      <c r="A177" s="326" t="s">
        <v>5</v>
      </c>
      <c r="B177" s="159">
        <v>246</v>
      </c>
      <c r="C177" s="76">
        <v>0.83899999999999997</v>
      </c>
      <c r="D177" s="76">
        <v>3.5129999999999999</v>
      </c>
      <c r="E177" s="76">
        <v>11.698</v>
      </c>
      <c r="F177" s="76">
        <v>14.451000000000001</v>
      </c>
      <c r="G177" s="76">
        <v>18.067</v>
      </c>
      <c r="H177" s="76">
        <v>21.763999999999999</v>
      </c>
      <c r="I177" s="76">
        <v>27.353999999999999</v>
      </c>
      <c r="J177" s="76">
        <v>32.591000000000001</v>
      </c>
      <c r="K177" s="76">
        <v>33.645000000000003</v>
      </c>
      <c r="L177" s="76">
        <v>34.768999999999998</v>
      </c>
      <c r="M177" s="76">
        <v>34.768999999999998</v>
      </c>
      <c r="N177" s="76">
        <v>34.768999999999998</v>
      </c>
      <c r="O177" s="76">
        <v>34.768999999999998</v>
      </c>
      <c r="P177" s="76">
        <v>36.322000000000003</v>
      </c>
      <c r="Q177" s="76">
        <v>36.322000000000003</v>
      </c>
      <c r="R177" s="76">
        <v>38.252000000000002</v>
      </c>
      <c r="S177" s="76">
        <v>40.244</v>
      </c>
      <c r="T177" s="76">
        <v>42.235999999999997</v>
      </c>
      <c r="U177" s="76">
        <v>46.362000000000002</v>
      </c>
      <c r="V177" s="76">
        <v>46.362000000000002</v>
      </c>
    </row>
    <row r="178" spans="1:22">
      <c r="A178" s="326" t="s">
        <v>6</v>
      </c>
      <c r="B178" s="159">
        <v>120</v>
      </c>
      <c r="C178" s="76">
        <v>6.8170000000000002</v>
      </c>
      <c r="D178" s="76">
        <v>12.951000000000001</v>
      </c>
      <c r="E178" s="76">
        <v>20.34</v>
      </c>
      <c r="F178" s="76">
        <v>24.274000000000001</v>
      </c>
      <c r="G178" s="76">
        <v>27.384</v>
      </c>
      <c r="H178" s="76">
        <v>32.252000000000002</v>
      </c>
      <c r="I178" s="76">
        <v>42.631</v>
      </c>
      <c r="J178" s="76">
        <v>47.841000000000001</v>
      </c>
      <c r="K178" s="76">
        <v>50.109000000000002</v>
      </c>
      <c r="L178" s="76">
        <v>55.097999999999999</v>
      </c>
      <c r="M178" s="76">
        <v>55.097999999999999</v>
      </c>
      <c r="N178" s="76">
        <v>55.097999999999999</v>
      </c>
      <c r="O178" s="76">
        <v>55.097999999999999</v>
      </c>
      <c r="P178" s="76">
        <v>55.097999999999999</v>
      </c>
      <c r="Q178" s="76">
        <v>59.588000000000001</v>
      </c>
      <c r="R178" s="76">
        <v>59.588000000000001</v>
      </c>
      <c r="S178" s="76">
        <v>59.588000000000001</v>
      </c>
      <c r="T178" s="76">
        <v>59.588000000000001</v>
      </c>
      <c r="U178" s="76">
        <v>59.588000000000001</v>
      </c>
      <c r="V178" s="76">
        <v>59.588000000000001</v>
      </c>
    </row>
    <row r="179" spans="1:22">
      <c r="A179" s="326" t="s">
        <v>71</v>
      </c>
      <c r="B179" s="159">
        <v>2</v>
      </c>
      <c r="C179" s="76">
        <v>100</v>
      </c>
      <c r="D179" s="76">
        <v>100</v>
      </c>
      <c r="E179" s="76">
        <v>100</v>
      </c>
      <c r="F179" s="76">
        <v>100</v>
      </c>
      <c r="G179" s="76">
        <v>100</v>
      </c>
      <c r="H179" s="76">
        <v>100</v>
      </c>
      <c r="I179" s="76">
        <v>100</v>
      </c>
      <c r="J179" s="76">
        <v>100</v>
      </c>
      <c r="K179" s="76">
        <v>100</v>
      </c>
      <c r="L179" s="76">
        <v>100</v>
      </c>
      <c r="M179" s="76">
        <v>100</v>
      </c>
      <c r="N179" s="76">
        <v>100</v>
      </c>
      <c r="O179" s="76">
        <v>100</v>
      </c>
      <c r="P179" s="76">
        <v>100</v>
      </c>
      <c r="Q179" s="76">
        <v>100</v>
      </c>
      <c r="R179" s="76">
        <v>100</v>
      </c>
      <c r="S179" s="76">
        <v>100</v>
      </c>
      <c r="T179" s="76">
        <v>100</v>
      </c>
      <c r="U179" s="76">
        <v>100</v>
      </c>
      <c r="V179" s="76">
        <v>100</v>
      </c>
    </row>
    <row r="180" spans="1:22">
      <c r="A180" s="326" t="s">
        <v>8</v>
      </c>
      <c r="B180" s="159">
        <v>1047</v>
      </c>
      <c r="C180" s="76">
        <v>9.7000000000000003E-2</v>
      </c>
      <c r="D180" s="76">
        <v>0.19900000000000001</v>
      </c>
      <c r="E180" s="76">
        <v>0.40500000000000003</v>
      </c>
      <c r="F180" s="76">
        <v>0.96</v>
      </c>
      <c r="G180" s="76">
        <v>1.663</v>
      </c>
      <c r="H180" s="76">
        <v>1.9079999999999999</v>
      </c>
      <c r="I180" s="76">
        <v>2.7949999999999999</v>
      </c>
      <c r="J180" s="76">
        <v>3.59</v>
      </c>
      <c r="K180" s="76">
        <v>3.87</v>
      </c>
      <c r="L180" s="76">
        <v>4.0279999999999996</v>
      </c>
      <c r="M180" s="76">
        <v>4.0279999999999996</v>
      </c>
      <c r="N180" s="76">
        <v>4.2060000000000004</v>
      </c>
      <c r="O180" s="76">
        <v>4.2060000000000004</v>
      </c>
      <c r="P180" s="76">
        <v>4.2060000000000004</v>
      </c>
      <c r="Q180" s="76">
        <v>4.2060000000000004</v>
      </c>
      <c r="R180" s="76">
        <v>4.423</v>
      </c>
      <c r="S180" s="76">
        <v>5.0990000000000002</v>
      </c>
      <c r="T180" s="76">
        <v>6.7130000000000001</v>
      </c>
      <c r="U180" s="76">
        <v>7.69</v>
      </c>
      <c r="V180" s="76">
        <v>7.9580000000000002</v>
      </c>
    </row>
    <row r="181" spans="1:22">
      <c r="A181" s="326" t="s">
        <v>9</v>
      </c>
      <c r="B181" s="159">
        <v>368</v>
      </c>
      <c r="C181" s="76">
        <v>3.3610000000000002</v>
      </c>
      <c r="D181" s="76">
        <v>7.1790000000000003</v>
      </c>
      <c r="E181" s="76">
        <v>15.068</v>
      </c>
      <c r="F181" s="76">
        <v>18.207000000000001</v>
      </c>
      <c r="G181" s="76">
        <v>21.617000000000001</v>
      </c>
      <c r="H181" s="76">
        <v>25.766999999999999</v>
      </c>
      <c r="I181" s="76">
        <v>33.052999999999997</v>
      </c>
      <c r="J181" s="76">
        <v>38.284999999999997</v>
      </c>
      <c r="K181" s="76">
        <v>39.661999999999999</v>
      </c>
      <c r="L181" s="76">
        <v>41.953000000000003</v>
      </c>
      <c r="M181" s="76">
        <v>41.953000000000003</v>
      </c>
      <c r="N181" s="76">
        <v>41.953000000000003</v>
      </c>
      <c r="O181" s="76">
        <v>41.953000000000003</v>
      </c>
      <c r="P181" s="76">
        <v>43.008000000000003</v>
      </c>
      <c r="Q181" s="76">
        <v>44.247</v>
      </c>
      <c r="R181" s="76">
        <v>45.606999999999999</v>
      </c>
      <c r="S181" s="76">
        <v>47.039000000000001</v>
      </c>
      <c r="T181" s="76">
        <v>48.47</v>
      </c>
      <c r="U181" s="76">
        <v>51.500999999999998</v>
      </c>
      <c r="V181" s="76">
        <v>51.500999999999998</v>
      </c>
    </row>
    <row r="182" spans="1:22">
      <c r="A182" s="326" t="s">
        <v>79</v>
      </c>
      <c r="B182" s="159">
        <v>1415</v>
      </c>
      <c r="C182" s="76">
        <v>0.93400000000000005</v>
      </c>
      <c r="D182" s="76">
        <v>1.9790000000000001</v>
      </c>
      <c r="E182" s="76">
        <v>4.0990000000000002</v>
      </c>
      <c r="F182" s="76">
        <v>5.2720000000000002</v>
      </c>
      <c r="G182" s="76">
        <v>6.6079999999999997</v>
      </c>
      <c r="H182" s="76">
        <v>7.6630000000000003</v>
      </c>
      <c r="I182" s="76">
        <v>9.7840000000000007</v>
      </c>
      <c r="J182" s="76">
        <v>11.375999999999999</v>
      </c>
      <c r="K182" s="76">
        <v>11.835000000000001</v>
      </c>
      <c r="L182" s="76">
        <v>12.34</v>
      </c>
      <c r="M182" s="76">
        <v>12.34</v>
      </c>
      <c r="N182" s="76">
        <v>12.484999999999999</v>
      </c>
      <c r="O182" s="76">
        <v>12.484999999999999</v>
      </c>
      <c r="P182" s="76">
        <v>12.646000000000001</v>
      </c>
      <c r="Q182" s="76">
        <v>12.813000000000001</v>
      </c>
      <c r="R182" s="76">
        <v>13.175000000000001</v>
      </c>
      <c r="S182" s="76">
        <v>13.923999999999999</v>
      </c>
      <c r="T182" s="76">
        <v>15.457000000000001</v>
      </c>
      <c r="U182" s="76">
        <v>16.673999999999999</v>
      </c>
      <c r="V182" s="76">
        <v>16.896999999999998</v>
      </c>
    </row>
    <row r="183" spans="1:22">
      <c r="A183" s="326">
        <v>31048</v>
      </c>
      <c r="B183" s="327"/>
    </row>
    <row r="184" spans="1:22">
      <c r="A184" s="328" t="s">
        <v>0</v>
      </c>
      <c r="B184" s="329" t="s">
        <v>78</v>
      </c>
      <c r="C184" s="329">
        <v>1</v>
      </c>
      <c r="D184" s="329">
        <v>2</v>
      </c>
      <c r="E184" s="329">
        <v>3</v>
      </c>
      <c r="F184" s="329">
        <v>4</v>
      </c>
      <c r="G184" s="329">
        <v>5</v>
      </c>
      <c r="H184" s="329">
        <v>6</v>
      </c>
      <c r="I184" s="329">
        <v>7</v>
      </c>
      <c r="J184" s="329">
        <v>8</v>
      </c>
      <c r="K184" s="329">
        <v>9</v>
      </c>
      <c r="L184" s="329">
        <v>10</v>
      </c>
      <c r="M184" s="329">
        <v>11</v>
      </c>
      <c r="N184" s="329">
        <v>12</v>
      </c>
      <c r="O184" s="329">
        <v>13</v>
      </c>
      <c r="P184" s="329">
        <v>14</v>
      </c>
      <c r="Q184" s="329">
        <v>15</v>
      </c>
      <c r="R184" s="329">
        <v>16</v>
      </c>
      <c r="S184" s="329">
        <v>17</v>
      </c>
      <c r="T184" s="329">
        <v>18</v>
      </c>
      <c r="U184" s="329">
        <v>19</v>
      </c>
      <c r="V184" s="329">
        <v>20</v>
      </c>
    </row>
    <row r="185" spans="1:22">
      <c r="A185" s="326" t="s">
        <v>1</v>
      </c>
      <c r="B185" s="159">
        <v>81</v>
      </c>
      <c r="C185" s="76">
        <v>0</v>
      </c>
      <c r="D185" s="76">
        <v>0</v>
      </c>
      <c r="E185" s="76">
        <v>0</v>
      </c>
      <c r="F185" s="76">
        <v>0</v>
      </c>
      <c r="G185" s="76">
        <v>0</v>
      </c>
      <c r="H185" s="76">
        <v>1.587</v>
      </c>
      <c r="I185" s="76">
        <v>1.587</v>
      </c>
      <c r="J185" s="76">
        <v>1.587</v>
      </c>
      <c r="K185" s="76">
        <v>1.587</v>
      </c>
      <c r="L185" s="76">
        <v>1.587</v>
      </c>
      <c r="M185" s="76">
        <v>1.587</v>
      </c>
      <c r="N185" s="76">
        <v>1.587</v>
      </c>
      <c r="O185" s="76">
        <v>1.587</v>
      </c>
      <c r="P185" s="76">
        <v>1.587</v>
      </c>
      <c r="Q185" s="76">
        <v>1.587</v>
      </c>
      <c r="R185" s="76">
        <v>1.587</v>
      </c>
      <c r="S185" s="76">
        <v>1.587</v>
      </c>
      <c r="T185" s="76">
        <v>1.587</v>
      </c>
      <c r="U185" s="76">
        <v>1.587</v>
      </c>
      <c r="V185" s="76">
        <v>1.587</v>
      </c>
    </row>
    <row r="186" spans="1:22">
      <c r="A186" s="326" t="s">
        <v>2</v>
      </c>
      <c r="B186" s="159">
        <v>294</v>
      </c>
      <c r="C186" s="76">
        <v>0</v>
      </c>
      <c r="D186" s="76">
        <v>0</v>
      </c>
      <c r="E186" s="76">
        <v>0</v>
      </c>
      <c r="F186" s="76">
        <v>0.79900000000000004</v>
      </c>
      <c r="G186" s="76">
        <v>0.79900000000000004</v>
      </c>
      <c r="H186" s="76">
        <v>0.79900000000000004</v>
      </c>
      <c r="I186" s="76">
        <v>0.79900000000000004</v>
      </c>
      <c r="J186" s="76">
        <v>0.79900000000000004</v>
      </c>
      <c r="K186" s="76">
        <v>0.79900000000000004</v>
      </c>
      <c r="L186" s="76">
        <v>0.79900000000000004</v>
      </c>
      <c r="M186" s="76">
        <v>1.419</v>
      </c>
      <c r="N186" s="76">
        <v>1.419</v>
      </c>
      <c r="O186" s="76">
        <v>1.419</v>
      </c>
      <c r="P186" s="76">
        <v>1.419</v>
      </c>
      <c r="Q186" s="76">
        <v>1.419</v>
      </c>
      <c r="R186" s="76">
        <v>1.419</v>
      </c>
      <c r="S186" s="76">
        <v>2.1829999999999998</v>
      </c>
      <c r="T186" s="76">
        <v>2.9910000000000001</v>
      </c>
      <c r="U186" s="76">
        <v>2.9910000000000001</v>
      </c>
      <c r="V186" s="76">
        <v>2.9910000000000001</v>
      </c>
    </row>
    <row r="187" spans="1:22">
      <c r="A187" s="326" t="s">
        <v>3</v>
      </c>
      <c r="B187" s="159">
        <v>513</v>
      </c>
      <c r="C187" s="76">
        <v>0</v>
      </c>
      <c r="D187" s="76">
        <v>0.21</v>
      </c>
      <c r="E187" s="76">
        <v>1.3420000000000001</v>
      </c>
      <c r="F187" s="76">
        <v>2.3159999999999998</v>
      </c>
      <c r="G187" s="76">
        <v>2.3159999999999998</v>
      </c>
      <c r="H187" s="76">
        <v>3.6389999999999998</v>
      </c>
      <c r="I187" s="76">
        <v>4.7539999999999996</v>
      </c>
      <c r="J187" s="76">
        <v>5.05</v>
      </c>
      <c r="K187" s="76">
        <v>5.05</v>
      </c>
      <c r="L187" s="76">
        <v>5.05</v>
      </c>
      <c r="M187" s="76">
        <v>5.05</v>
      </c>
      <c r="N187" s="76">
        <v>5.05</v>
      </c>
      <c r="O187" s="76">
        <v>5.05</v>
      </c>
      <c r="P187" s="76">
        <v>5.05</v>
      </c>
      <c r="Q187" s="76">
        <v>5.05</v>
      </c>
      <c r="R187" s="76">
        <v>5.5229999999999997</v>
      </c>
      <c r="S187" s="76">
        <v>6.4870000000000001</v>
      </c>
      <c r="T187" s="76">
        <v>7.516</v>
      </c>
      <c r="U187" s="76">
        <v>8.0869999999999997</v>
      </c>
      <c r="V187" s="76">
        <v>8.0869999999999997</v>
      </c>
    </row>
    <row r="188" spans="1:22">
      <c r="A188" s="326" t="s">
        <v>4</v>
      </c>
      <c r="B188" s="159">
        <v>274</v>
      </c>
      <c r="C188" s="76">
        <v>0</v>
      </c>
      <c r="D188" s="76">
        <v>0.85499999999999998</v>
      </c>
      <c r="E188" s="76">
        <v>1.288</v>
      </c>
      <c r="F188" s="76">
        <v>1.796</v>
      </c>
      <c r="G188" s="76">
        <v>2.903</v>
      </c>
      <c r="H188" s="76">
        <v>3.468</v>
      </c>
      <c r="I188" s="76">
        <v>4.6749999999999998</v>
      </c>
      <c r="J188" s="76">
        <v>5.2939999999999996</v>
      </c>
      <c r="K188" s="76">
        <v>6.0170000000000003</v>
      </c>
      <c r="L188" s="76">
        <v>6.0170000000000003</v>
      </c>
      <c r="M188" s="76">
        <v>6.0170000000000003</v>
      </c>
      <c r="N188" s="76">
        <v>6.0170000000000003</v>
      </c>
      <c r="O188" s="76">
        <v>6.0170000000000003</v>
      </c>
      <c r="P188" s="76">
        <v>6.0170000000000003</v>
      </c>
      <c r="Q188" s="76">
        <v>8.3109999999999999</v>
      </c>
      <c r="R188" s="76">
        <v>10.858000000000001</v>
      </c>
      <c r="S188" s="76">
        <v>14.835000000000001</v>
      </c>
      <c r="T188" s="76">
        <v>16.254000000000001</v>
      </c>
      <c r="U188" s="76">
        <v>16.254000000000001</v>
      </c>
      <c r="V188" s="76">
        <v>16.254000000000001</v>
      </c>
    </row>
    <row r="189" spans="1:22">
      <c r="A189" s="326" t="s">
        <v>5</v>
      </c>
      <c r="B189" s="159">
        <v>291</v>
      </c>
      <c r="C189" s="76">
        <v>1.4139999999999999</v>
      </c>
      <c r="D189" s="76">
        <v>6.7469999999999999</v>
      </c>
      <c r="E189" s="76">
        <v>9.4969999999999999</v>
      </c>
      <c r="F189" s="76">
        <v>12.895</v>
      </c>
      <c r="G189" s="76">
        <v>18.593</v>
      </c>
      <c r="H189" s="76">
        <v>24.315000000000001</v>
      </c>
      <c r="I189" s="76">
        <v>29.890999999999998</v>
      </c>
      <c r="J189" s="76">
        <v>31.445</v>
      </c>
      <c r="K189" s="76">
        <v>32.280999999999999</v>
      </c>
      <c r="L189" s="76">
        <v>32.280999999999999</v>
      </c>
      <c r="M189" s="76">
        <v>33.338999999999999</v>
      </c>
      <c r="N189" s="76">
        <v>33.338999999999999</v>
      </c>
      <c r="O189" s="76">
        <v>34.508000000000003</v>
      </c>
      <c r="P189" s="76">
        <v>34.508000000000003</v>
      </c>
      <c r="Q189" s="76">
        <v>35.997</v>
      </c>
      <c r="R189" s="76">
        <v>37.637999999999998</v>
      </c>
      <c r="S189" s="76">
        <v>40.966000000000001</v>
      </c>
      <c r="T189" s="76">
        <v>44.338999999999999</v>
      </c>
      <c r="U189" s="76">
        <v>44.338999999999999</v>
      </c>
      <c r="V189" s="76">
        <v>44.338999999999999</v>
      </c>
    </row>
    <row r="190" spans="1:22">
      <c r="A190" s="326" t="s">
        <v>6</v>
      </c>
      <c r="B190" s="159">
        <v>149</v>
      </c>
      <c r="C190" s="76">
        <v>7.5730000000000004</v>
      </c>
      <c r="D190" s="76">
        <v>16.899000000000001</v>
      </c>
      <c r="E190" s="76">
        <v>23.027000000000001</v>
      </c>
      <c r="F190" s="76">
        <v>26.306999999999999</v>
      </c>
      <c r="G190" s="76">
        <v>30.446999999999999</v>
      </c>
      <c r="H190" s="76">
        <v>42.274000000000001</v>
      </c>
      <c r="I190" s="76">
        <v>47.024999999999999</v>
      </c>
      <c r="J190" s="76">
        <v>49.143999999999998</v>
      </c>
      <c r="K190" s="76">
        <v>54.497</v>
      </c>
      <c r="L190" s="76">
        <v>54.497</v>
      </c>
      <c r="M190" s="76">
        <v>54.497</v>
      </c>
      <c r="N190" s="76">
        <v>54.497</v>
      </c>
      <c r="O190" s="76">
        <v>54.497</v>
      </c>
      <c r="P190" s="76">
        <v>58.634</v>
      </c>
      <c r="Q190" s="76">
        <v>58.634</v>
      </c>
      <c r="R190" s="76">
        <v>58.634</v>
      </c>
      <c r="S190" s="76">
        <v>58.634</v>
      </c>
      <c r="T190" s="76">
        <v>58.634</v>
      </c>
      <c r="U190" s="76">
        <v>58.634</v>
      </c>
      <c r="V190" s="76">
        <v>58.634</v>
      </c>
    </row>
    <row r="191" spans="1:22">
      <c r="A191" s="326" t="s">
        <v>71</v>
      </c>
      <c r="B191" s="159">
        <v>5</v>
      </c>
      <c r="C191" s="76">
        <v>0</v>
      </c>
      <c r="D191" s="76">
        <v>0</v>
      </c>
      <c r="E191" s="76">
        <v>0</v>
      </c>
      <c r="F191" s="76">
        <v>33.332999999999998</v>
      </c>
      <c r="G191" s="76">
        <v>33.332999999999998</v>
      </c>
      <c r="H191" s="76">
        <v>33.332999999999998</v>
      </c>
      <c r="I191" s="76">
        <v>33.332999999999998</v>
      </c>
      <c r="J191" s="76">
        <v>33.332999999999998</v>
      </c>
      <c r="K191" s="76">
        <v>33.332999999999998</v>
      </c>
      <c r="L191" s="76">
        <v>33.332999999999998</v>
      </c>
      <c r="M191" s="76">
        <v>100</v>
      </c>
      <c r="N191" s="76">
        <v>100</v>
      </c>
      <c r="O191" s="76">
        <v>100</v>
      </c>
      <c r="P191" s="76">
        <v>100</v>
      </c>
      <c r="Q191" s="76">
        <v>100</v>
      </c>
      <c r="R191" s="76">
        <v>100</v>
      </c>
      <c r="S191" s="76">
        <v>100</v>
      </c>
      <c r="T191" s="76">
        <v>100</v>
      </c>
      <c r="U191" s="76">
        <v>100</v>
      </c>
      <c r="V191" s="76">
        <v>100</v>
      </c>
    </row>
    <row r="192" spans="1:22">
      <c r="A192" s="326" t="s">
        <v>8</v>
      </c>
      <c r="B192" s="159">
        <v>1162</v>
      </c>
      <c r="C192" s="76">
        <v>0</v>
      </c>
      <c r="D192" s="76">
        <v>0.28299999999999997</v>
      </c>
      <c r="E192" s="76">
        <v>0.88200000000000001</v>
      </c>
      <c r="F192" s="76">
        <v>1.6419999999999999</v>
      </c>
      <c r="G192" s="76">
        <v>1.873</v>
      </c>
      <c r="H192" s="76">
        <v>2.7010000000000001</v>
      </c>
      <c r="I192" s="76">
        <v>3.4489999999999998</v>
      </c>
      <c r="J192" s="76">
        <v>3.714</v>
      </c>
      <c r="K192" s="76">
        <v>3.863</v>
      </c>
      <c r="L192" s="76">
        <v>3.863</v>
      </c>
      <c r="M192" s="76">
        <v>4.0350000000000001</v>
      </c>
      <c r="N192" s="76">
        <v>4.0350000000000001</v>
      </c>
      <c r="O192" s="76">
        <v>4.0350000000000001</v>
      </c>
      <c r="P192" s="76">
        <v>4.0350000000000001</v>
      </c>
      <c r="Q192" s="76">
        <v>4.4530000000000003</v>
      </c>
      <c r="R192" s="76">
        <v>5.1120000000000001</v>
      </c>
      <c r="S192" s="76">
        <v>6.4589999999999996</v>
      </c>
      <c r="T192" s="76">
        <v>7.4109999999999996</v>
      </c>
      <c r="U192" s="76">
        <v>7.6710000000000003</v>
      </c>
      <c r="V192" s="76">
        <v>7.6710000000000003</v>
      </c>
    </row>
    <row r="193" spans="1:22">
      <c r="A193" s="326" t="s">
        <v>9</v>
      </c>
      <c r="B193" s="159">
        <v>445</v>
      </c>
      <c r="C193" s="76">
        <v>3.47</v>
      </c>
      <c r="D193" s="76">
        <v>10.119999999999999</v>
      </c>
      <c r="E193" s="76">
        <v>14.061</v>
      </c>
      <c r="F193" s="76">
        <v>17.687000000000001</v>
      </c>
      <c r="G193" s="76">
        <v>22.826000000000001</v>
      </c>
      <c r="H193" s="76">
        <v>30.443999999999999</v>
      </c>
      <c r="I193" s="76">
        <v>35.692999999999998</v>
      </c>
      <c r="J193" s="76">
        <v>37.347000000000001</v>
      </c>
      <c r="K193" s="76">
        <v>39.19</v>
      </c>
      <c r="L193" s="76">
        <v>39.19</v>
      </c>
      <c r="M193" s="76">
        <v>40.710999999999999</v>
      </c>
      <c r="N193" s="76">
        <v>40.710999999999999</v>
      </c>
      <c r="O193" s="76">
        <v>41.558</v>
      </c>
      <c r="P193" s="76">
        <v>42.531999999999996</v>
      </c>
      <c r="Q193" s="76">
        <v>43.637999999999998</v>
      </c>
      <c r="R193" s="76">
        <v>44.863</v>
      </c>
      <c r="S193" s="76">
        <v>47.341999999999999</v>
      </c>
      <c r="T193" s="76">
        <v>49.911000000000001</v>
      </c>
      <c r="U193" s="76">
        <v>49.911000000000001</v>
      </c>
      <c r="V193" s="76">
        <v>49.911000000000001</v>
      </c>
    </row>
    <row r="194" spans="1:22">
      <c r="A194" s="326" t="s">
        <v>79</v>
      </c>
      <c r="B194" s="159">
        <v>1607</v>
      </c>
      <c r="C194" s="76">
        <v>0.96</v>
      </c>
      <c r="D194" s="76">
        <v>2.9990000000000001</v>
      </c>
      <c r="E194" s="76">
        <v>4.4859999999999998</v>
      </c>
      <c r="F194" s="76">
        <v>5.9969999999999999</v>
      </c>
      <c r="G194" s="76">
        <v>7.3869999999999996</v>
      </c>
      <c r="H194" s="76">
        <v>9.6910000000000007</v>
      </c>
      <c r="I194" s="76">
        <v>11.348000000000001</v>
      </c>
      <c r="J194" s="76">
        <v>11.872999999999999</v>
      </c>
      <c r="K194" s="76">
        <v>12.34</v>
      </c>
      <c r="L194" s="76">
        <v>12.34</v>
      </c>
      <c r="M194" s="76">
        <v>12.753</v>
      </c>
      <c r="N194" s="76">
        <v>12.753</v>
      </c>
      <c r="O194" s="76">
        <v>12.904</v>
      </c>
      <c r="P194" s="76">
        <v>13.061999999999999</v>
      </c>
      <c r="Q194" s="76">
        <v>13.574999999999999</v>
      </c>
      <c r="R194" s="76">
        <v>14.291</v>
      </c>
      <c r="S194" s="76">
        <v>15.757999999999999</v>
      </c>
      <c r="T194" s="76">
        <v>16.920999999999999</v>
      </c>
      <c r="U194" s="76">
        <v>17.132999999999999</v>
      </c>
      <c r="V194" s="76">
        <v>17.132999999999999</v>
      </c>
    </row>
    <row r="195" spans="1:22">
      <c r="A195" s="326">
        <v>31413</v>
      </c>
      <c r="B195" s="327"/>
    </row>
    <row r="196" spans="1:22">
      <c r="A196" s="328" t="s">
        <v>0</v>
      </c>
      <c r="B196" s="329" t="s">
        <v>78</v>
      </c>
      <c r="C196" s="329">
        <v>1</v>
      </c>
      <c r="D196" s="329">
        <v>2</v>
      </c>
      <c r="E196" s="329">
        <v>3</v>
      </c>
      <c r="F196" s="329">
        <v>4</v>
      </c>
      <c r="G196" s="329">
        <v>5</v>
      </c>
      <c r="H196" s="329">
        <v>6</v>
      </c>
      <c r="I196" s="329">
        <v>7</v>
      </c>
      <c r="J196" s="329">
        <v>8</v>
      </c>
      <c r="K196" s="329">
        <v>9</v>
      </c>
      <c r="L196" s="329">
        <v>10</v>
      </c>
      <c r="M196" s="329">
        <v>11</v>
      </c>
      <c r="N196" s="329">
        <v>12</v>
      </c>
      <c r="O196" s="329">
        <v>13</v>
      </c>
      <c r="P196" s="329">
        <v>14</v>
      </c>
      <c r="Q196" s="329">
        <v>15</v>
      </c>
      <c r="R196" s="329">
        <v>16</v>
      </c>
      <c r="S196" s="329">
        <v>17</v>
      </c>
      <c r="T196" s="329">
        <v>18</v>
      </c>
      <c r="U196" s="329">
        <v>19</v>
      </c>
      <c r="V196" s="329">
        <v>20</v>
      </c>
    </row>
    <row r="197" spans="1:22">
      <c r="A197" s="326" t="s">
        <v>1</v>
      </c>
      <c r="B197" s="159">
        <v>108</v>
      </c>
      <c r="C197" s="76">
        <v>0</v>
      </c>
      <c r="D197" s="76">
        <v>0</v>
      </c>
      <c r="E197" s="76">
        <v>0</v>
      </c>
      <c r="F197" s="76">
        <v>0</v>
      </c>
      <c r="G197" s="76">
        <v>0</v>
      </c>
      <c r="H197" s="76">
        <v>0</v>
      </c>
      <c r="I197" s="76">
        <v>0</v>
      </c>
      <c r="J197" s="76">
        <v>0</v>
      </c>
      <c r="K197" s="76">
        <v>0</v>
      </c>
      <c r="L197" s="76">
        <v>0</v>
      </c>
      <c r="M197" s="76">
        <v>0</v>
      </c>
      <c r="N197" s="76">
        <v>0</v>
      </c>
      <c r="O197" s="76">
        <v>0</v>
      </c>
      <c r="P197" s="76">
        <v>0</v>
      </c>
      <c r="Q197" s="76">
        <v>0</v>
      </c>
      <c r="R197" s="76">
        <v>0</v>
      </c>
      <c r="S197" s="76">
        <v>0</v>
      </c>
      <c r="T197" s="76">
        <v>0</v>
      </c>
      <c r="U197" s="76">
        <v>0</v>
      </c>
      <c r="V197" s="76">
        <v>0</v>
      </c>
    </row>
    <row r="198" spans="1:22">
      <c r="A198" s="326" t="s">
        <v>2</v>
      </c>
      <c r="B198" s="159">
        <v>290</v>
      </c>
      <c r="C198" s="76">
        <v>0</v>
      </c>
      <c r="D198" s="76">
        <v>0</v>
      </c>
      <c r="E198" s="76">
        <v>0.80400000000000005</v>
      </c>
      <c r="F198" s="76">
        <v>0.80400000000000005</v>
      </c>
      <c r="G198" s="76">
        <v>1.2450000000000001</v>
      </c>
      <c r="H198" s="76">
        <v>1.2450000000000001</v>
      </c>
      <c r="I198" s="76">
        <v>1.2450000000000001</v>
      </c>
      <c r="J198" s="76">
        <v>1.2450000000000001</v>
      </c>
      <c r="K198" s="76">
        <v>1.2450000000000001</v>
      </c>
      <c r="L198" s="76">
        <v>1.8620000000000001</v>
      </c>
      <c r="M198" s="76">
        <v>1.8620000000000001</v>
      </c>
      <c r="N198" s="76">
        <v>1.8620000000000001</v>
      </c>
      <c r="O198" s="76">
        <v>1.8620000000000001</v>
      </c>
      <c r="P198" s="76">
        <v>1.8620000000000001</v>
      </c>
      <c r="Q198" s="76">
        <v>1.8620000000000001</v>
      </c>
      <c r="R198" s="76">
        <v>2.653</v>
      </c>
      <c r="S198" s="76">
        <v>3.4580000000000002</v>
      </c>
      <c r="T198" s="76">
        <v>3.4580000000000002</v>
      </c>
      <c r="U198" s="76">
        <v>3.4580000000000002</v>
      </c>
      <c r="V198" s="76">
        <v>3.4580000000000002</v>
      </c>
    </row>
    <row r="199" spans="1:22">
      <c r="A199" s="326" t="s">
        <v>3</v>
      </c>
      <c r="B199" s="159">
        <v>572</v>
      </c>
      <c r="C199" s="76">
        <v>0</v>
      </c>
      <c r="D199" s="76">
        <v>0.19600000000000001</v>
      </c>
      <c r="E199" s="76">
        <v>0.80700000000000005</v>
      </c>
      <c r="F199" s="76">
        <v>1.02</v>
      </c>
      <c r="G199" s="76">
        <v>1.6779999999999999</v>
      </c>
      <c r="H199" s="76">
        <v>2.3639999999999999</v>
      </c>
      <c r="I199" s="76">
        <v>2.3639999999999999</v>
      </c>
      <c r="J199" s="76">
        <v>2.3639999999999999</v>
      </c>
      <c r="K199" s="76">
        <v>2.3639999999999999</v>
      </c>
      <c r="L199" s="76">
        <v>2.3639999999999999</v>
      </c>
      <c r="M199" s="76">
        <v>2.3639999999999999</v>
      </c>
      <c r="N199" s="76">
        <v>2.3639999999999999</v>
      </c>
      <c r="O199" s="76">
        <v>2.3639999999999999</v>
      </c>
      <c r="P199" s="76">
        <v>2.3639999999999999</v>
      </c>
      <c r="Q199" s="76">
        <v>3.1659999999999999</v>
      </c>
      <c r="R199" s="76">
        <v>3.9910000000000001</v>
      </c>
      <c r="S199" s="76">
        <v>4.8840000000000003</v>
      </c>
      <c r="T199" s="76">
        <v>5.3769999999999998</v>
      </c>
      <c r="U199" s="76">
        <v>5.3769999999999998</v>
      </c>
      <c r="V199" s="76">
        <v>5.8890000000000002</v>
      </c>
    </row>
    <row r="200" spans="1:22">
      <c r="A200" s="326" t="s">
        <v>4</v>
      </c>
      <c r="B200" s="159">
        <v>306</v>
      </c>
      <c r="C200" s="76">
        <v>1.038</v>
      </c>
      <c r="D200" s="76">
        <v>1.395</v>
      </c>
      <c r="E200" s="76">
        <v>3.0960000000000001</v>
      </c>
      <c r="F200" s="76">
        <v>3.996</v>
      </c>
      <c r="G200" s="76">
        <v>5.8540000000000001</v>
      </c>
      <c r="H200" s="76">
        <v>7.335</v>
      </c>
      <c r="I200" s="76">
        <v>8.4</v>
      </c>
      <c r="J200" s="76">
        <v>9.0150000000000006</v>
      </c>
      <c r="K200" s="76">
        <v>9.0150000000000006</v>
      </c>
      <c r="L200" s="76">
        <v>9.0150000000000006</v>
      </c>
      <c r="M200" s="76">
        <v>9.0150000000000006</v>
      </c>
      <c r="N200" s="76">
        <v>9.0150000000000006</v>
      </c>
      <c r="O200" s="76">
        <v>9.0150000000000006</v>
      </c>
      <c r="P200" s="76">
        <v>10.872</v>
      </c>
      <c r="Q200" s="76">
        <v>11.920999999999999</v>
      </c>
      <c r="R200" s="76">
        <v>14.057</v>
      </c>
      <c r="S200" s="76">
        <v>16.247</v>
      </c>
      <c r="T200" s="76">
        <v>16.247</v>
      </c>
      <c r="U200" s="76">
        <v>16.247</v>
      </c>
      <c r="V200" s="76">
        <v>16.247</v>
      </c>
    </row>
    <row r="201" spans="1:22">
      <c r="A201" s="326" t="s">
        <v>5</v>
      </c>
      <c r="B201" s="159">
        <v>357</v>
      </c>
      <c r="C201" s="76">
        <v>2.0870000000000002</v>
      </c>
      <c r="D201" s="76">
        <v>6.117</v>
      </c>
      <c r="E201" s="76">
        <v>8.657</v>
      </c>
      <c r="F201" s="76">
        <v>13.821</v>
      </c>
      <c r="G201" s="76">
        <v>20.527000000000001</v>
      </c>
      <c r="H201" s="76">
        <v>26.928999999999998</v>
      </c>
      <c r="I201" s="76">
        <v>28.864000000000001</v>
      </c>
      <c r="J201" s="76">
        <v>30.943999999999999</v>
      </c>
      <c r="K201" s="76">
        <v>32.462000000000003</v>
      </c>
      <c r="L201" s="76">
        <v>33.326999999999998</v>
      </c>
      <c r="M201" s="76">
        <v>33.326999999999998</v>
      </c>
      <c r="N201" s="76">
        <v>35.305</v>
      </c>
      <c r="O201" s="76">
        <v>35.305</v>
      </c>
      <c r="P201" s="76">
        <v>35.305</v>
      </c>
      <c r="Q201" s="76">
        <v>38.064999999999998</v>
      </c>
      <c r="R201" s="76">
        <v>44.042999999999999</v>
      </c>
      <c r="S201" s="76">
        <v>45.555</v>
      </c>
      <c r="T201" s="76">
        <v>45.555</v>
      </c>
      <c r="U201" s="76">
        <v>45.555</v>
      </c>
      <c r="V201" s="76">
        <v>47.37</v>
      </c>
    </row>
    <row r="202" spans="1:22">
      <c r="A202" s="326" t="s">
        <v>6</v>
      </c>
      <c r="B202" s="159">
        <v>187</v>
      </c>
      <c r="C202" s="76">
        <v>11.568</v>
      </c>
      <c r="D202" s="76">
        <v>17.454999999999998</v>
      </c>
      <c r="E202" s="76">
        <v>21.265999999999998</v>
      </c>
      <c r="F202" s="76">
        <v>25.212</v>
      </c>
      <c r="G202" s="76">
        <v>34.912999999999997</v>
      </c>
      <c r="H202" s="76">
        <v>40.359000000000002</v>
      </c>
      <c r="I202" s="76">
        <v>46.097999999999999</v>
      </c>
      <c r="J202" s="76">
        <v>49.466999999999999</v>
      </c>
      <c r="K202" s="76">
        <v>49.466999999999999</v>
      </c>
      <c r="L202" s="76">
        <v>49.466999999999999</v>
      </c>
      <c r="M202" s="76">
        <v>49.466999999999999</v>
      </c>
      <c r="N202" s="76">
        <v>49.466999999999999</v>
      </c>
      <c r="O202" s="76">
        <v>52.44</v>
      </c>
      <c r="P202" s="76">
        <v>60.366</v>
      </c>
      <c r="Q202" s="76">
        <v>60.366</v>
      </c>
      <c r="R202" s="76">
        <v>60.366</v>
      </c>
      <c r="S202" s="76">
        <v>60.366</v>
      </c>
      <c r="T202" s="76">
        <v>60.366</v>
      </c>
      <c r="U202" s="76">
        <v>60.366</v>
      </c>
      <c r="V202" s="76">
        <v>60.366</v>
      </c>
    </row>
    <row r="203" spans="1:22">
      <c r="A203" s="326" t="s">
        <v>71</v>
      </c>
      <c r="B203" s="159">
        <v>10</v>
      </c>
      <c r="C203" s="76">
        <v>22.222000000000001</v>
      </c>
      <c r="D203" s="76">
        <v>22.222000000000001</v>
      </c>
      <c r="E203" s="76">
        <v>37.777999999999999</v>
      </c>
      <c r="F203" s="76">
        <v>37.777999999999999</v>
      </c>
      <c r="G203" s="76">
        <v>37.777999999999999</v>
      </c>
      <c r="H203" s="76">
        <v>37.777999999999999</v>
      </c>
      <c r="I203" s="76">
        <v>37.777999999999999</v>
      </c>
      <c r="J203" s="76">
        <v>37.777999999999999</v>
      </c>
      <c r="K203" s="76">
        <v>37.777999999999999</v>
      </c>
      <c r="L203" s="76">
        <v>100</v>
      </c>
      <c r="M203" s="76">
        <v>100</v>
      </c>
      <c r="N203" s="76">
        <v>100</v>
      </c>
      <c r="O203" s="76">
        <v>100</v>
      </c>
      <c r="P203" s="76">
        <v>100</v>
      </c>
      <c r="Q203" s="76">
        <v>100</v>
      </c>
      <c r="R203" s="76">
        <v>100</v>
      </c>
      <c r="S203" s="76">
        <v>100</v>
      </c>
      <c r="T203" s="76">
        <v>100</v>
      </c>
      <c r="U203" s="76">
        <v>100</v>
      </c>
      <c r="V203" s="76">
        <v>100</v>
      </c>
    </row>
    <row r="204" spans="1:22">
      <c r="A204" s="326" t="s">
        <v>8</v>
      </c>
      <c r="B204" s="159">
        <v>1276</v>
      </c>
      <c r="C204" s="76">
        <v>0.245</v>
      </c>
      <c r="D204" s="76">
        <v>0.41799999999999998</v>
      </c>
      <c r="E204" s="76">
        <v>1.256</v>
      </c>
      <c r="F204" s="76">
        <v>1.55</v>
      </c>
      <c r="G204" s="76">
        <v>2.359</v>
      </c>
      <c r="H204" s="76">
        <v>2.996</v>
      </c>
      <c r="I204" s="76">
        <v>3.2229999999999999</v>
      </c>
      <c r="J204" s="76">
        <v>3.35</v>
      </c>
      <c r="K204" s="76">
        <v>3.35</v>
      </c>
      <c r="L204" s="76">
        <v>3.4969999999999999</v>
      </c>
      <c r="M204" s="76">
        <v>3.4969999999999999</v>
      </c>
      <c r="N204" s="76">
        <v>3.4969999999999999</v>
      </c>
      <c r="O204" s="76">
        <v>3.4969999999999999</v>
      </c>
      <c r="P204" s="76">
        <v>3.855</v>
      </c>
      <c r="Q204" s="76">
        <v>4.43</v>
      </c>
      <c r="R204" s="76">
        <v>5.4059999999999997</v>
      </c>
      <c r="S204" s="76">
        <v>6.4349999999999996</v>
      </c>
      <c r="T204" s="76">
        <v>6.66</v>
      </c>
      <c r="U204" s="76">
        <v>6.66</v>
      </c>
      <c r="V204" s="76">
        <v>6.9020000000000001</v>
      </c>
    </row>
    <row r="205" spans="1:22">
      <c r="A205" s="326" t="s">
        <v>9</v>
      </c>
      <c r="B205" s="159">
        <v>554</v>
      </c>
      <c r="C205" s="76">
        <v>5.6660000000000004</v>
      </c>
      <c r="D205" s="76">
        <v>10.285</v>
      </c>
      <c r="E205" s="76">
        <v>13.477</v>
      </c>
      <c r="F205" s="76">
        <v>18.166</v>
      </c>
      <c r="G205" s="76">
        <v>25.74</v>
      </c>
      <c r="H205" s="76">
        <v>31.722999999999999</v>
      </c>
      <c r="I205" s="76">
        <v>34.744999999999997</v>
      </c>
      <c r="J205" s="76">
        <v>37.134999999999998</v>
      </c>
      <c r="K205" s="76">
        <v>38.21</v>
      </c>
      <c r="L205" s="76">
        <v>39.447000000000003</v>
      </c>
      <c r="M205" s="76">
        <v>39.447000000000003</v>
      </c>
      <c r="N205" s="76">
        <v>40.872999999999998</v>
      </c>
      <c r="O205" s="76">
        <v>41.671999999999997</v>
      </c>
      <c r="P205" s="76">
        <v>43.584000000000003</v>
      </c>
      <c r="Q205" s="76">
        <v>45.603000000000002</v>
      </c>
      <c r="R205" s="76">
        <v>49.915999999999997</v>
      </c>
      <c r="S205" s="76">
        <v>51.029000000000003</v>
      </c>
      <c r="T205" s="76">
        <v>51.029000000000003</v>
      </c>
      <c r="U205" s="76">
        <v>51.029000000000003</v>
      </c>
      <c r="V205" s="76">
        <v>52.317</v>
      </c>
    </row>
    <row r="206" spans="1:22">
      <c r="A206" s="326" t="s">
        <v>79</v>
      </c>
      <c r="B206" s="159">
        <v>1830</v>
      </c>
      <c r="C206" s="76">
        <v>1.875</v>
      </c>
      <c r="D206" s="76">
        <v>3.3570000000000002</v>
      </c>
      <c r="E206" s="76">
        <v>4.8730000000000002</v>
      </c>
      <c r="F206" s="76">
        <v>6.3090000000000002</v>
      </c>
      <c r="G206" s="76">
        <v>8.7530000000000001</v>
      </c>
      <c r="H206" s="76">
        <v>10.606</v>
      </c>
      <c r="I206" s="76">
        <v>11.411</v>
      </c>
      <c r="J206" s="76">
        <v>12.000999999999999</v>
      </c>
      <c r="K206" s="76">
        <v>12.212999999999999</v>
      </c>
      <c r="L206" s="76">
        <v>12.561999999999999</v>
      </c>
      <c r="M206" s="76">
        <v>12.561999999999999</v>
      </c>
      <c r="N206" s="76">
        <v>12.824999999999999</v>
      </c>
      <c r="O206" s="76">
        <v>12.961</v>
      </c>
      <c r="P206" s="76">
        <v>13.548999999999999</v>
      </c>
      <c r="Q206" s="76">
        <v>14.319000000000001</v>
      </c>
      <c r="R206" s="76">
        <v>15.750999999999999</v>
      </c>
      <c r="S206" s="76">
        <v>16.753</v>
      </c>
      <c r="T206" s="76">
        <v>16.934999999999999</v>
      </c>
      <c r="U206" s="76">
        <v>16.934999999999999</v>
      </c>
      <c r="V206" s="76">
        <v>17.327000000000002</v>
      </c>
    </row>
    <row r="207" spans="1:22">
      <c r="A207" s="326">
        <v>31778</v>
      </c>
      <c r="B207" s="327"/>
    </row>
    <row r="208" spans="1:22">
      <c r="A208" s="328" t="s">
        <v>0</v>
      </c>
      <c r="B208" s="329" t="s">
        <v>78</v>
      </c>
      <c r="C208" s="329">
        <v>1</v>
      </c>
      <c r="D208" s="329">
        <v>2</v>
      </c>
      <c r="E208" s="329">
        <v>3</v>
      </c>
      <c r="F208" s="329">
        <v>4</v>
      </c>
      <c r="G208" s="329">
        <v>5</v>
      </c>
      <c r="H208" s="329">
        <v>6</v>
      </c>
      <c r="I208" s="329">
        <v>7</v>
      </c>
      <c r="J208" s="329">
        <v>8</v>
      </c>
      <c r="K208" s="329">
        <v>9</v>
      </c>
      <c r="L208" s="329">
        <v>10</v>
      </c>
      <c r="M208" s="329">
        <v>11</v>
      </c>
      <c r="N208" s="329">
        <v>12</v>
      </c>
      <c r="O208" s="329">
        <v>13</v>
      </c>
      <c r="P208" s="329">
        <v>14</v>
      </c>
      <c r="Q208" s="329">
        <v>15</v>
      </c>
      <c r="R208" s="329">
        <v>16</v>
      </c>
      <c r="S208" s="329">
        <v>17</v>
      </c>
      <c r="T208" s="329">
        <v>18</v>
      </c>
      <c r="U208" s="329">
        <v>19</v>
      </c>
      <c r="V208" s="329">
        <v>20</v>
      </c>
    </row>
    <row r="209" spans="1:22">
      <c r="A209" s="326" t="s">
        <v>1</v>
      </c>
      <c r="B209" s="159">
        <v>131</v>
      </c>
      <c r="C209" s="76">
        <v>0</v>
      </c>
      <c r="D209" s="76">
        <v>0</v>
      </c>
      <c r="E209" s="76">
        <v>0</v>
      </c>
      <c r="F209" s="76">
        <v>0</v>
      </c>
      <c r="G209" s="76">
        <v>0</v>
      </c>
      <c r="H209" s="76">
        <v>0</v>
      </c>
      <c r="I209" s="76">
        <v>0</v>
      </c>
      <c r="J209" s="76">
        <v>0</v>
      </c>
      <c r="K209" s="76">
        <v>0</v>
      </c>
      <c r="L209" s="76">
        <v>0</v>
      </c>
      <c r="M209" s="76">
        <v>0</v>
      </c>
      <c r="N209" s="76">
        <v>0</v>
      </c>
      <c r="O209" s="76">
        <v>0</v>
      </c>
      <c r="P209" s="76">
        <v>0</v>
      </c>
      <c r="Q209" s="76">
        <v>0</v>
      </c>
      <c r="R209" s="76">
        <v>0</v>
      </c>
      <c r="S209" s="76">
        <v>0</v>
      </c>
      <c r="T209" s="76">
        <v>0</v>
      </c>
      <c r="U209" s="76">
        <v>0</v>
      </c>
      <c r="V209" s="76">
        <v>0</v>
      </c>
    </row>
    <row r="210" spans="1:22">
      <c r="A210" s="326" t="s">
        <v>2</v>
      </c>
      <c r="B210" s="159">
        <v>305</v>
      </c>
      <c r="C210" s="76">
        <v>0</v>
      </c>
      <c r="D210" s="76">
        <v>0</v>
      </c>
      <c r="E210" s="76">
        <v>0</v>
      </c>
      <c r="F210" s="76">
        <v>0.39800000000000002</v>
      </c>
      <c r="G210" s="76">
        <v>0.39800000000000002</v>
      </c>
      <c r="H210" s="76">
        <v>0.39800000000000002</v>
      </c>
      <c r="I210" s="76">
        <v>0.39800000000000002</v>
      </c>
      <c r="J210" s="76">
        <v>0.39800000000000002</v>
      </c>
      <c r="K210" s="76">
        <v>0.97399999999999998</v>
      </c>
      <c r="L210" s="76">
        <v>0.97399999999999998</v>
      </c>
      <c r="M210" s="76">
        <v>0.97399999999999998</v>
      </c>
      <c r="N210" s="76">
        <v>0.97399999999999998</v>
      </c>
      <c r="O210" s="76">
        <v>0.97399999999999998</v>
      </c>
      <c r="P210" s="76">
        <v>0.97399999999999998</v>
      </c>
      <c r="Q210" s="76">
        <v>1.6970000000000001</v>
      </c>
      <c r="R210" s="76">
        <v>2.4359999999999999</v>
      </c>
      <c r="S210" s="76">
        <v>2.4359999999999999</v>
      </c>
      <c r="T210" s="76">
        <v>2.4359999999999999</v>
      </c>
      <c r="U210" s="76">
        <v>2.4359999999999999</v>
      </c>
      <c r="V210" s="76">
        <v>2.4359999999999999</v>
      </c>
    </row>
    <row r="211" spans="1:22">
      <c r="A211" s="326" t="s">
        <v>3</v>
      </c>
      <c r="B211" s="159">
        <v>539</v>
      </c>
      <c r="C211" s="76">
        <v>0</v>
      </c>
      <c r="D211" s="76">
        <v>0</v>
      </c>
      <c r="E211" s="76">
        <v>0.20799999999999999</v>
      </c>
      <c r="F211" s="76">
        <v>1.0669999999999999</v>
      </c>
      <c r="G211" s="76">
        <v>1.7330000000000001</v>
      </c>
      <c r="H211" s="76">
        <v>1.7330000000000001</v>
      </c>
      <c r="I211" s="76">
        <v>1.7330000000000001</v>
      </c>
      <c r="J211" s="76">
        <v>1.7330000000000001</v>
      </c>
      <c r="K211" s="76">
        <v>1.7330000000000001</v>
      </c>
      <c r="L211" s="76">
        <v>1.7330000000000001</v>
      </c>
      <c r="M211" s="76">
        <v>1.7330000000000001</v>
      </c>
      <c r="N211" s="76">
        <v>1.7330000000000001</v>
      </c>
      <c r="O211" s="76">
        <v>1.7330000000000001</v>
      </c>
      <c r="P211" s="76">
        <v>2.1259999999999999</v>
      </c>
      <c r="Q211" s="76">
        <v>2.93</v>
      </c>
      <c r="R211" s="76">
        <v>3.7930000000000001</v>
      </c>
      <c r="S211" s="76">
        <v>4.7249999999999996</v>
      </c>
      <c r="T211" s="76">
        <v>4.7249999999999996</v>
      </c>
      <c r="U211" s="76">
        <v>5.2140000000000004</v>
      </c>
      <c r="V211" s="76">
        <v>5.2140000000000004</v>
      </c>
    </row>
    <row r="212" spans="1:22">
      <c r="A212" s="326" t="s">
        <v>4</v>
      </c>
      <c r="B212" s="159">
        <v>337</v>
      </c>
      <c r="C212" s="76">
        <v>0</v>
      </c>
      <c r="D212" s="76">
        <v>1.0660000000000001</v>
      </c>
      <c r="E212" s="76">
        <v>1.446</v>
      </c>
      <c r="F212" s="76">
        <v>3.3839999999999999</v>
      </c>
      <c r="G212" s="76">
        <v>5.0289999999999999</v>
      </c>
      <c r="H212" s="76">
        <v>6.3070000000000004</v>
      </c>
      <c r="I212" s="76">
        <v>7.2759999999999998</v>
      </c>
      <c r="J212" s="76">
        <v>7.2759999999999998</v>
      </c>
      <c r="K212" s="76">
        <v>7.2759999999999998</v>
      </c>
      <c r="L212" s="76">
        <v>7.2759999999999998</v>
      </c>
      <c r="M212" s="76">
        <v>7.9829999999999997</v>
      </c>
      <c r="N212" s="76">
        <v>7.9829999999999997</v>
      </c>
      <c r="O212" s="76">
        <v>9.5299999999999994</v>
      </c>
      <c r="P212" s="76">
        <v>10.4</v>
      </c>
      <c r="Q212" s="76">
        <v>12.166</v>
      </c>
      <c r="R212" s="76">
        <v>13.071</v>
      </c>
      <c r="S212" s="76">
        <v>13.071</v>
      </c>
      <c r="T212" s="76">
        <v>13.071</v>
      </c>
      <c r="U212" s="76">
        <v>13.071</v>
      </c>
      <c r="V212" s="76">
        <v>13.071</v>
      </c>
    </row>
    <row r="213" spans="1:22">
      <c r="A213" s="326" t="s">
        <v>5</v>
      </c>
      <c r="B213" s="159">
        <v>461</v>
      </c>
      <c r="C213" s="76">
        <v>2.78</v>
      </c>
      <c r="D213" s="76">
        <v>4.3040000000000003</v>
      </c>
      <c r="E213" s="76">
        <v>9.2119999999999997</v>
      </c>
      <c r="F213" s="76">
        <v>16.036000000000001</v>
      </c>
      <c r="G213" s="76">
        <v>23.042999999999999</v>
      </c>
      <c r="H213" s="76">
        <v>25.716000000000001</v>
      </c>
      <c r="I213" s="76">
        <v>28.773</v>
      </c>
      <c r="J213" s="76">
        <v>30.475000000000001</v>
      </c>
      <c r="K213" s="76">
        <v>31.782</v>
      </c>
      <c r="L213" s="76">
        <v>32.484999999999999</v>
      </c>
      <c r="M213" s="76">
        <v>34.094000000000001</v>
      </c>
      <c r="N213" s="76">
        <v>35.156999999999996</v>
      </c>
      <c r="O213" s="76">
        <v>35.156999999999996</v>
      </c>
      <c r="P213" s="76">
        <v>37.520000000000003</v>
      </c>
      <c r="Q213" s="76">
        <v>41.244999999999997</v>
      </c>
      <c r="R213" s="76">
        <v>45.165999999999997</v>
      </c>
      <c r="S213" s="76">
        <v>45.165999999999997</v>
      </c>
      <c r="T213" s="76">
        <v>45.165999999999997</v>
      </c>
      <c r="U213" s="76">
        <v>46.828000000000003</v>
      </c>
      <c r="V213" s="76">
        <v>46.828000000000003</v>
      </c>
    </row>
    <row r="214" spans="1:22">
      <c r="A214" s="326" t="s">
        <v>6</v>
      </c>
      <c r="B214" s="159">
        <v>270</v>
      </c>
      <c r="C214" s="76">
        <v>6.5250000000000004</v>
      </c>
      <c r="D214" s="76">
        <v>13.901</v>
      </c>
      <c r="E214" s="76">
        <v>20.719000000000001</v>
      </c>
      <c r="F214" s="76">
        <v>32.427999999999997</v>
      </c>
      <c r="G214" s="76">
        <v>40.298000000000002</v>
      </c>
      <c r="H214" s="76">
        <v>46.08</v>
      </c>
      <c r="I214" s="76">
        <v>48.115000000000002</v>
      </c>
      <c r="J214" s="76">
        <v>48.115000000000002</v>
      </c>
      <c r="K214" s="76">
        <v>48.115000000000002</v>
      </c>
      <c r="L214" s="76">
        <v>48.115000000000002</v>
      </c>
      <c r="M214" s="76">
        <v>48.115000000000002</v>
      </c>
      <c r="N214" s="76">
        <v>49.968000000000004</v>
      </c>
      <c r="O214" s="76">
        <v>54.515999999999998</v>
      </c>
      <c r="P214" s="76">
        <v>59.304000000000002</v>
      </c>
      <c r="Q214" s="76">
        <v>61.847000000000001</v>
      </c>
      <c r="R214" s="76">
        <v>67.525000000000006</v>
      </c>
      <c r="S214" s="76">
        <v>67.525000000000006</v>
      </c>
      <c r="T214" s="76">
        <v>67.525000000000006</v>
      </c>
      <c r="U214" s="76">
        <v>67.525000000000006</v>
      </c>
      <c r="V214" s="76">
        <v>67.525000000000006</v>
      </c>
    </row>
    <row r="215" spans="1:22">
      <c r="A215" s="326" t="s">
        <v>71</v>
      </c>
      <c r="B215" s="159">
        <v>10</v>
      </c>
      <c r="C215" s="76">
        <v>20</v>
      </c>
      <c r="D215" s="76">
        <v>30</v>
      </c>
      <c r="E215" s="76">
        <v>30</v>
      </c>
      <c r="F215" s="76">
        <v>30</v>
      </c>
      <c r="G215" s="76">
        <v>30</v>
      </c>
      <c r="H215" s="76">
        <v>30</v>
      </c>
      <c r="I215" s="76">
        <v>30</v>
      </c>
      <c r="J215" s="76">
        <v>30</v>
      </c>
      <c r="K215" s="76">
        <v>65</v>
      </c>
      <c r="L215" s="76">
        <v>65</v>
      </c>
      <c r="M215" s="76">
        <v>65</v>
      </c>
      <c r="N215" s="76">
        <v>65</v>
      </c>
      <c r="O215" s="76">
        <v>65</v>
      </c>
      <c r="P215" s="76">
        <v>65</v>
      </c>
      <c r="Q215" s="76">
        <v>65</v>
      </c>
      <c r="R215" s="76">
        <v>65</v>
      </c>
      <c r="S215" s="76">
        <v>65</v>
      </c>
      <c r="T215" s="76">
        <v>65</v>
      </c>
      <c r="U215" s="76">
        <v>65</v>
      </c>
      <c r="V215" s="76">
        <v>65</v>
      </c>
    </row>
    <row r="216" spans="1:22">
      <c r="A216" s="326" t="s">
        <v>8</v>
      </c>
      <c r="B216" s="159">
        <v>1312</v>
      </c>
      <c r="C216" s="76">
        <v>0</v>
      </c>
      <c r="D216" s="76">
        <v>0.255</v>
      </c>
      <c r="E216" s="76">
        <v>0.434</v>
      </c>
      <c r="F216" s="76">
        <v>1.351</v>
      </c>
      <c r="G216" s="76">
        <v>2.024</v>
      </c>
      <c r="H216" s="76">
        <v>2.3239999999999998</v>
      </c>
      <c r="I216" s="76">
        <v>2.5510000000000002</v>
      </c>
      <c r="J216" s="76">
        <v>2.5510000000000002</v>
      </c>
      <c r="K216" s="76">
        <v>2.6819999999999999</v>
      </c>
      <c r="L216" s="76">
        <v>2.6819999999999999</v>
      </c>
      <c r="M216" s="76">
        <v>2.831</v>
      </c>
      <c r="N216" s="76">
        <v>2.831</v>
      </c>
      <c r="O216" s="76">
        <v>3.1539999999999999</v>
      </c>
      <c r="P216" s="76">
        <v>3.5019999999999998</v>
      </c>
      <c r="Q216" s="76">
        <v>4.3840000000000003</v>
      </c>
      <c r="R216" s="76">
        <v>5.1230000000000002</v>
      </c>
      <c r="S216" s="76">
        <v>5.5179999999999998</v>
      </c>
      <c r="T216" s="76">
        <v>5.5179999999999998</v>
      </c>
      <c r="U216" s="76">
        <v>5.7329999999999997</v>
      </c>
      <c r="V216" s="76">
        <v>5.7329999999999997</v>
      </c>
    </row>
    <row r="217" spans="1:22">
      <c r="A217" s="326" t="s">
        <v>9</v>
      </c>
      <c r="B217" s="159">
        <v>741</v>
      </c>
      <c r="C217" s="76">
        <v>4.4169999999999998</v>
      </c>
      <c r="D217" s="76">
        <v>8.2629999999999999</v>
      </c>
      <c r="E217" s="76">
        <v>13.804</v>
      </c>
      <c r="F217" s="76">
        <v>22.253</v>
      </c>
      <c r="G217" s="76">
        <v>29.451000000000001</v>
      </c>
      <c r="H217" s="76">
        <v>33.125999999999998</v>
      </c>
      <c r="I217" s="76">
        <v>35.777999999999999</v>
      </c>
      <c r="J217" s="76">
        <v>36.896999999999998</v>
      </c>
      <c r="K217" s="76">
        <v>38.192</v>
      </c>
      <c r="L217" s="76">
        <v>38.664000000000001</v>
      </c>
      <c r="M217" s="76">
        <v>39.726999999999997</v>
      </c>
      <c r="N217" s="76">
        <v>41.037999999999997</v>
      </c>
      <c r="O217" s="76">
        <v>42.494</v>
      </c>
      <c r="P217" s="76">
        <v>45.606000000000002</v>
      </c>
      <c r="Q217" s="76">
        <v>48.831000000000003</v>
      </c>
      <c r="R217" s="76">
        <v>53.161999999999999</v>
      </c>
      <c r="S217" s="76">
        <v>53.161999999999999</v>
      </c>
      <c r="T217" s="76">
        <v>53.161999999999999</v>
      </c>
      <c r="U217" s="76">
        <v>54.277000000000001</v>
      </c>
      <c r="V217" s="76">
        <v>54.277000000000001</v>
      </c>
    </row>
    <row r="218" spans="1:22">
      <c r="A218" s="326" t="s">
        <v>79</v>
      </c>
      <c r="B218" s="159">
        <v>2053</v>
      </c>
      <c r="C218" s="76">
        <v>1.5880000000000001</v>
      </c>
      <c r="D218" s="76">
        <v>3.1080000000000001</v>
      </c>
      <c r="E218" s="76">
        <v>5.0570000000000004</v>
      </c>
      <c r="F218" s="76">
        <v>8.2899999999999991</v>
      </c>
      <c r="G218" s="76">
        <v>10.846</v>
      </c>
      <c r="H218" s="76">
        <v>12.03</v>
      </c>
      <c r="I218" s="76">
        <v>12.856999999999999</v>
      </c>
      <c r="J218" s="76">
        <v>13.129</v>
      </c>
      <c r="K218" s="76">
        <v>13.521000000000001</v>
      </c>
      <c r="L218" s="76">
        <v>13.625999999999999</v>
      </c>
      <c r="M218" s="76">
        <v>13.964</v>
      </c>
      <c r="N218" s="76">
        <v>14.206</v>
      </c>
      <c r="O218" s="76">
        <v>14.717000000000001</v>
      </c>
      <c r="P218" s="76">
        <v>15.521000000000001</v>
      </c>
      <c r="Q218" s="76">
        <v>16.763000000000002</v>
      </c>
      <c r="R218" s="76">
        <v>18.065999999999999</v>
      </c>
      <c r="S218" s="76">
        <v>18.376000000000001</v>
      </c>
      <c r="T218" s="76">
        <v>18.376000000000001</v>
      </c>
      <c r="U218" s="76">
        <v>18.715</v>
      </c>
      <c r="V218" s="76">
        <v>18.715</v>
      </c>
    </row>
    <row r="219" spans="1:22">
      <c r="A219" s="326">
        <v>32143</v>
      </c>
      <c r="B219" s="327"/>
    </row>
    <row r="220" spans="1:22">
      <c r="A220" s="328" t="s">
        <v>0</v>
      </c>
      <c r="B220" s="329" t="s">
        <v>78</v>
      </c>
      <c r="C220" s="329">
        <v>1</v>
      </c>
      <c r="D220" s="329">
        <v>2</v>
      </c>
      <c r="E220" s="329">
        <v>3</v>
      </c>
      <c r="F220" s="329">
        <v>4</v>
      </c>
      <c r="G220" s="329">
        <v>5</v>
      </c>
      <c r="H220" s="329">
        <v>6</v>
      </c>
      <c r="I220" s="329">
        <v>7</v>
      </c>
      <c r="J220" s="329">
        <v>8</v>
      </c>
      <c r="K220" s="329">
        <v>9</v>
      </c>
      <c r="L220" s="329">
        <v>10</v>
      </c>
      <c r="M220" s="329">
        <v>11</v>
      </c>
      <c r="N220" s="329">
        <v>12</v>
      </c>
      <c r="O220" s="329">
        <v>13</v>
      </c>
      <c r="P220" s="329">
        <v>14</v>
      </c>
      <c r="Q220" s="329">
        <v>15</v>
      </c>
      <c r="R220" s="329">
        <v>16</v>
      </c>
      <c r="S220" s="329">
        <v>17</v>
      </c>
      <c r="T220" s="329">
        <v>18</v>
      </c>
      <c r="U220" s="329">
        <v>19</v>
      </c>
      <c r="V220" s="329">
        <v>20</v>
      </c>
    </row>
    <row r="221" spans="1:22">
      <c r="A221" s="326" t="s">
        <v>1</v>
      </c>
      <c r="B221" s="159">
        <v>136</v>
      </c>
      <c r="C221" s="76">
        <v>0</v>
      </c>
      <c r="D221" s="76">
        <v>0</v>
      </c>
      <c r="E221" s="76">
        <v>0</v>
      </c>
      <c r="F221" s="76">
        <v>0</v>
      </c>
      <c r="G221" s="76">
        <v>0</v>
      </c>
      <c r="H221" s="76">
        <v>0</v>
      </c>
      <c r="I221" s="76">
        <v>0</v>
      </c>
      <c r="J221" s="76">
        <v>0</v>
      </c>
      <c r="K221" s="76">
        <v>0</v>
      </c>
      <c r="L221" s="76">
        <v>0</v>
      </c>
      <c r="M221" s="76">
        <v>0</v>
      </c>
      <c r="N221" s="76">
        <v>0</v>
      </c>
      <c r="O221" s="76">
        <v>0</v>
      </c>
      <c r="P221" s="76">
        <v>0</v>
      </c>
      <c r="Q221" s="76">
        <v>0</v>
      </c>
      <c r="R221" s="76">
        <v>0</v>
      </c>
      <c r="S221" s="76">
        <v>0</v>
      </c>
      <c r="T221" s="76">
        <v>0</v>
      </c>
      <c r="U221" s="76">
        <v>0</v>
      </c>
      <c r="V221" s="76">
        <v>0</v>
      </c>
    </row>
    <row r="222" spans="1:22">
      <c r="A222" s="326" t="s">
        <v>2</v>
      </c>
      <c r="B222" s="159">
        <v>328</v>
      </c>
      <c r="C222" s="76">
        <v>0</v>
      </c>
      <c r="D222" s="76">
        <v>0.67100000000000004</v>
      </c>
      <c r="E222" s="76">
        <v>1.016</v>
      </c>
      <c r="F222" s="76">
        <v>1.016</v>
      </c>
      <c r="G222" s="76">
        <v>1.016</v>
      </c>
      <c r="H222" s="76">
        <v>1.016</v>
      </c>
      <c r="I222" s="76">
        <v>1.016</v>
      </c>
      <c r="J222" s="76">
        <v>1.516</v>
      </c>
      <c r="K222" s="76">
        <v>1.516</v>
      </c>
      <c r="L222" s="76">
        <v>1.516</v>
      </c>
      <c r="M222" s="76">
        <v>1.516</v>
      </c>
      <c r="N222" s="76">
        <v>1.516</v>
      </c>
      <c r="O222" s="76">
        <v>2.1349999999999998</v>
      </c>
      <c r="P222" s="76">
        <v>2.7549999999999999</v>
      </c>
      <c r="Q222" s="76">
        <v>3.395</v>
      </c>
      <c r="R222" s="76">
        <v>3.395</v>
      </c>
      <c r="S222" s="76">
        <v>3.395</v>
      </c>
      <c r="T222" s="76">
        <v>3.395</v>
      </c>
      <c r="U222" s="76">
        <v>3.395</v>
      </c>
      <c r="V222" s="76">
        <v>3.395</v>
      </c>
    </row>
    <row r="223" spans="1:22">
      <c r="A223" s="326" t="s">
        <v>3</v>
      </c>
      <c r="B223" s="159">
        <v>538</v>
      </c>
      <c r="C223" s="76">
        <v>0</v>
      </c>
      <c r="D223" s="76">
        <v>0.19900000000000001</v>
      </c>
      <c r="E223" s="76">
        <v>0.81499999999999995</v>
      </c>
      <c r="F223" s="76">
        <v>1.448</v>
      </c>
      <c r="G223" s="76">
        <v>1.448</v>
      </c>
      <c r="H223" s="76">
        <v>1.448</v>
      </c>
      <c r="I223" s="76">
        <v>1.448</v>
      </c>
      <c r="J223" s="76">
        <v>1.448</v>
      </c>
      <c r="K223" s="76">
        <v>1.448</v>
      </c>
      <c r="L223" s="76">
        <v>1.448</v>
      </c>
      <c r="M223" s="76">
        <v>1.448</v>
      </c>
      <c r="N223" s="76">
        <v>1.448</v>
      </c>
      <c r="O223" s="76">
        <v>1.448</v>
      </c>
      <c r="P223" s="76">
        <v>2.2250000000000001</v>
      </c>
      <c r="Q223" s="76">
        <v>2.6309999999999998</v>
      </c>
      <c r="R223" s="76">
        <v>3.5310000000000001</v>
      </c>
      <c r="S223" s="76">
        <v>3.5310000000000001</v>
      </c>
      <c r="T223" s="76">
        <v>4.008</v>
      </c>
      <c r="U223" s="76">
        <v>4.008</v>
      </c>
      <c r="V223" s="76">
        <v>4.008</v>
      </c>
    </row>
    <row r="224" spans="1:22">
      <c r="A224" s="326" t="s">
        <v>4</v>
      </c>
      <c r="B224" s="159">
        <v>323</v>
      </c>
      <c r="C224" s="76">
        <v>0</v>
      </c>
      <c r="D224" s="76">
        <v>0.34499999999999997</v>
      </c>
      <c r="E224" s="76">
        <v>1.4079999999999999</v>
      </c>
      <c r="F224" s="76">
        <v>2.895</v>
      </c>
      <c r="G224" s="76">
        <v>4.048</v>
      </c>
      <c r="H224" s="76">
        <v>4.9279999999999999</v>
      </c>
      <c r="I224" s="76">
        <v>4.9279999999999999</v>
      </c>
      <c r="J224" s="76">
        <v>4.9279999999999999</v>
      </c>
      <c r="K224" s="76">
        <v>4.9279999999999999</v>
      </c>
      <c r="L224" s="76">
        <v>5.5620000000000003</v>
      </c>
      <c r="M224" s="76">
        <v>5.5620000000000003</v>
      </c>
      <c r="N224" s="76">
        <v>6.2569999999999997</v>
      </c>
      <c r="O224" s="76">
        <v>7.0309999999999997</v>
      </c>
      <c r="P224" s="76">
        <v>9.3960000000000008</v>
      </c>
      <c r="Q224" s="76">
        <v>11.028</v>
      </c>
      <c r="R224" s="76">
        <v>11.028</v>
      </c>
      <c r="S224" s="76">
        <v>11.028</v>
      </c>
      <c r="T224" s="76">
        <v>11.028</v>
      </c>
      <c r="U224" s="76">
        <v>11.028</v>
      </c>
      <c r="V224" s="76">
        <v>11.028</v>
      </c>
    </row>
    <row r="225" spans="1:22">
      <c r="A225" s="326" t="s">
        <v>5</v>
      </c>
      <c r="B225" s="159">
        <v>504</v>
      </c>
      <c r="C225" s="76">
        <v>1.25</v>
      </c>
      <c r="D225" s="76">
        <v>6.7030000000000003</v>
      </c>
      <c r="E225" s="76">
        <v>12.672000000000001</v>
      </c>
      <c r="F225" s="76">
        <v>20.221</v>
      </c>
      <c r="G225" s="76">
        <v>22.673999999999999</v>
      </c>
      <c r="H225" s="76">
        <v>25.927</v>
      </c>
      <c r="I225" s="76">
        <v>26.87</v>
      </c>
      <c r="J225" s="76">
        <v>27.946000000000002</v>
      </c>
      <c r="K225" s="76">
        <v>29.113</v>
      </c>
      <c r="L225" s="76">
        <v>30.425999999999998</v>
      </c>
      <c r="M225" s="76">
        <v>31.245000000000001</v>
      </c>
      <c r="N225" s="76">
        <v>32.094000000000001</v>
      </c>
      <c r="O225" s="76">
        <v>33.996000000000002</v>
      </c>
      <c r="P225" s="76">
        <v>39.134</v>
      </c>
      <c r="Q225" s="76">
        <v>43.545999999999999</v>
      </c>
      <c r="R225" s="76">
        <v>43.545999999999999</v>
      </c>
      <c r="S225" s="76">
        <v>43.545999999999999</v>
      </c>
      <c r="T225" s="76">
        <v>45.030999999999999</v>
      </c>
      <c r="U225" s="76">
        <v>45.030999999999999</v>
      </c>
      <c r="V225" s="76">
        <v>48.695999999999998</v>
      </c>
    </row>
    <row r="226" spans="1:22">
      <c r="A226" s="326" t="s">
        <v>6</v>
      </c>
      <c r="B226" s="159">
        <v>337</v>
      </c>
      <c r="C226" s="76">
        <v>6.165</v>
      </c>
      <c r="D226" s="76">
        <v>12.82</v>
      </c>
      <c r="E226" s="76">
        <v>25.827999999999999</v>
      </c>
      <c r="F226" s="76">
        <v>33.976999999999997</v>
      </c>
      <c r="G226" s="76">
        <v>39.470999999999997</v>
      </c>
      <c r="H226" s="76">
        <v>42.911999999999999</v>
      </c>
      <c r="I226" s="76">
        <v>44.579000000000001</v>
      </c>
      <c r="J226" s="76">
        <v>46.524000000000001</v>
      </c>
      <c r="K226" s="76">
        <v>46.524000000000001</v>
      </c>
      <c r="L226" s="76">
        <v>47.768000000000001</v>
      </c>
      <c r="M226" s="76">
        <v>53.786999999999999</v>
      </c>
      <c r="N226" s="76">
        <v>57.341999999999999</v>
      </c>
      <c r="O226" s="76">
        <v>61.404000000000003</v>
      </c>
      <c r="P226" s="76">
        <v>63.548999999999999</v>
      </c>
      <c r="Q226" s="76">
        <v>68.596000000000004</v>
      </c>
      <c r="R226" s="76">
        <v>68.596000000000004</v>
      </c>
      <c r="S226" s="76">
        <v>68.596000000000004</v>
      </c>
      <c r="T226" s="76">
        <v>68.596000000000004</v>
      </c>
      <c r="U226" s="76">
        <v>68.596000000000004</v>
      </c>
      <c r="V226" s="76">
        <v>68.596000000000004</v>
      </c>
    </row>
    <row r="227" spans="1:22">
      <c r="A227" s="326" t="s">
        <v>71</v>
      </c>
      <c r="B227" s="159">
        <v>11</v>
      </c>
      <c r="C227" s="76">
        <v>27.273</v>
      </c>
      <c r="D227" s="76">
        <v>27.273</v>
      </c>
      <c r="E227" s="76">
        <v>27.273</v>
      </c>
      <c r="F227" s="76">
        <v>27.273</v>
      </c>
      <c r="G227" s="76">
        <v>27.273</v>
      </c>
      <c r="H227" s="76">
        <v>27.273</v>
      </c>
      <c r="I227" s="76">
        <v>27.273</v>
      </c>
      <c r="J227" s="76">
        <v>63.636000000000003</v>
      </c>
      <c r="K227" s="76">
        <v>63.636000000000003</v>
      </c>
      <c r="L227" s="76">
        <v>63.636000000000003</v>
      </c>
      <c r="M227" s="76">
        <v>63.636000000000003</v>
      </c>
      <c r="N227" s="76">
        <v>63.636000000000003</v>
      </c>
      <c r="O227" s="76">
        <v>63.636000000000003</v>
      </c>
      <c r="P227" s="76">
        <v>63.636000000000003</v>
      </c>
      <c r="Q227" s="76">
        <v>63.636000000000003</v>
      </c>
      <c r="R227" s="76">
        <v>63.636000000000003</v>
      </c>
      <c r="S227" s="76">
        <v>63.636000000000003</v>
      </c>
      <c r="T227" s="76">
        <v>63.636000000000003</v>
      </c>
      <c r="U227" s="76">
        <v>63.636000000000003</v>
      </c>
      <c r="V227" s="76">
        <v>63.636000000000003</v>
      </c>
    </row>
    <row r="228" spans="1:22">
      <c r="A228" s="326" t="s">
        <v>8</v>
      </c>
      <c r="B228" s="159">
        <v>1325</v>
      </c>
      <c r="C228" s="76">
        <v>0</v>
      </c>
      <c r="D228" s="76">
        <v>0.32700000000000001</v>
      </c>
      <c r="E228" s="76">
        <v>0.91600000000000004</v>
      </c>
      <c r="F228" s="76">
        <v>1.5289999999999999</v>
      </c>
      <c r="G228" s="76">
        <v>1.804</v>
      </c>
      <c r="H228" s="76">
        <v>2.012</v>
      </c>
      <c r="I228" s="76">
        <v>2.012</v>
      </c>
      <c r="J228" s="76">
        <v>2.133</v>
      </c>
      <c r="K228" s="76">
        <v>2.133</v>
      </c>
      <c r="L228" s="76">
        <v>2.27</v>
      </c>
      <c r="M228" s="76">
        <v>2.27</v>
      </c>
      <c r="N228" s="76">
        <v>2.419</v>
      </c>
      <c r="O228" s="76">
        <v>2.74</v>
      </c>
      <c r="P228" s="76">
        <v>3.7210000000000001</v>
      </c>
      <c r="Q228" s="76">
        <v>4.4029999999999996</v>
      </c>
      <c r="R228" s="76">
        <v>4.7670000000000003</v>
      </c>
      <c r="S228" s="76">
        <v>4.7670000000000003</v>
      </c>
      <c r="T228" s="76">
        <v>4.9649999999999999</v>
      </c>
      <c r="U228" s="76">
        <v>4.9649999999999999</v>
      </c>
      <c r="V228" s="76">
        <v>4.9649999999999999</v>
      </c>
    </row>
    <row r="229" spans="1:22">
      <c r="A229" s="326" t="s">
        <v>9</v>
      </c>
      <c r="B229" s="159">
        <v>852</v>
      </c>
      <c r="C229" s="76">
        <v>3.5510000000000002</v>
      </c>
      <c r="D229" s="76">
        <v>9.42</v>
      </c>
      <c r="E229" s="76">
        <v>18.045999999999999</v>
      </c>
      <c r="F229" s="76">
        <v>25.738</v>
      </c>
      <c r="G229" s="76">
        <v>29.312999999999999</v>
      </c>
      <c r="H229" s="76">
        <v>32.582999999999998</v>
      </c>
      <c r="I229" s="76">
        <v>33.756999999999998</v>
      </c>
      <c r="J229" s="76">
        <v>35.445999999999998</v>
      </c>
      <c r="K229" s="76">
        <v>36.204000000000001</v>
      </c>
      <c r="L229" s="76">
        <v>37.466000000000001</v>
      </c>
      <c r="M229" s="76">
        <v>39.994999999999997</v>
      </c>
      <c r="N229" s="76">
        <v>41.704999999999998</v>
      </c>
      <c r="O229" s="76">
        <v>44.216000000000001</v>
      </c>
      <c r="P229" s="76">
        <v>48.256</v>
      </c>
      <c r="Q229" s="76">
        <v>52.668999999999997</v>
      </c>
      <c r="R229" s="76">
        <v>52.668999999999997</v>
      </c>
      <c r="S229" s="76">
        <v>52.668999999999997</v>
      </c>
      <c r="T229" s="76">
        <v>53.655000000000001</v>
      </c>
      <c r="U229" s="76">
        <v>53.655000000000001</v>
      </c>
      <c r="V229" s="76">
        <v>56.031999999999996</v>
      </c>
    </row>
    <row r="230" spans="1:22">
      <c r="A230" s="326" t="s">
        <v>79</v>
      </c>
      <c r="B230" s="159">
        <v>2177</v>
      </c>
      <c r="C230" s="76">
        <v>1.3720000000000001</v>
      </c>
      <c r="D230" s="76">
        <v>3.7360000000000002</v>
      </c>
      <c r="E230" s="76">
        <v>7.1379999999999999</v>
      </c>
      <c r="F230" s="76">
        <v>10.099</v>
      </c>
      <c r="G230" s="76">
        <v>11.379</v>
      </c>
      <c r="H230" s="76">
        <v>12.458</v>
      </c>
      <c r="I230" s="76">
        <v>12.776999999999999</v>
      </c>
      <c r="J230" s="76">
        <v>13.298999999999999</v>
      </c>
      <c r="K230" s="76">
        <v>13.487</v>
      </c>
      <c r="L230" s="76">
        <v>13.888999999999999</v>
      </c>
      <c r="M230" s="76">
        <v>14.429</v>
      </c>
      <c r="N230" s="76">
        <v>14.885999999999999</v>
      </c>
      <c r="O230" s="76">
        <v>15.609</v>
      </c>
      <c r="P230" s="76">
        <v>17.106000000000002</v>
      </c>
      <c r="Q230" s="76">
        <v>18.414000000000001</v>
      </c>
      <c r="R230" s="76">
        <v>18.693999999999999</v>
      </c>
      <c r="S230" s="76">
        <v>18.693999999999999</v>
      </c>
      <c r="T230" s="76">
        <v>19.001000000000001</v>
      </c>
      <c r="U230" s="76">
        <v>19.001000000000001</v>
      </c>
      <c r="V230" s="76">
        <v>19.338999999999999</v>
      </c>
    </row>
    <row r="231" spans="1:22">
      <c r="A231" s="326">
        <v>32509</v>
      </c>
      <c r="B231" s="327"/>
    </row>
    <row r="232" spans="1:22">
      <c r="A232" s="328" t="s">
        <v>0</v>
      </c>
      <c r="B232" s="329" t="s">
        <v>78</v>
      </c>
      <c r="C232" s="329">
        <v>1</v>
      </c>
      <c r="D232" s="329">
        <v>2</v>
      </c>
      <c r="E232" s="329">
        <v>3</v>
      </c>
      <c r="F232" s="329">
        <v>4</v>
      </c>
      <c r="G232" s="329">
        <v>5</v>
      </c>
      <c r="H232" s="329">
        <v>6</v>
      </c>
      <c r="I232" s="329">
        <v>7</v>
      </c>
      <c r="J232" s="329">
        <v>8</v>
      </c>
      <c r="K232" s="329">
        <v>9</v>
      </c>
      <c r="L232" s="329">
        <v>10</v>
      </c>
      <c r="M232" s="329">
        <v>11</v>
      </c>
      <c r="N232" s="329">
        <v>12</v>
      </c>
      <c r="O232" s="329">
        <v>13</v>
      </c>
      <c r="P232" s="329">
        <v>14</v>
      </c>
      <c r="Q232" s="329">
        <v>15</v>
      </c>
      <c r="R232" s="329">
        <v>16</v>
      </c>
      <c r="S232" s="329">
        <v>17</v>
      </c>
      <c r="T232" s="329">
        <v>18</v>
      </c>
      <c r="U232" s="329">
        <v>19</v>
      </c>
      <c r="V232" s="329">
        <v>20</v>
      </c>
    </row>
    <row r="233" spans="1:22">
      <c r="A233" s="326" t="s">
        <v>1</v>
      </c>
      <c r="B233" s="159">
        <v>148</v>
      </c>
      <c r="C233" s="76">
        <v>0</v>
      </c>
      <c r="D233" s="76">
        <v>0</v>
      </c>
      <c r="E233" s="76">
        <v>0</v>
      </c>
      <c r="F233" s="76">
        <v>0</v>
      </c>
      <c r="G233" s="76">
        <v>0</v>
      </c>
      <c r="H233" s="76">
        <v>0</v>
      </c>
      <c r="I233" s="76">
        <v>0</v>
      </c>
      <c r="J233" s="76">
        <v>0</v>
      </c>
      <c r="K233" s="76">
        <v>0</v>
      </c>
      <c r="L233" s="76">
        <v>0</v>
      </c>
      <c r="M233" s="76">
        <v>0</v>
      </c>
      <c r="N233" s="76">
        <v>0</v>
      </c>
      <c r="O233" s="76">
        <v>0</v>
      </c>
      <c r="P233" s="76">
        <v>0</v>
      </c>
      <c r="Q233" s="76">
        <v>0</v>
      </c>
      <c r="R233" s="76">
        <v>0</v>
      </c>
      <c r="S233" s="76">
        <v>0</v>
      </c>
      <c r="T233" s="76">
        <v>0</v>
      </c>
      <c r="U233" s="76">
        <v>0</v>
      </c>
      <c r="V233" s="76">
        <v>0</v>
      </c>
    </row>
    <row r="234" spans="1:22">
      <c r="A234" s="326" t="s">
        <v>2</v>
      </c>
      <c r="B234" s="159">
        <v>325</v>
      </c>
      <c r="C234" s="76">
        <v>0.64100000000000001</v>
      </c>
      <c r="D234" s="76">
        <v>0.64100000000000001</v>
      </c>
      <c r="E234" s="76">
        <v>0.64100000000000001</v>
      </c>
      <c r="F234" s="76">
        <v>0.64100000000000001</v>
      </c>
      <c r="G234" s="76">
        <v>0.64100000000000001</v>
      </c>
      <c r="H234" s="76">
        <v>0.64100000000000001</v>
      </c>
      <c r="I234" s="76">
        <v>1.1120000000000001</v>
      </c>
      <c r="J234" s="76">
        <v>1.1120000000000001</v>
      </c>
      <c r="K234" s="76">
        <v>1.1120000000000001</v>
      </c>
      <c r="L234" s="76">
        <v>1.1120000000000001</v>
      </c>
      <c r="M234" s="76">
        <v>1.1120000000000001</v>
      </c>
      <c r="N234" s="76">
        <v>1.7010000000000001</v>
      </c>
      <c r="O234" s="76">
        <v>2.2890000000000001</v>
      </c>
      <c r="P234" s="76">
        <v>2.9039999999999999</v>
      </c>
      <c r="Q234" s="76">
        <v>2.9039999999999999</v>
      </c>
      <c r="R234" s="76">
        <v>2.9039999999999999</v>
      </c>
      <c r="S234" s="76">
        <v>2.9039999999999999</v>
      </c>
      <c r="T234" s="76">
        <v>2.9039999999999999</v>
      </c>
      <c r="U234" s="76">
        <v>2.9039999999999999</v>
      </c>
      <c r="V234" s="76">
        <v>4.6529999999999996</v>
      </c>
    </row>
    <row r="235" spans="1:22">
      <c r="A235" s="326" t="s">
        <v>3</v>
      </c>
      <c r="B235" s="159">
        <v>556</v>
      </c>
      <c r="C235" s="76">
        <v>0</v>
      </c>
      <c r="D235" s="76">
        <v>0.188</v>
      </c>
      <c r="E235" s="76">
        <v>0.77800000000000002</v>
      </c>
      <c r="F235" s="76">
        <v>0.77800000000000002</v>
      </c>
      <c r="G235" s="76">
        <v>0.77800000000000002</v>
      </c>
      <c r="H235" s="76">
        <v>0.77800000000000002</v>
      </c>
      <c r="I235" s="76">
        <v>0.77800000000000002</v>
      </c>
      <c r="J235" s="76">
        <v>0.77800000000000002</v>
      </c>
      <c r="K235" s="76">
        <v>0.77800000000000002</v>
      </c>
      <c r="L235" s="76">
        <v>0.77800000000000002</v>
      </c>
      <c r="M235" s="76">
        <v>0.77800000000000002</v>
      </c>
      <c r="N235" s="76">
        <v>0.77800000000000002</v>
      </c>
      <c r="O235" s="76">
        <v>1.893</v>
      </c>
      <c r="P235" s="76">
        <v>2.2799999999999998</v>
      </c>
      <c r="Q235" s="76">
        <v>2.71</v>
      </c>
      <c r="R235" s="76">
        <v>2.71</v>
      </c>
      <c r="S235" s="76">
        <v>3.165</v>
      </c>
      <c r="T235" s="76">
        <v>3.165</v>
      </c>
      <c r="U235" s="76">
        <v>3.165</v>
      </c>
      <c r="V235" s="76">
        <v>4.7439999999999998</v>
      </c>
    </row>
    <row r="236" spans="1:22">
      <c r="A236" s="326" t="s">
        <v>4</v>
      </c>
      <c r="B236" s="159">
        <v>335</v>
      </c>
      <c r="C236" s="76">
        <v>0.627</v>
      </c>
      <c r="D236" s="76">
        <v>1.2689999999999999</v>
      </c>
      <c r="E236" s="76">
        <v>1.95</v>
      </c>
      <c r="F236" s="76">
        <v>2.9969999999999999</v>
      </c>
      <c r="G236" s="76">
        <v>2.9969999999999999</v>
      </c>
      <c r="H236" s="76">
        <v>2.9969999999999999</v>
      </c>
      <c r="I236" s="76">
        <v>2.9969999999999999</v>
      </c>
      <c r="J236" s="76">
        <v>2.9969999999999999</v>
      </c>
      <c r="K236" s="76">
        <v>3.5390000000000001</v>
      </c>
      <c r="L236" s="76">
        <v>3.5390000000000001</v>
      </c>
      <c r="M236" s="76">
        <v>4.1310000000000002</v>
      </c>
      <c r="N236" s="76">
        <v>4.7789999999999999</v>
      </c>
      <c r="O236" s="76">
        <v>7.4290000000000003</v>
      </c>
      <c r="P236" s="76">
        <v>9.4920000000000009</v>
      </c>
      <c r="Q236" s="76">
        <v>10.222</v>
      </c>
      <c r="R236" s="76">
        <v>10.222</v>
      </c>
      <c r="S236" s="76">
        <v>10.222</v>
      </c>
      <c r="T236" s="76">
        <v>10.222</v>
      </c>
      <c r="U236" s="76">
        <v>10.222</v>
      </c>
      <c r="V236" s="76">
        <v>11.148</v>
      </c>
    </row>
    <row r="237" spans="1:22">
      <c r="A237" s="326" t="s">
        <v>5</v>
      </c>
      <c r="B237" s="159">
        <v>480</v>
      </c>
      <c r="C237" s="76">
        <v>3.1309999999999998</v>
      </c>
      <c r="D237" s="76">
        <v>9.8580000000000005</v>
      </c>
      <c r="E237" s="76">
        <v>17.588000000000001</v>
      </c>
      <c r="F237" s="76">
        <v>20.059000000000001</v>
      </c>
      <c r="G237" s="76">
        <v>23.283999999999999</v>
      </c>
      <c r="H237" s="76">
        <v>23.693999999999999</v>
      </c>
      <c r="I237" s="76">
        <v>24.692</v>
      </c>
      <c r="J237" s="76">
        <v>26.359000000000002</v>
      </c>
      <c r="K237" s="76">
        <v>27.591999999999999</v>
      </c>
      <c r="L237" s="76">
        <v>29.928000000000001</v>
      </c>
      <c r="M237" s="76">
        <v>30.724</v>
      </c>
      <c r="N237" s="76">
        <v>33.451999999999998</v>
      </c>
      <c r="O237" s="76">
        <v>38.265999999999998</v>
      </c>
      <c r="P237" s="76">
        <v>44.631</v>
      </c>
      <c r="Q237" s="76">
        <v>44.631</v>
      </c>
      <c r="R237" s="76">
        <v>44.631</v>
      </c>
      <c r="S237" s="76">
        <v>44.631</v>
      </c>
      <c r="T237" s="76">
        <v>44.631</v>
      </c>
      <c r="U237" s="76">
        <v>48.265000000000001</v>
      </c>
      <c r="V237" s="76">
        <v>52.328000000000003</v>
      </c>
    </row>
    <row r="238" spans="1:22">
      <c r="A238" s="326" t="s">
        <v>6</v>
      </c>
      <c r="B238" s="159">
        <v>374</v>
      </c>
      <c r="C238" s="76">
        <v>8.5649999999999995</v>
      </c>
      <c r="D238" s="76">
        <v>23.300999999999998</v>
      </c>
      <c r="E238" s="76">
        <v>31.245999999999999</v>
      </c>
      <c r="F238" s="76">
        <v>37.316000000000003</v>
      </c>
      <c r="G238" s="76">
        <v>41.082000000000001</v>
      </c>
      <c r="H238" s="76">
        <v>43.695</v>
      </c>
      <c r="I238" s="76">
        <v>46.72</v>
      </c>
      <c r="J238" s="76">
        <v>46.72</v>
      </c>
      <c r="K238" s="76">
        <v>49.759</v>
      </c>
      <c r="L238" s="76">
        <v>53.320999999999998</v>
      </c>
      <c r="M238" s="76">
        <v>56.238</v>
      </c>
      <c r="N238" s="76">
        <v>59.674999999999997</v>
      </c>
      <c r="O238" s="76">
        <v>61.427999999999997</v>
      </c>
      <c r="P238" s="76">
        <v>65.608000000000004</v>
      </c>
      <c r="Q238" s="76">
        <v>65.608000000000004</v>
      </c>
      <c r="R238" s="76">
        <v>65.608000000000004</v>
      </c>
      <c r="S238" s="76">
        <v>68.253</v>
      </c>
      <c r="T238" s="76">
        <v>68.253</v>
      </c>
      <c r="U238" s="76">
        <v>68.253</v>
      </c>
      <c r="V238" s="76">
        <v>70.899000000000001</v>
      </c>
    </row>
    <row r="239" spans="1:22">
      <c r="A239" s="326" t="s">
        <v>71</v>
      </c>
      <c r="B239" s="159">
        <v>12</v>
      </c>
      <c r="C239" s="76">
        <v>25</v>
      </c>
      <c r="D239" s="76">
        <v>45.313000000000002</v>
      </c>
      <c r="E239" s="76">
        <v>56.25</v>
      </c>
      <c r="F239" s="76">
        <v>56.25</v>
      </c>
      <c r="G239" s="76">
        <v>56.25</v>
      </c>
      <c r="H239" s="76">
        <v>56.25</v>
      </c>
      <c r="I239" s="76">
        <v>56.25</v>
      </c>
      <c r="J239" s="76">
        <v>56.25</v>
      </c>
      <c r="K239" s="76">
        <v>56.25</v>
      </c>
      <c r="L239" s="76">
        <v>56.25</v>
      </c>
      <c r="M239" s="76">
        <v>56.25</v>
      </c>
      <c r="N239" s="76">
        <v>56.25</v>
      </c>
      <c r="O239" s="76">
        <v>56.25</v>
      </c>
      <c r="P239" s="76">
        <v>56.25</v>
      </c>
      <c r="Q239" s="76">
        <v>56.25</v>
      </c>
      <c r="R239" s="76">
        <v>56.25</v>
      </c>
      <c r="S239" s="76">
        <v>56.25</v>
      </c>
      <c r="T239" s="76">
        <v>56.25</v>
      </c>
      <c r="U239" s="76">
        <v>56.25</v>
      </c>
      <c r="V239" s="76">
        <v>56.25</v>
      </c>
    </row>
    <row r="240" spans="1:22">
      <c r="A240" s="326" t="s">
        <v>8</v>
      </c>
      <c r="B240" s="159">
        <v>1364</v>
      </c>
      <c r="C240" s="76">
        <v>0.30299999999999999</v>
      </c>
      <c r="D240" s="76">
        <v>0.53500000000000003</v>
      </c>
      <c r="E240" s="76">
        <v>0.94199999999999995</v>
      </c>
      <c r="F240" s="76">
        <v>1.198</v>
      </c>
      <c r="G240" s="76">
        <v>1.198</v>
      </c>
      <c r="H240" s="76">
        <v>1.198</v>
      </c>
      <c r="I240" s="76">
        <v>1.3109999999999999</v>
      </c>
      <c r="J240" s="76">
        <v>1.3109999999999999</v>
      </c>
      <c r="K240" s="76">
        <v>1.4370000000000001</v>
      </c>
      <c r="L240" s="76">
        <v>1.4370000000000001</v>
      </c>
      <c r="M240" s="76">
        <v>1.5740000000000001</v>
      </c>
      <c r="N240" s="76">
        <v>1.869</v>
      </c>
      <c r="O240" s="76">
        <v>3.0790000000000002</v>
      </c>
      <c r="P240" s="76">
        <v>3.8679999999999999</v>
      </c>
      <c r="Q240" s="76">
        <v>4.2050000000000001</v>
      </c>
      <c r="R240" s="76">
        <v>4.2050000000000001</v>
      </c>
      <c r="S240" s="76">
        <v>4.3890000000000002</v>
      </c>
      <c r="T240" s="76">
        <v>4.3890000000000002</v>
      </c>
      <c r="U240" s="76">
        <v>4.3890000000000002</v>
      </c>
      <c r="V240" s="76">
        <v>5.6660000000000004</v>
      </c>
    </row>
    <row r="241" spans="1:22">
      <c r="A241" s="326" t="s">
        <v>9</v>
      </c>
      <c r="B241" s="159">
        <v>866</v>
      </c>
      <c r="C241" s="76">
        <v>5.774</v>
      </c>
      <c r="D241" s="76">
        <v>16.015000000000001</v>
      </c>
      <c r="E241" s="76">
        <v>23.882999999999999</v>
      </c>
      <c r="F241" s="76">
        <v>27.786000000000001</v>
      </c>
      <c r="G241" s="76">
        <v>31.161000000000001</v>
      </c>
      <c r="H241" s="76">
        <v>32.424999999999997</v>
      </c>
      <c r="I241" s="76">
        <v>34.186999999999998</v>
      </c>
      <c r="J241" s="76">
        <v>35.204999999999998</v>
      </c>
      <c r="K241" s="76">
        <v>37.093000000000004</v>
      </c>
      <c r="L241" s="76">
        <v>39.856000000000002</v>
      </c>
      <c r="M241" s="76">
        <v>41.386000000000003</v>
      </c>
      <c r="N241" s="76">
        <v>44.238</v>
      </c>
      <c r="O241" s="76">
        <v>47.851999999999997</v>
      </c>
      <c r="P241" s="76">
        <v>53.241999999999997</v>
      </c>
      <c r="Q241" s="76">
        <v>53.241999999999997</v>
      </c>
      <c r="R241" s="76">
        <v>53.241999999999997</v>
      </c>
      <c r="S241" s="76">
        <v>54.124000000000002</v>
      </c>
      <c r="T241" s="76">
        <v>54.124000000000002</v>
      </c>
      <c r="U241" s="76">
        <v>56.234000000000002</v>
      </c>
      <c r="V241" s="76">
        <v>59.661000000000001</v>
      </c>
    </row>
    <row r="242" spans="1:22">
      <c r="A242" s="326" t="s">
        <v>79</v>
      </c>
      <c r="B242" s="159">
        <v>2230</v>
      </c>
      <c r="C242" s="76">
        <v>2.3860000000000001</v>
      </c>
      <c r="D242" s="76">
        <v>6.2670000000000003</v>
      </c>
      <c r="E242" s="76">
        <v>9.2690000000000001</v>
      </c>
      <c r="F242" s="76">
        <v>10.718999999999999</v>
      </c>
      <c r="G242" s="76">
        <v>11.76</v>
      </c>
      <c r="H242" s="76">
        <v>12.125</v>
      </c>
      <c r="I242" s="76">
        <v>12.683</v>
      </c>
      <c r="J242" s="76">
        <v>12.942</v>
      </c>
      <c r="K242" s="76">
        <v>13.494</v>
      </c>
      <c r="L242" s="76">
        <v>14.089</v>
      </c>
      <c r="M242" s="76">
        <v>14.505000000000001</v>
      </c>
      <c r="N242" s="76">
        <v>15.276999999999999</v>
      </c>
      <c r="O242" s="76">
        <v>16.876000000000001</v>
      </c>
      <c r="P242" s="76">
        <v>18.442</v>
      </c>
      <c r="Q242" s="76">
        <v>18.699000000000002</v>
      </c>
      <c r="R242" s="76">
        <v>18.699000000000002</v>
      </c>
      <c r="S242" s="76">
        <v>18.983000000000001</v>
      </c>
      <c r="T242" s="76">
        <v>18.983000000000001</v>
      </c>
      <c r="U242" s="76">
        <v>19.297000000000001</v>
      </c>
      <c r="V242" s="76">
        <v>20.785</v>
      </c>
    </row>
    <row r="243" spans="1:22">
      <c r="A243" s="326">
        <v>32874</v>
      </c>
      <c r="B243" s="327"/>
    </row>
    <row r="244" spans="1:22">
      <c r="A244" s="328" t="s">
        <v>0</v>
      </c>
      <c r="B244" s="329" t="s">
        <v>78</v>
      </c>
      <c r="C244" s="329">
        <v>1</v>
      </c>
      <c r="D244" s="329">
        <v>2</v>
      </c>
      <c r="E244" s="329">
        <v>3</v>
      </c>
      <c r="F244" s="329">
        <v>4</v>
      </c>
      <c r="G244" s="329">
        <v>5</v>
      </c>
      <c r="H244" s="329">
        <v>6</v>
      </c>
      <c r="I244" s="329">
        <v>7</v>
      </c>
      <c r="J244" s="329">
        <v>8</v>
      </c>
      <c r="K244" s="329">
        <v>9</v>
      </c>
      <c r="L244" s="329">
        <v>10</v>
      </c>
      <c r="M244" s="329">
        <v>11</v>
      </c>
      <c r="N244" s="329">
        <v>12</v>
      </c>
      <c r="O244" s="329">
        <v>13</v>
      </c>
      <c r="P244" s="329">
        <v>14</v>
      </c>
      <c r="Q244" s="329">
        <v>15</v>
      </c>
      <c r="R244" s="329">
        <v>16</v>
      </c>
      <c r="S244" s="329">
        <v>17</v>
      </c>
      <c r="T244" s="329">
        <v>18</v>
      </c>
      <c r="U244" s="329">
        <v>19</v>
      </c>
      <c r="V244" s="329">
        <v>20</v>
      </c>
    </row>
    <row r="245" spans="1:22">
      <c r="A245" s="326" t="s">
        <v>1</v>
      </c>
      <c r="B245" s="159">
        <v>168</v>
      </c>
      <c r="C245" s="76">
        <v>0</v>
      </c>
      <c r="D245" s="76">
        <v>0</v>
      </c>
      <c r="E245" s="76">
        <v>0</v>
      </c>
      <c r="F245" s="76">
        <v>0</v>
      </c>
      <c r="G245" s="76">
        <v>0</v>
      </c>
      <c r="H245" s="76">
        <v>0</v>
      </c>
      <c r="I245" s="76">
        <v>0</v>
      </c>
      <c r="J245" s="76">
        <v>0</v>
      </c>
      <c r="K245" s="76">
        <v>0</v>
      </c>
      <c r="L245" s="76">
        <v>0</v>
      </c>
      <c r="M245" s="76">
        <v>0</v>
      </c>
      <c r="N245" s="76">
        <v>0</v>
      </c>
      <c r="O245" s="76">
        <v>0</v>
      </c>
      <c r="P245" s="76">
        <v>0</v>
      </c>
      <c r="Q245" s="76">
        <v>0</v>
      </c>
      <c r="R245" s="76">
        <v>0</v>
      </c>
      <c r="S245" s="76">
        <v>0</v>
      </c>
      <c r="T245" s="76">
        <v>0</v>
      </c>
      <c r="U245" s="76">
        <v>0</v>
      </c>
      <c r="V245" s="76">
        <v>0</v>
      </c>
    </row>
    <row r="246" spans="1:22">
      <c r="A246" s="326" t="s">
        <v>2</v>
      </c>
      <c r="B246" s="159">
        <v>361</v>
      </c>
      <c r="C246" s="76">
        <v>0</v>
      </c>
      <c r="D246" s="76">
        <v>0</v>
      </c>
      <c r="E246" s="76">
        <v>0</v>
      </c>
      <c r="F246" s="76">
        <v>0</v>
      </c>
      <c r="G246" s="76">
        <v>0</v>
      </c>
      <c r="H246" s="76">
        <v>0.4</v>
      </c>
      <c r="I246" s="76">
        <v>0.4</v>
      </c>
      <c r="J246" s="76">
        <v>0.4</v>
      </c>
      <c r="K246" s="76">
        <v>0.4</v>
      </c>
      <c r="L246" s="76">
        <v>0.4</v>
      </c>
      <c r="M246" s="76">
        <v>0.4</v>
      </c>
      <c r="N246" s="76">
        <v>0.92100000000000004</v>
      </c>
      <c r="O246" s="76">
        <v>1.4690000000000001</v>
      </c>
      <c r="P246" s="76">
        <v>1.4690000000000001</v>
      </c>
      <c r="Q246" s="76">
        <v>1.4690000000000001</v>
      </c>
      <c r="R246" s="76">
        <v>1.4690000000000001</v>
      </c>
      <c r="S246" s="76">
        <v>1.4690000000000001</v>
      </c>
      <c r="T246" s="76">
        <v>1.4690000000000001</v>
      </c>
      <c r="U246" s="76">
        <v>3.0579999999999998</v>
      </c>
      <c r="V246" s="76">
        <v>5.4690000000000003</v>
      </c>
    </row>
    <row r="247" spans="1:22">
      <c r="A247" s="326" t="s">
        <v>3</v>
      </c>
      <c r="B247" s="159">
        <v>575</v>
      </c>
      <c r="C247" s="76">
        <v>0</v>
      </c>
      <c r="D247" s="76">
        <v>0</v>
      </c>
      <c r="E247" s="76">
        <v>0</v>
      </c>
      <c r="F247" s="76">
        <v>0</v>
      </c>
      <c r="G247" s="76">
        <v>0</v>
      </c>
      <c r="H247" s="76">
        <v>0</v>
      </c>
      <c r="I247" s="76">
        <v>0</v>
      </c>
      <c r="J247" s="76">
        <v>0</v>
      </c>
      <c r="K247" s="76">
        <v>0</v>
      </c>
      <c r="L247" s="76">
        <v>0</v>
      </c>
      <c r="M247" s="76">
        <v>0.34</v>
      </c>
      <c r="N247" s="76">
        <v>0.68100000000000005</v>
      </c>
      <c r="O247" s="76">
        <v>1.0389999999999999</v>
      </c>
      <c r="P247" s="76">
        <v>1.4350000000000001</v>
      </c>
      <c r="Q247" s="76">
        <v>1.4350000000000001</v>
      </c>
      <c r="R247" s="76">
        <v>1.8560000000000001</v>
      </c>
      <c r="S247" s="76">
        <v>1.8560000000000001</v>
      </c>
      <c r="T247" s="76">
        <v>1.8560000000000001</v>
      </c>
      <c r="U247" s="76">
        <v>3.335</v>
      </c>
      <c r="V247" s="76">
        <v>4.8540000000000001</v>
      </c>
    </row>
    <row r="248" spans="1:22">
      <c r="A248" s="326" t="s">
        <v>4</v>
      </c>
      <c r="B248" s="159">
        <v>329</v>
      </c>
      <c r="C248" s="76">
        <v>0</v>
      </c>
      <c r="D248" s="76">
        <v>0.65900000000000003</v>
      </c>
      <c r="E248" s="76">
        <v>0.65900000000000003</v>
      </c>
      <c r="F248" s="76">
        <v>0.65900000000000003</v>
      </c>
      <c r="G248" s="76">
        <v>0.65900000000000003</v>
      </c>
      <c r="H248" s="76">
        <v>0.65900000000000003</v>
      </c>
      <c r="I248" s="76">
        <v>0.65900000000000003</v>
      </c>
      <c r="J248" s="76">
        <v>0.65900000000000003</v>
      </c>
      <c r="K248" s="76">
        <v>0.65900000000000003</v>
      </c>
      <c r="L248" s="76">
        <v>1.2609999999999999</v>
      </c>
      <c r="M248" s="76">
        <v>1.919</v>
      </c>
      <c r="N248" s="76">
        <v>5.2889999999999997</v>
      </c>
      <c r="O248" s="76">
        <v>8.09</v>
      </c>
      <c r="P248" s="76">
        <v>8.8309999999999995</v>
      </c>
      <c r="Q248" s="76">
        <v>8.8309999999999995</v>
      </c>
      <c r="R248" s="76">
        <v>8.8309999999999995</v>
      </c>
      <c r="S248" s="76">
        <v>8.8309999999999995</v>
      </c>
      <c r="T248" s="76">
        <v>8.8309999999999995</v>
      </c>
      <c r="U248" s="76">
        <v>9.8330000000000002</v>
      </c>
      <c r="V248" s="76">
        <v>12.839</v>
      </c>
    </row>
    <row r="249" spans="1:22">
      <c r="A249" s="326" t="s">
        <v>5</v>
      </c>
      <c r="B249" s="159">
        <v>466</v>
      </c>
      <c r="C249" s="76">
        <v>3.4430000000000001</v>
      </c>
      <c r="D249" s="76">
        <v>11.792999999999999</v>
      </c>
      <c r="E249" s="76">
        <v>14.398999999999999</v>
      </c>
      <c r="F249" s="76">
        <v>17.395</v>
      </c>
      <c r="G249" s="76">
        <v>18.207000000000001</v>
      </c>
      <c r="H249" s="76">
        <v>19.577000000000002</v>
      </c>
      <c r="I249" s="76">
        <v>20.594999999999999</v>
      </c>
      <c r="J249" s="76">
        <v>21.687000000000001</v>
      </c>
      <c r="K249" s="76">
        <v>23.748000000000001</v>
      </c>
      <c r="L249" s="76">
        <v>24.440999999999999</v>
      </c>
      <c r="M249" s="76">
        <v>26.757999999999999</v>
      </c>
      <c r="N249" s="76">
        <v>32.601999999999997</v>
      </c>
      <c r="O249" s="76">
        <v>37.097000000000001</v>
      </c>
      <c r="P249" s="76">
        <v>37.097000000000001</v>
      </c>
      <c r="Q249" s="76">
        <v>37.097000000000001</v>
      </c>
      <c r="R249" s="76">
        <v>37.097000000000001</v>
      </c>
      <c r="S249" s="76">
        <v>37.097000000000001</v>
      </c>
      <c r="T249" s="76">
        <v>39.924999999999997</v>
      </c>
      <c r="U249" s="76">
        <v>44.509</v>
      </c>
      <c r="V249" s="76">
        <v>44.509</v>
      </c>
    </row>
    <row r="250" spans="1:22">
      <c r="A250" s="326" t="s">
        <v>6</v>
      </c>
      <c r="B250" s="159">
        <v>386</v>
      </c>
      <c r="C250" s="76">
        <v>15.94</v>
      </c>
      <c r="D250" s="76">
        <v>24.981000000000002</v>
      </c>
      <c r="E250" s="76">
        <v>32.444000000000003</v>
      </c>
      <c r="F250" s="76">
        <v>36.088000000000001</v>
      </c>
      <c r="G250" s="76">
        <v>38.253</v>
      </c>
      <c r="H250" s="76">
        <v>40.862000000000002</v>
      </c>
      <c r="I250" s="76">
        <v>41.671999999999997</v>
      </c>
      <c r="J250" s="76">
        <v>45.487000000000002</v>
      </c>
      <c r="K250" s="76">
        <v>48.850999999999999</v>
      </c>
      <c r="L250" s="76">
        <v>51.655000000000001</v>
      </c>
      <c r="M250" s="76">
        <v>56.848999999999997</v>
      </c>
      <c r="N250" s="76">
        <v>58.646999999999998</v>
      </c>
      <c r="O250" s="76">
        <v>64.971000000000004</v>
      </c>
      <c r="P250" s="76">
        <v>64.971000000000004</v>
      </c>
      <c r="Q250" s="76">
        <v>64.971000000000004</v>
      </c>
      <c r="R250" s="76">
        <v>67.891000000000005</v>
      </c>
      <c r="S250" s="76">
        <v>67.891000000000005</v>
      </c>
      <c r="T250" s="76">
        <v>67.891000000000005</v>
      </c>
      <c r="U250" s="76">
        <v>70.81</v>
      </c>
      <c r="V250" s="76">
        <v>77.013000000000005</v>
      </c>
    </row>
    <row r="251" spans="1:22">
      <c r="A251" s="326" t="s">
        <v>71</v>
      </c>
      <c r="B251" s="159">
        <v>21</v>
      </c>
      <c r="C251" s="76">
        <v>61.110999999999997</v>
      </c>
      <c r="D251" s="76">
        <v>72.221999999999994</v>
      </c>
      <c r="E251" s="76">
        <v>72.221999999999994</v>
      </c>
      <c r="F251" s="76">
        <v>72.221999999999994</v>
      </c>
      <c r="G251" s="76">
        <v>72.221999999999994</v>
      </c>
      <c r="H251" s="76">
        <v>72.221999999999994</v>
      </c>
      <c r="I251" s="76">
        <v>72.221999999999994</v>
      </c>
      <c r="J251" s="76">
        <v>72.221999999999994</v>
      </c>
      <c r="K251" s="76">
        <v>72.221999999999994</v>
      </c>
      <c r="L251" s="76">
        <v>100</v>
      </c>
      <c r="M251" s="76">
        <v>100</v>
      </c>
      <c r="N251" s="76">
        <v>100</v>
      </c>
      <c r="O251" s="76">
        <v>100</v>
      </c>
      <c r="P251" s="76">
        <v>100</v>
      </c>
      <c r="Q251" s="76">
        <v>100</v>
      </c>
      <c r="R251" s="76">
        <v>100</v>
      </c>
      <c r="S251" s="76">
        <v>100</v>
      </c>
      <c r="T251" s="76">
        <v>100</v>
      </c>
      <c r="U251" s="76">
        <v>100</v>
      </c>
      <c r="V251" s="76">
        <v>100</v>
      </c>
    </row>
    <row r="252" spans="1:22">
      <c r="A252" s="326" t="s">
        <v>8</v>
      </c>
      <c r="B252" s="159">
        <v>1433</v>
      </c>
      <c r="C252" s="76">
        <v>0</v>
      </c>
      <c r="D252" s="76">
        <v>0.15</v>
      </c>
      <c r="E252" s="76">
        <v>0.15</v>
      </c>
      <c r="F252" s="76">
        <v>0.15</v>
      </c>
      <c r="G252" s="76">
        <v>0.15</v>
      </c>
      <c r="H252" s="76">
        <v>0.252</v>
      </c>
      <c r="I252" s="76">
        <v>0.252</v>
      </c>
      <c r="J252" s="76">
        <v>0.252</v>
      </c>
      <c r="K252" s="76">
        <v>0.252</v>
      </c>
      <c r="L252" s="76">
        <v>0.379</v>
      </c>
      <c r="M252" s="76">
        <v>0.65300000000000002</v>
      </c>
      <c r="N252" s="76">
        <v>1.635</v>
      </c>
      <c r="O252" s="76">
        <v>2.5129999999999999</v>
      </c>
      <c r="P252" s="76">
        <v>2.8260000000000001</v>
      </c>
      <c r="Q252" s="76">
        <v>2.8260000000000001</v>
      </c>
      <c r="R252" s="76">
        <v>2.9980000000000002</v>
      </c>
      <c r="S252" s="76">
        <v>2.9980000000000002</v>
      </c>
      <c r="T252" s="76">
        <v>2.9980000000000002</v>
      </c>
      <c r="U252" s="76">
        <v>4.2089999999999996</v>
      </c>
      <c r="V252" s="76">
        <v>6.0549999999999997</v>
      </c>
    </row>
    <row r="253" spans="1:22">
      <c r="A253" s="326" t="s">
        <v>9</v>
      </c>
      <c r="B253" s="159">
        <v>873</v>
      </c>
      <c r="C253" s="76">
        <v>10.255000000000001</v>
      </c>
      <c r="D253" s="76">
        <v>18.986000000000001</v>
      </c>
      <c r="E253" s="76">
        <v>23.594999999999999</v>
      </c>
      <c r="F253" s="76">
        <v>26.765000000000001</v>
      </c>
      <c r="G253" s="76">
        <v>28.117999999999999</v>
      </c>
      <c r="H253" s="76">
        <v>29.940999999999999</v>
      </c>
      <c r="I253" s="76">
        <v>30.85</v>
      </c>
      <c r="J253" s="76">
        <v>32.865000000000002</v>
      </c>
      <c r="K253" s="76">
        <v>35.326999999999998</v>
      </c>
      <c r="L253" s="76">
        <v>37.113</v>
      </c>
      <c r="M253" s="76">
        <v>40.125999999999998</v>
      </c>
      <c r="N253" s="76">
        <v>44.442999999999998</v>
      </c>
      <c r="O253" s="76">
        <v>49.134999999999998</v>
      </c>
      <c r="P253" s="76">
        <v>49.134999999999998</v>
      </c>
      <c r="Q253" s="76">
        <v>49.134999999999998</v>
      </c>
      <c r="R253" s="76">
        <v>49.942999999999998</v>
      </c>
      <c r="S253" s="76">
        <v>49.942999999999998</v>
      </c>
      <c r="T253" s="76">
        <v>51.747</v>
      </c>
      <c r="U253" s="76">
        <v>55.588999999999999</v>
      </c>
      <c r="V253" s="76">
        <v>57.613999999999997</v>
      </c>
    </row>
    <row r="254" spans="1:22">
      <c r="A254" s="326" t="s">
        <v>79</v>
      </c>
      <c r="B254" s="159">
        <v>2306</v>
      </c>
      <c r="C254" s="76">
        <v>3.75</v>
      </c>
      <c r="D254" s="76">
        <v>6.9089999999999998</v>
      </c>
      <c r="E254" s="76">
        <v>8.4390000000000001</v>
      </c>
      <c r="F254" s="76">
        <v>9.4369999999999994</v>
      </c>
      <c r="G254" s="76">
        <v>9.8339999999999996</v>
      </c>
      <c r="H254" s="76">
        <v>10.412000000000001</v>
      </c>
      <c r="I254" s="76">
        <v>10.648</v>
      </c>
      <c r="J254" s="76">
        <v>11.154</v>
      </c>
      <c r="K254" s="76">
        <v>11.702999999999999</v>
      </c>
      <c r="L254" s="76">
        <v>12.183</v>
      </c>
      <c r="M254" s="76">
        <v>13</v>
      </c>
      <c r="N254" s="76">
        <v>14.593</v>
      </c>
      <c r="O254" s="76">
        <v>16.154</v>
      </c>
      <c r="P254" s="76">
        <v>16.393000000000001</v>
      </c>
      <c r="Q254" s="76">
        <v>16.393000000000001</v>
      </c>
      <c r="R254" s="76">
        <v>16.658999999999999</v>
      </c>
      <c r="S254" s="76">
        <v>16.658999999999999</v>
      </c>
      <c r="T254" s="76">
        <v>16.954000000000001</v>
      </c>
      <c r="U254" s="76">
        <v>18.518000000000001</v>
      </c>
      <c r="V254" s="76">
        <v>20.273</v>
      </c>
    </row>
    <row r="255" spans="1:22">
      <c r="A255" s="326">
        <v>33239</v>
      </c>
      <c r="B255" s="327"/>
    </row>
    <row r="256" spans="1:22">
      <c r="A256" s="328" t="s">
        <v>0</v>
      </c>
      <c r="B256" s="329" t="s">
        <v>78</v>
      </c>
      <c r="C256" s="329">
        <v>1</v>
      </c>
      <c r="D256" s="329">
        <v>2</v>
      </c>
      <c r="E256" s="329">
        <v>3</v>
      </c>
      <c r="F256" s="329">
        <v>4</v>
      </c>
      <c r="G256" s="329">
        <v>5</v>
      </c>
      <c r="H256" s="329">
        <v>6</v>
      </c>
      <c r="I256" s="329">
        <v>7</v>
      </c>
      <c r="J256" s="329">
        <v>8</v>
      </c>
      <c r="K256" s="329">
        <v>9</v>
      </c>
      <c r="L256" s="329">
        <v>10</v>
      </c>
      <c r="M256" s="329">
        <v>11</v>
      </c>
      <c r="N256" s="329">
        <v>12</v>
      </c>
      <c r="O256" s="329">
        <v>13</v>
      </c>
      <c r="P256" s="329">
        <v>14</v>
      </c>
      <c r="Q256" s="329">
        <v>15</v>
      </c>
      <c r="R256" s="329">
        <v>16</v>
      </c>
      <c r="S256" s="329">
        <v>17</v>
      </c>
      <c r="T256" s="329">
        <v>18</v>
      </c>
      <c r="U256" s="329">
        <v>19</v>
      </c>
      <c r="V256" s="329">
        <v>20</v>
      </c>
    </row>
    <row r="257" spans="1:22">
      <c r="A257" s="326" t="s">
        <v>1</v>
      </c>
      <c r="B257" s="159">
        <v>156</v>
      </c>
      <c r="C257" s="76">
        <v>0</v>
      </c>
      <c r="D257" s="76">
        <v>0</v>
      </c>
      <c r="E257" s="76">
        <v>0</v>
      </c>
      <c r="F257" s="76">
        <v>0</v>
      </c>
      <c r="G257" s="76">
        <v>0</v>
      </c>
      <c r="H257" s="76">
        <v>0</v>
      </c>
      <c r="I257" s="76">
        <v>0</v>
      </c>
      <c r="J257" s="76">
        <v>0</v>
      </c>
      <c r="K257" s="76">
        <v>0</v>
      </c>
      <c r="L257" s="76">
        <v>0</v>
      </c>
      <c r="M257" s="76">
        <v>0</v>
      </c>
      <c r="N257" s="76">
        <v>0</v>
      </c>
      <c r="O257" s="76">
        <v>0</v>
      </c>
      <c r="P257" s="76">
        <v>0</v>
      </c>
      <c r="Q257" s="76">
        <v>0</v>
      </c>
      <c r="R257" s="76">
        <v>0</v>
      </c>
      <c r="S257" s="76">
        <v>0</v>
      </c>
      <c r="T257" s="76">
        <v>0</v>
      </c>
      <c r="U257" s="76">
        <v>0</v>
      </c>
      <c r="V257" s="76">
        <v>0</v>
      </c>
    </row>
    <row r="258" spans="1:22">
      <c r="A258" s="326" t="s">
        <v>2</v>
      </c>
      <c r="B258" s="159">
        <v>397</v>
      </c>
      <c r="C258" s="76">
        <v>0</v>
      </c>
      <c r="D258" s="76">
        <v>0</v>
      </c>
      <c r="E258" s="76">
        <v>0</v>
      </c>
      <c r="F258" s="76">
        <v>0</v>
      </c>
      <c r="G258" s="76">
        <v>0.34799999999999998</v>
      </c>
      <c r="H258" s="76">
        <v>0.34799999999999998</v>
      </c>
      <c r="I258" s="76">
        <v>0.34799999999999998</v>
      </c>
      <c r="J258" s="76">
        <v>0.34799999999999998</v>
      </c>
      <c r="K258" s="76">
        <v>0.34799999999999998</v>
      </c>
      <c r="L258" s="76">
        <v>0.34799999999999998</v>
      </c>
      <c r="M258" s="76">
        <v>0.82499999999999996</v>
      </c>
      <c r="N258" s="76">
        <v>1.3260000000000001</v>
      </c>
      <c r="O258" s="76">
        <v>1.3260000000000001</v>
      </c>
      <c r="P258" s="76">
        <v>1.3260000000000001</v>
      </c>
      <c r="Q258" s="76">
        <v>1.3260000000000001</v>
      </c>
      <c r="R258" s="76">
        <v>1.3260000000000001</v>
      </c>
      <c r="S258" s="76">
        <v>1.3260000000000001</v>
      </c>
      <c r="T258" s="76">
        <v>2.7879999999999998</v>
      </c>
      <c r="U258" s="76">
        <v>5.734</v>
      </c>
      <c r="V258" s="76">
        <v>5.734</v>
      </c>
    </row>
    <row r="259" spans="1:22">
      <c r="A259" s="326" t="s">
        <v>3</v>
      </c>
      <c r="B259" s="159">
        <v>565</v>
      </c>
      <c r="C259" s="76">
        <v>0</v>
      </c>
      <c r="D259" s="76">
        <v>0</v>
      </c>
      <c r="E259" s="76">
        <v>0</v>
      </c>
      <c r="F259" s="76">
        <v>0</v>
      </c>
      <c r="G259" s="76">
        <v>0</v>
      </c>
      <c r="H259" s="76">
        <v>0</v>
      </c>
      <c r="I259" s="76">
        <v>0</v>
      </c>
      <c r="J259" s="76">
        <v>0</v>
      </c>
      <c r="K259" s="76">
        <v>0</v>
      </c>
      <c r="L259" s="76">
        <v>0.33400000000000002</v>
      </c>
      <c r="M259" s="76">
        <v>0.67100000000000004</v>
      </c>
      <c r="N259" s="76">
        <v>1.022</v>
      </c>
      <c r="O259" s="76">
        <v>1.409</v>
      </c>
      <c r="P259" s="76">
        <v>1.409</v>
      </c>
      <c r="Q259" s="76">
        <v>1.825</v>
      </c>
      <c r="R259" s="76">
        <v>1.825</v>
      </c>
      <c r="S259" s="76">
        <v>1.825</v>
      </c>
      <c r="T259" s="76">
        <v>3.2970000000000002</v>
      </c>
      <c r="U259" s="76">
        <v>4.806</v>
      </c>
      <c r="V259" s="76">
        <v>5.3529999999999998</v>
      </c>
    </row>
    <row r="260" spans="1:22">
      <c r="A260" s="326" t="s">
        <v>4</v>
      </c>
      <c r="B260" s="159">
        <v>354</v>
      </c>
      <c r="C260" s="76">
        <v>0.28999999999999998</v>
      </c>
      <c r="D260" s="76">
        <v>0.28999999999999998</v>
      </c>
      <c r="E260" s="76">
        <v>0.28999999999999998</v>
      </c>
      <c r="F260" s="76">
        <v>0.28999999999999998</v>
      </c>
      <c r="G260" s="76">
        <v>0.28999999999999998</v>
      </c>
      <c r="H260" s="76">
        <v>0.28999999999999998</v>
      </c>
      <c r="I260" s="76">
        <v>0.28999999999999998</v>
      </c>
      <c r="J260" s="76">
        <v>0.28999999999999998</v>
      </c>
      <c r="K260" s="76">
        <v>0.79300000000000004</v>
      </c>
      <c r="L260" s="76">
        <v>1.333</v>
      </c>
      <c r="M260" s="76">
        <v>4.08</v>
      </c>
      <c r="N260" s="76">
        <v>6.3780000000000001</v>
      </c>
      <c r="O260" s="76">
        <v>6.99</v>
      </c>
      <c r="P260" s="76">
        <v>6.99</v>
      </c>
      <c r="Q260" s="76">
        <v>6.99</v>
      </c>
      <c r="R260" s="76">
        <v>6.99</v>
      </c>
      <c r="S260" s="76">
        <v>7.7649999999999997</v>
      </c>
      <c r="T260" s="76">
        <v>8.6110000000000007</v>
      </c>
      <c r="U260" s="76">
        <v>10.304</v>
      </c>
      <c r="V260" s="76">
        <v>10.304</v>
      </c>
    </row>
    <row r="261" spans="1:22">
      <c r="A261" s="326" t="s">
        <v>5</v>
      </c>
      <c r="B261" s="159">
        <v>365</v>
      </c>
      <c r="C261" s="76">
        <v>4.9649999999999999</v>
      </c>
      <c r="D261" s="76">
        <v>6.2720000000000002</v>
      </c>
      <c r="E261" s="76">
        <v>8.1809999999999992</v>
      </c>
      <c r="F261" s="76">
        <v>8.6</v>
      </c>
      <c r="G261" s="76">
        <v>9.6219999999999999</v>
      </c>
      <c r="H261" s="76">
        <v>10.77</v>
      </c>
      <c r="I261" s="76">
        <v>11.377000000000001</v>
      </c>
      <c r="J261" s="76">
        <v>13.73</v>
      </c>
      <c r="K261" s="76">
        <v>14.522</v>
      </c>
      <c r="L261" s="76">
        <v>17.242000000000001</v>
      </c>
      <c r="M261" s="76">
        <v>23.094000000000001</v>
      </c>
      <c r="N261" s="76">
        <v>27.289000000000001</v>
      </c>
      <c r="O261" s="76">
        <v>27.289000000000001</v>
      </c>
      <c r="P261" s="76">
        <v>28.588000000000001</v>
      </c>
      <c r="Q261" s="76">
        <v>28.588000000000001</v>
      </c>
      <c r="R261" s="76">
        <v>28.588000000000001</v>
      </c>
      <c r="S261" s="76">
        <v>28.588000000000001</v>
      </c>
      <c r="T261" s="76">
        <v>33.651000000000003</v>
      </c>
      <c r="U261" s="76">
        <v>35.546999999999997</v>
      </c>
      <c r="V261" s="76">
        <v>35.546999999999997</v>
      </c>
    </row>
    <row r="262" spans="1:22">
      <c r="A262" s="326" t="s">
        <v>6</v>
      </c>
      <c r="B262" s="159">
        <v>334</v>
      </c>
      <c r="C262" s="76">
        <v>12.206</v>
      </c>
      <c r="D262" s="76">
        <v>21.803000000000001</v>
      </c>
      <c r="E262" s="76">
        <v>27.088999999999999</v>
      </c>
      <c r="F262" s="76">
        <v>29.779</v>
      </c>
      <c r="G262" s="76">
        <v>33.631999999999998</v>
      </c>
      <c r="H262" s="76">
        <v>34.421999999999997</v>
      </c>
      <c r="I262" s="76">
        <v>38.996000000000002</v>
      </c>
      <c r="J262" s="76">
        <v>42.328000000000003</v>
      </c>
      <c r="K262" s="76">
        <v>45.076999999999998</v>
      </c>
      <c r="L262" s="76">
        <v>50.404000000000003</v>
      </c>
      <c r="M262" s="76">
        <v>52.311999999999998</v>
      </c>
      <c r="N262" s="76">
        <v>60.813000000000002</v>
      </c>
      <c r="O262" s="76">
        <v>60.813000000000002</v>
      </c>
      <c r="P262" s="76">
        <v>60.813000000000002</v>
      </c>
      <c r="Q262" s="76">
        <v>63.826999999999998</v>
      </c>
      <c r="R262" s="76">
        <v>63.826999999999998</v>
      </c>
      <c r="S262" s="76">
        <v>66.841999999999999</v>
      </c>
      <c r="T262" s="76">
        <v>70.156999999999996</v>
      </c>
      <c r="U262" s="76">
        <v>77.263000000000005</v>
      </c>
      <c r="V262" s="76">
        <v>77.263000000000005</v>
      </c>
    </row>
    <row r="263" spans="1:22">
      <c r="A263" s="326" t="s">
        <v>71</v>
      </c>
      <c r="B263" s="159">
        <v>20</v>
      </c>
      <c r="C263" s="76">
        <v>45</v>
      </c>
      <c r="D263" s="76">
        <v>45</v>
      </c>
      <c r="E263" s="76">
        <v>45</v>
      </c>
      <c r="F263" s="76">
        <v>45</v>
      </c>
      <c r="G263" s="76">
        <v>45</v>
      </c>
      <c r="H263" s="76">
        <v>45</v>
      </c>
      <c r="I263" s="76">
        <v>45</v>
      </c>
      <c r="J263" s="76">
        <v>45</v>
      </c>
      <c r="K263" s="76">
        <v>72.5</v>
      </c>
      <c r="L263" s="76">
        <v>72.5</v>
      </c>
      <c r="M263" s="76">
        <v>100</v>
      </c>
      <c r="N263" s="76">
        <v>100</v>
      </c>
      <c r="O263" s="76">
        <v>100</v>
      </c>
      <c r="P263" s="76">
        <v>100</v>
      </c>
      <c r="Q263" s="76">
        <v>100</v>
      </c>
      <c r="R263" s="76">
        <v>100</v>
      </c>
      <c r="S263" s="76">
        <v>100</v>
      </c>
      <c r="T263" s="76">
        <v>100</v>
      </c>
      <c r="U263" s="76">
        <v>100</v>
      </c>
      <c r="V263" s="76">
        <v>100</v>
      </c>
    </row>
    <row r="264" spans="1:22">
      <c r="A264" s="326" t="s">
        <v>8</v>
      </c>
      <c r="B264" s="159">
        <v>1472</v>
      </c>
      <c r="C264" s="76">
        <v>7.0000000000000007E-2</v>
      </c>
      <c r="D264" s="76">
        <v>7.0000000000000007E-2</v>
      </c>
      <c r="E264" s="76">
        <v>7.0000000000000007E-2</v>
      </c>
      <c r="F264" s="76">
        <v>7.0000000000000007E-2</v>
      </c>
      <c r="G264" s="76">
        <v>0.16500000000000001</v>
      </c>
      <c r="H264" s="76">
        <v>0.16500000000000001</v>
      </c>
      <c r="I264" s="76">
        <v>0.16500000000000001</v>
      </c>
      <c r="J264" s="76">
        <v>0.16500000000000001</v>
      </c>
      <c r="K264" s="76">
        <v>0.28399999999999997</v>
      </c>
      <c r="L264" s="76">
        <v>0.53700000000000003</v>
      </c>
      <c r="M264" s="76">
        <v>1.4470000000000001</v>
      </c>
      <c r="N264" s="76">
        <v>2.2639999999999998</v>
      </c>
      <c r="O264" s="76">
        <v>2.5550000000000002</v>
      </c>
      <c r="P264" s="76">
        <v>2.5550000000000002</v>
      </c>
      <c r="Q264" s="76">
        <v>2.7170000000000001</v>
      </c>
      <c r="R264" s="76">
        <v>2.7170000000000001</v>
      </c>
      <c r="S264" s="76">
        <v>2.8980000000000001</v>
      </c>
      <c r="T264" s="76">
        <v>4.0350000000000001</v>
      </c>
      <c r="U264" s="76">
        <v>5.7649999999999997</v>
      </c>
      <c r="V264" s="76">
        <v>5.9720000000000004</v>
      </c>
    </row>
    <row r="265" spans="1:22">
      <c r="A265" s="326" t="s">
        <v>9</v>
      </c>
      <c r="B265" s="159">
        <v>719</v>
      </c>
      <c r="C265" s="76">
        <v>9.4499999999999993</v>
      </c>
      <c r="D265" s="76">
        <v>14.502000000000001</v>
      </c>
      <c r="E265" s="76">
        <v>17.838999999999999</v>
      </c>
      <c r="F265" s="76">
        <v>19.25</v>
      </c>
      <c r="G265" s="76">
        <v>21.440999999999999</v>
      </c>
      <c r="H265" s="76">
        <v>22.408999999999999</v>
      </c>
      <c r="I265" s="76">
        <v>24.550999999999998</v>
      </c>
      <c r="J265" s="76">
        <v>27.202000000000002</v>
      </c>
      <c r="K265" s="76">
        <v>29.166</v>
      </c>
      <c r="L265" s="76">
        <v>32.533999999999999</v>
      </c>
      <c r="M265" s="76">
        <v>37.353999999999999</v>
      </c>
      <c r="N265" s="76">
        <v>42.546999999999997</v>
      </c>
      <c r="O265" s="76">
        <v>42.546999999999997</v>
      </c>
      <c r="P265" s="76">
        <v>43.356000000000002</v>
      </c>
      <c r="Q265" s="76">
        <v>44.255000000000003</v>
      </c>
      <c r="R265" s="76">
        <v>44.255000000000003</v>
      </c>
      <c r="S265" s="76">
        <v>45.232999999999997</v>
      </c>
      <c r="T265" s="76">
        <v>49.427</v>
      </c>
      <c r="U265" s="76">
        <v>52.838999999999999</v>
      </c>
      <c r="V265" s="76">
        <v>52.838999999999999</v>
      </c>
    </row>
    <row r="266" spans="1:22">
      <c r="A266" s="326" t="s">
        <v>79</v>
      </c>
      <c r="B266" s="159">
        <v>2191</v>
      </c>
      <c r="C266" s="76">
        <v>3.0910000000000002</v>
      </c>
      <c r="D266" s="76">
        <v>4.6349999999999998</v>
      </c>
      <c r="E266" s="76">
        <v>5.6050000000000004</v>
      </c>
      <c r="F266" s="76">
        <v>5.9909999999999997</v>
      </c>
      <c r="G266" s="76">
        <v>6.6239999999999997</v>
      </c>
      <c r="H266" s="76">
        <v>6.8540000000000001</v>
      </c>
      <c r="I266" s="76">
        <v>7.3460000000000001</v>
      </c>
      <c r="J266" s="76">
        <v>7.88</v>
      </c>
      <c r="K266" s="76">
        <v>8.3480000000000008</v>
      </c>
      <c r="L266" s="76">
        <v>9.1440000000000001</v>
      </c>
      <c r="M266" s="76">
        <v>10.698</v>
      </c>
      <c r="N266" s="76">
        <v>12.222</v>
      </c>
      <c r="O266" s="76">
        <v>12.456</v>
      </c>
      <c r="P266" s="76">
        <v>12.579000000000001</v>
      </c>
      <c r="Q266" s="76">
        <v>12.840999999999999</v>
      </c>
      <c r="R266" s="76">
        <v>12.840999999999999</v>
      </c>
      <c r="S266" s="76">
        <v>13.131</v>
      </c>
      <c r="T266" s="76">
        <v>14.67</v>
      </c>
      <c r="U266" s="76">
        <v>16.552</v>
      </c>
      <c r="V266" s="76">
        <v>16.721</v>
      </c>
    </row>
    <row r="267" spans="1:22">
      <c r="A267" s="326">
        <v>33604</v>
      </c>
      <c r="B267" s="327"/>
    </row>
    <row r="268" spans="1:22">
      <c r="A268" s="328" t="s">
        <v>0</v>
      </c>
      <c r="B268" s="329" t="s">
        <v>78</v>
      </c>
      <c r="C268" s="329">
        <v>1</v>
      </c>
      <c r="D268" s="329">
        <v>2</v>
      </c>
      <c r="E268" s="329">
        <v>3</v>
      </c>
      <c r="F268" s="329">
        <v>4</v>
      </c>
      <c r="G268" s="329">
        <v>5</v>
      </c>
      <c r="H268" s="329">
        <v>6</v>
      </c>
      <c r="I268" s="329">
        <v>7</v>
      </c>
      <c r="J268" s="329">
        <v>8</v>
      </c>
      <c r="K268" s="329">
        <v>9</v>
      </c>
      <c r="L268" s="329">
        <v>10</v>
      </c>
      <c r="M268" s="329">
        <v>11</v>
      </c>
      <c r="N268" s="329">
        <v>12</v>
      </c>
      <c r="O268" s="329">
        <v>13</v>
      </c>
      <c r="P268" s="329">
        <v>14</v>
      </c>
      <c r="Q268" s="329">
        <v>15</v>
      </c>
      <c r="R268" s="329">
        <v>16</v>
      </c>
      <c r="S268" s="329">
        <v>17</v>
      </c>
      <c r="T268" s="329">
        <v>18</v>
      </c>
      <c r="U268" s="329">
        <v>19</v>
      </c>
      <c r="V268" s="329">
        <v>20</v>
      </c>
    </row>
    <row r="269" spans="1:22">
      <c r="A269" s="326" t="s">
        <v>1</v>
      </c>
      <c r="B269" s="159">
        <v>139</v>
      </c>
      <c r="C269" s="76">
        <v>0</v>
      </c>
      <c r="D269" s="76">
        <v>0</v>
      </c>
      <c r="E269" s="76">
        <v>0</v>
      </c>
      <c r="F269" s="76">
        <v>0</v>
      </c>
      <c r="G269" s="76">
        <v>0</v>
      </c>
      <c r="H269" s="76">
        <v>0</v>
      </c>
      <c r="I269" s="76">
        <v>0</v>
      </c>
      <c r="J269" s="76">
        <v>0</v>
      </c>
      <c r="K269" s="76">
        <v>0</v>
      </c>
      <c r="L269" s="76">
        <v>0</v>
      </c>
      <c r="M269" s="76">
        <v>0</v>
      </c>
      <c r="N269" s="76">
        <v>0</v>
      </c>
      <c r="O269" s="76">
        <v>0</v>
      </c>
      <c r="P269" s="76">
        <v>0</v>
      </c>
      <c r="Q269" s="76">
        <v>0</v>
      </c>
      <c r="R269" s="76">
        <v>0</v>
      </c>
      <c r="S269" s="76">
        <v>0</v>
      </c>
      <c r="T269" s="76">
        <v>0</v>
      </c>
      <c r="U269" s="76">
        <v>0</v>
      </c>
      <c r="V269" s="76">
        <v>0</v>
      </c>
    </row>
    <row r="270" spans="1:22">
      <c r="A270" s="326" t="s">
        <v>2</v>
      </c>
      <c r="B270" s="159">
        <v>409</v>
      </c>
      <c r="C270" s="76">
        <v>0</v>
      </c>
      <c r="D270" s="76">
        <v>0</v>
      </c>
      <c r="E270" s="76">
        <v>0</v>
      </c>
      <c r="F270" s="76">
        <v>0.307</v>
      </c>
      <c r="G270" s="76">
        <v>0.307</v>
      </c>
      <c r="H270" s="76">
        <v>0.307</v>
      </c>
      <c r="I270" s="76">
        <v>0.307</v>
      </c>
      <c r="J270" s="76">
        <v>0.307</v>
      </c>
      <c r="K270" s="76">
        <v>0.307</v>
      </c>
      <c r="L270" s="76">
        <v>0.73099999999999998</v>
      </c>
      <c r="M270" s="76">
        <v>0.73099999999999998</v>
      </c>
      <c r="N270" s="76">
        <v>0.73099999999999998</v>
      </c>
      <c r="O270" s="76">
        <v>0.73099999999999998</v>
      </c>
      <c r="P270" s="76">
        <v>0.73099999999999998</v>
      </c>
      <c r="Q270" s="76">
        <v>0.73099999999999998</v>
      </c>
      <c r="R270" s="76">
        <v>0.73099999999999998</v>
      </c>
      <c r="S270" s="76">
        <v>0.73099999999999998</v>
      </c>
      <c r="T270" s="76">
        <v>2.1110000000000002</v>
      </c>
      <c r="U270" s="76">
        <v>2.8420000000000001</v>
      </c>
      <c r="V270" s="76">
        <v>2.8420000000000001</v>
      </c>
    </row>
    <row r="271" spans="1:22">
      <c r="A271" s="326" t="s">
        <v>3</v>
      </c>
      <c r="B271" s="159">
        <v>621</v>
      </c>
      <c r="C271" s="76">
        <v>0</v>
      </c>
      <c r="D271" s="76">
        <v>0</v>
      </c>
      <c r="E271" s="76">
        <v>0</v>
      </c>
      <c r="F271" s="76">
        <v>0</v>
      </c>
      <c r="G271" s="76">
        <v>0</v>
      </c>
      <c r="H271" s="76">
        <v>0</v>
      </c>
      <c r="I271" s="76">
        <v>0</v>
      </c>
      <c r="J271" s="76">
        <v>0</v>
      </c>
      <c r="K271" s="76">
        <v>0.28899999999999998</v>
      </c>
      <c r="L271" s="76">
        <v>0.58099999999999996</v>
      </c>
      <c r="M271" s="76">
        <v>1.1859999999999999</v>
      </c>
      <c r="N271" s="76">
        <v>1.52</v>
      </c>
      <c r="O271" s="76">
        <v>1.52</v>
      </c>
      <c r="P271" s="76">
        <v>1.52</v>
      </c>
      <c r="Q271" s="76">
        <v>1.52</v>
      </c>
      <c r="R271" s="76">
        <v>1.52</v>
      </c>
      <c r="S271" s="76">
        <v>3.63</v>
      </c>
      <c r="T271" s="76">
        <v>5.7910000000000004</v>
      </c>
      <c r="U271" s="76">
        <v>6.742</v>
      </c>
      <c r="V271" s="76">
        <v>7.7140000000000004</v>
      </c>
    </row>
    <row r="272" spans="1:22">
      <c r="A272" s="326" t="s">
        <v>4</v>
      </c>
      <c r="B272" s="159">
        <v>363</v>
      </c>
      <c r="C272" s="76">
        <v>0</v>
      </c>
      <c r="D272" s="76">
        <v>0</v>
      </c>
      <c r="E272" s="76">
        <v>0</v>
      </c>
      <c r="F272" s="76">
        <v>0</v>
      </c>
      <c r="G272" s="76">
        <v>0</v>
      </c>
      <c r="H272" s="76">
        <v>0</v>
      </c>
      <c r="I272" s="76">
        <v>0</v>
      </c>
      <c r="J272" s="76">
        <v>0.46700000000000003</v>
      </c>
      <c r="K272" s="76">
        <v>0.95799999999999996</v>
      </c>
      <c r="L272" s="76">
        <v>3.5089999999999999</v>
      </c>
      <c r="M272" s="76">
        <v>5.1360000000000001</v>
      </c>
      <c r="N272" s="76">
        <v>5.7110000000000003</v>
      </c>
      <c r="O272" s="76">
        <v>5.7110000000000003</v>
      </c>
      <c r="P272" s="76">
        <v>6.3570000000000002</v>
      </c>
      <c r="Q272" s="76">
        <v>6.3570000000000002</v>
      </c>
      <c r="R272" s="76">
        <v>7.077</v>
      </c>
      <c r="S272" s="76">
        <v>7.8330000000000002</v>
      </c>
      <c r="T272" s="76">
        <v>9.35</v>
      </c>
      <c r="U272" s="76">
        <v>9.35</v>
      </c>
      <c r="V272" s="76">
        <v>10.182</v>
      </c>
    </row>
    <row r="273" spans="1:22">
      <c r="A273" s="326" t="s">
        <v>5</v>
      </c>
      <c r="B273" s="159">
        <v>344</v>
      </c>
      <c r="C273" s="76">
        <v>0.33200000000000002</v>
      </c>
      <c r="D273" s="76">
        <v>1.0920000000000001</v>
      </c>
      <c r="E273" s="76">
        <v>1.0920000000000001</v>
      </c>
      <c r="F273" s="76">
        <v>2.101</v>
      </c>
      <c r="G273" s="76">
        <v>2.6640000000000001</v>
      </c>
      <c r="H273" s="76">
        <v>3.246</v>
      </c>
      <c r="I273" s="76">
        <v>5.4450000000000003</v>
      </c>
      <c r="J273" s="76">
        <v>6.9770000000000003</v>
      </c>
      <c r="K273" s="76">
        <v>8.7349999999999994</v>
      </c>
      <c r="L273" s="76">
        <v>14.388</v>
      </c>
      <c r="M273" s="76">
        <v>20.405999999999999</v>
      </c>
      <c r="N273" s="76">
        <v>20.405999999999999</v>
      </c>
      <c r="O273" s="76">
        <v>21.67</v>
      </c>
      <c r="P273" s="76">
        <v>23.068000000000001</v>
      </c>
      <c r="Q273" s="76">
        <v>23.068000000000001</v>
      </c>
      <c r="R273" s="76">
        <v>23.068000000000001</v>
      </c>
      <c r="S273" s="76">
        <v>29.001999999999999</v>
      </c>
      <c r="T273" s="76">
        <v>31.152999999999999</v>
      </c>
      <c r="U273" s="76">
        <v>31.152999999999999</v>
      </c>
      <c r="V273" s="76">
        <v>31.152999999999999</v>
      </c>
    </row>
    <row r="274" spans="1:22">
      <c r="A274" s="326" t="s">
        <v>6</v>
      </c>
      <c r="B274" s="159">
        <v>263</v>
      </c>
      <c r="C274" s="76">
        <v>9.1989999999999998</v>
      </c>
      <c r="D274" s="76">
        <v>16.114000000000001</v>
      </c>
      <c r="E274" s="76">
        <v>19.989000000000001</v>
      </c>
      <c r="F274" s="76">
        <v>24.686</v>
      </c>
      <c r="G274" s="76">
        <v>27.213000000000001</v>
      </c>
      <c r="H274" s="76">
        <v>31.132000000000001</v>
      </c>
      <c r="I274" s="76">
        <v>34.698</v>
      </c>
      <c r="J274" s="76">
        <v>37.573999999999998</v>
      </c>
      <c r="K274" s="76">
        <v>44.881</v>
      </c>
      <c r="L274" s="76">
        <v>46.85</v>
      </c>
      <c r="M274" s="76">
        <v>53.323999999999998</v>
      </c>
      <c r="N274" s="76">
        <v>53.323999999999998</v>
      </c>
      <c r="O274" s="76">
        <v>53.323999999999998</v>
      </c>
      <c r="P274" s="76">
        <v>53.323999999999998</v>
      </c>
      <c r="Q274" s="76">
        <v>53.323999999999998</v>
      </c>
      <c r="R274" s="76">
        <v>53.323999999999998</v>
      </c>
      <c r="S274" s="76">
        <v>56.658000000000001</v>
      </c>
      <c r="T274" s="76">
        <v>67.994</v>
      </c>
      <c r="U274" s="76">
        <v>67.994</v>
      </c>
      <c r="V274" s="76">
        <v>67.994</v>
      </c>
    </row>
    <row r="275" spans="1:22">
      <c r="A275" s="326" t="s">
        <v>71</v>
      </c>
      <c r="B275" s="159">
        <v>26</v>
      </c>
      <c r="C275" s="76">
        <v>29.533999999999999</v>
      </c>
      <c r="D275" s="76">
        <v>34.567</v>
      </c>
      <c r="E275" s="76">
        <v>34.567</v>
      </c>
      <c r="F275" s="76">
        <v>34.567</v>
      </c>
      <c r="G275" s="76">
        <v>34.567</v>
      </c>
      <c r="H275" s="76">
        <v>45.472000000000001</v>
      </c>
      <c r="I275" s="76">
        <v>45.472000000000001</v>
      </c>
      <c r="J275" s="76">
        <v>63.648000000000003</v>
      </c>
      <c r="K275" s="76">
        <v>63.648000000000003</v>
      </c>
      <c r="L275" s="76">
        <v>81.823999999999998</v>
      </c>
      <c r="M275" s="76">
        <v>81.823999999999998</v>
      </c>
      <c r="N275" s="76">
        <v>81.823999999999998</v>
      </c>
      <c r="O275" s="76">
        <v>81.823999999999998</v>
      </c>
      <c r="P275" s="76">
        <v>81.823999999999998</v>
      </c>
      <c r="Q275" s="76">
        <v>81.823999999999998</v>
      </c>
      <c r="R275" s="76">
        <v>100</v>
      </c>
      <c r="S275" s="76">
        <v>100</v>
      </c>
      <c r="T275" s="76">
        <v>100</v>
      </c>
      <c r="U275" s="76">
        <v>100</v>
      </c>
      <c r="V275" s="76">
        <v>100</v>
      </c>
    </row>
    <row r="276" spans="1:22">
      <c r="A276" s="326" t="s">
        <v>8</v>
      </c>
      <c r="B276" s="159">
        <v>1532</v>
      </c>
      <c r="C276" s="76">
        <v>0</v>
      </c>
      <c r="D276" s="76">
        <v>0</v>
      </c>
      <c r="E276" s="76">
        <v>0</v>
      </c>
      <c r="F276" s="76">
        <v>8.5999999999999993E-2</v>
      </c>
      <c r="G276" s="76">
        <v>8.5999999999999993E-2</v>
      </c>
      <c r="H276" s="76">
        <v>8.5999999999999993E-2</v>
      </c>
      <c r="I276" s="76">
        <v>8.5999999999999993E-2</v>
      </c>
      <c r="J276" s="76">
        <v>0.193</v>
      </c>
      <c r="K276" s="76">
        <v>0.42</v>
      </c>
      <c r="L276" s="76">
        <v>1.242</v>
      </c>
      <c r="M276" s="76">
        <v>1.8620000000000001</v>
      </c>
      <c r="N276" s="76">
        <v>2.1269999999999998</v>
      </c>
      <c r="O276" s="76">
        <v>2.1269999999999998</v>
      </c>
      <c r="P276" s="76">
        <v>2.2749999999999999</v>
      </c>
      <c r="Q276" s="76">
        <v>2.2749999999999999</v>
      </c>
      <c r="R276" s="76">
        <v>2.44</v>
      </c>
      <c r="S276" s="76">
        <v>3.4729999999999999</v>
      </c>
      <c r="T276" s="76">
        <v>5.0540000000000003</v>
      </c>
      <c r="U276" s="76">
        <v>5.62</v>
      </c>
      <c r="V276" s="76">
        <v>6.2050000000000001</v>
      </c>
    </row>
    <row r="277" spans="1:22">
      <c r="A277" s="326" t="s">
        <v>9</v>
      </c>
      <c r="B277" s="159">
        <v>633</v>
      </c>
      <c r="C277" s="76">
        <v>5.2160000000000002</v>
      </c>
      <c r="D277" s="76">
        <v>8.7100000000000009</v>
      </c>
      <c r="E277" s="76">
        <v>10.343</v>
      </c>
      <c r="F277" s="76">
        <v>12.79</v>
      </c>
      <c r="G277" s="76">
        <v>14.074999999999999</v>
      </c>
      <c r="H277" s="76">
        <v>16.189</v>
      </c>
      <c r="I277" s="76">
        <v>18.768000000000001</v>
      </c>
      <c r="J277" s="76">
        <v>21.187999999999999</v>
      </c>
      <c r="K277" s="76">
        <v>24.521999999999998</v>
      </c>
      <c r="L277" s="76">
        <v>29.273</v>
      </c>
      <c r="M277" s="76">
        <v>35.002000000000002</v>
      </c>
      <c r="N277" s="76">
        <v>35.002000000000002</v>
      </c>
      <c r="O277" s="76">
        <v>35.793999999999997</v>
      </c>
      <c r="P277" s="76">
        <v>36.673999999999999</v>
      </c>
      <c r="Q277" s="76">
        <v>36.673999999999999</v>
      </c>
      <c r="R277" s="76">
        <v>37.679000000000002</v>
      </c>
      <c r="S277" s="76">
        <v>42.411999999999999</v>
      </c>
      <c r="T277" s="76">
        <v>47.581000000000003</v>
      </c>
      <c r="U277" s="76">
        <v>47.581000000000003</v>
      </c>
      <c r="V277" s="76">
        <v>47.581000000000003</v>
      </c>
    </row>
    <row r="278" spans="1:22">
      <c r="A278" s="326" t="s">
        <v>79</v>
      </c>
      <c r="B278" s="159">
        <v>2165</v>
      </c>
      <c r="C278" s="76">
        <v>1.5</v>
      </c>
      <c r="D278" s="76">
        <v>2.4620000000000002</v>
      </c>
      <c r="E278" s="76">
        <v>2.8820000000000001</v>
      </c>
      <c r="F278" s="76">
        <v>3.536</v>
      </c>
      <c r="G278" s="76">
        <v>3.823</v>
      </c>
      <c r="H278" s="76">
        <v>4.28</v>
      </c>
      <c r="I278" s="76">
        <v>4.7759999999999998</v>
      </c>
      <c r="J278" s="76">
        <v>5.2969999999999997</v>
      </c>
      <c r="K278" s="76">
        <v>6.0350000000000001</v>
      </c>
      <c r="L278" s="76">
        <v>7.4829999999999997</v>
      </c>
      <c r="M278" s="76">
        <v>8.9079999999999995</v>
      </c>
      <c r="N278" s="76">
        <v>9.1270000000000007</v>
      </c>
      <c r="O278" s="76">
        <v>9.2420000000000009</v>
      </c>
      <c r="P278" s="76">
        <v>9.4890000000000008</v>
      </c>
      <c r="Q278" s="76">
        <v>9.4890000000000008</v>
      </c>
      <c r="R278" s="76">
        <v>9.7629999999999999</v>
      </c>
      <c r="S278" s="76">
        <v>11.218</v>
      </c>
      <c r="T278" s="76">
        <v>13.157999999999999</v>
      </c>
      <c r="U278" s="76">
        <v>13.641</v>
      </c>
      <c r="V278" s="76">
        <v>14.141</v>
      </c>
    </row>
    <row r="279" spans="1:22">
      <c r="A279" s="326">
        <v>33970</v>
      </c>
      <c r="B279" s="327"/>
    </row>
    <row r="280" spans="1:22">
      <c r="A280" s="328" t="s">
        <v>0</v>
      </c>
      <c r="B280" s="329" t="s">
        <v>78</v>
      </c>
      <c r="C280" s="329">
        <v>1</v>
      </c>
      <c r="D280" s="329">
        <v>2</v>
      </c>
      <c r="E280" s="329">
        <v>3</v>
      </c>
      <c r="F280" s="329">
        <v>4</v>
      </c>
      <c r="G280" s="329">
        <v>5</v>
      </c>
      <c r="H280" s="329">
        <v>6</v>
      </c>
      <c r="I280" s="329">
        <v>7</v>
      </c>
      <c r="J280" s="329">
        <v>8</v>
      </c>
      <c r="K280" s="329">
        <v>9</v>
      </c>
      <c r="L280" s="329">
        <v>10</v>
      </c>
      <c r="M280" s="329">
        <v>11</v>
      </c>
      <c r="N280" s="329">
        <v>12</v>
      </c>
      <c r="O280" s="329">
        <v>13</v>
      </c>
      <c r="P280" s="329">
        <v>14</v>
      </c>
      <c r="Q280" s="329">
        <v>15</v>
      </c>
      <c r="R280" s="329">
        <v>16</v>
      </c>
      <c r="S280" s="329">
        <v>17</v>
      </c>
      <c r="T280" s="329">
        <v>18</v>
      </c>
      <c r="U280" s="329">
        <v>19</v>
      </c>
      <c r="V280" s="329">
        <v>20</v>
      </c>
    </row>
    <row r="281" spans="1:22">
      <c r="A281" s="326" t="s">
        <v>1</v>
      </c>
      <c r="B281" s="159">
        <v>114</v>
      </c>
      <c r="C281" s="76">
        <v>0</v>
      </c>
      <c r="D281" s="76">
        <v>0</v>
      </c>
      <c r="E281" s="76">
        <v>0</v>
      </c>
      <c r="F281" s="76">
        <v>0</v>
      </c>
      <c r="G281" s="76">
        <v>0</v>
      </c>
      <c r="H281" s="76">
        <v>0</v>
      </c>
      <c r="I281" s="76">
        <v>0</v>
      </c>
      <c r="J281" s="76">
        <v>0</v>
      </c>
      <c r="K281" s="76">
        <v>0</v>
      </c>
      <c r="L281" s="76">
        <v>0</v>
      </c>
      <c r="M281" s="76">
        <v>0</v>
      </c>
      <c r="N281" s="76">
        <v>0</v>
      </c>
      <c r="O281" s="76">
        <v>0</v>
      </c>
      <c r="P281" s="76">
        <v>0</v>
      </c>
      <c r="Q281" s="76">
        <v>0</v>
      </c>
      <c r="R281" s="76">
        <v>0</v>
      </c>
      <c r="S281" s="76">
        <v>0</v>
      </c>
      <c r="T281" s="76">
        <v>0</v>
      </c>
      <c r="U281" s="76">
        <v>0</v>
      </c>
      <c r="V281" s="76">
        <v>0</v>
      </c>
    </row>
    <row r="282" spans="1:22">
      <c r="A282" s="326" t="s">
        <v>2</v>
      </c>
      <c r="B282" s="159">
        <v>408</v>
      </c>
      <c r="C282" s="76">
        <v>0</v>
      </c>
      <c r="D282" s="76">
        <v>0</v>
      </c>
      <c r="E282" s="76">
        <v>0</v>
      </c>
      <c r="F282" s="76">
        <v>0</v>
      </c>
      <c r="G282" s="76">
        <v>0</v>
      </c>
      <c r="H282" s="76">
        <v>0</v>
      </c>
      <c r="I282" s="76">
        <v>0</v>
      </c>
      <c r="J282" s="76">
        <v>0</v>
      </c>
      <c r="K282" s="76">
        <v>0</v>
      </c>
      <c r="L282" s="76">
        <v>0</v>
      </c>
      <c r="M282" s="76">
        <v>0</v>
      </c>
      <c r="N282" s="76">
        <v>0</v>
      </c>
      <c r="O282" s="76">
        <v>0</v>
      </c>
      <c r="P282" s="76">
        <v>0</v>
      </c>
      <c r="Q282" s="76">
        <v>0</v>
      </c>
      <c r="R282" s="76">
        <v>0</v>
      </c>
      <c r="S282" s="76">
        <v>0.629</v>
      </c>
      <c r="T282" s="76">
        <v>1.3140000000000001</v>
      </c>
      <c r="U282" s="76">
        <v>1.3140000000000001</v>
      </c>
      <c r="V282" s="76">
        <v>1.3140000000000001</v>
      </c>
    </row>
    <row r="283" spans="1:22">
      <c r="A283" s="326" t="s">
        <v>3</v>
      </c>
      <c r="B283" s="159">
        <v>659</v>
      </c>
      <c r="C283" s="76">
        <v>0</v>
      </c>
      <c r="D283" s="76">
        <v>0</v>
      </c>
      <c r="E283" s="76">
        <v>0</v>
      </c>
      <c r="F283" s="76">
        <v>0</v>
      </c>
      <c r="G283" s="76">
        <v>0</v>
      </c>
      <c r="H283" s="76">
        <v>0</v>
      </c>
      <c r="I283" s="76">
        <v>0</v>
      </c>
      <c r="J283" s="76">
        <v>0.25</v>
      </c>
      <c r="K283" s="76">
        <v>0.753</v>
      </c>
      <c r="L283" s="76">
        <v>1.28</v>
      </c>
      <c r="M283" s="76">
        <v>1.5740000000000001</v>
      </c>
      <c r="N283" s="76">
        <v>1.5740000000000001</v>
      </c>
      <c r="O283" s="76">
        <v>1.5740000000000001</v>
      </c>
      <c r="P283" s="76">
        <v>1.5740000000000001</v>
      </c>
      <c r="Q283" s="76">
        <v>1.5740000000000001</v>
      </c>
      <c r="R283" s="76">
        <v>3.06</v>
      </c>
      <c r="S283" s="76">
        <v>4.6139999999999999</v>
      </c>
      <c r="T283" s="76">
        <v>5.0359999999999996</v>
      </c>
      <c r="U283" s="76">
        <v>5.9</v>
      </c>
      <c r="V283" s="76">
        <v>6.343</v>
      </c>
    </row>
    <row r="284" spans="1:22">
      <c r="A284" s="326" t="s">
        <v>4</v>
      </c>
      <c r="B284" s="159">
        <v>415</v>
      </c>
      <c r="C284" s="76">
        <v>0</v>
      </c>
      <c r="D284" s="76">
        <v>0</v>
      </c>
      <c r="E284" s="76">
        <v>0.29199999999999998</v>
      </c>
      <c r="F284" s="76">
        <v>0.29199999999999998</v>
      </c>
      <c r="G284" s="76">
        <v>0.61799999999999999</v>
      </c>
      <c r="H284" s="76">
        <v>0.97099999999999997</v>
      </c>
      <c r="I284" s="76">
        <v>1.702</v>
      </c>
      <c r="J284" s="76">
        <v>2.4710000000000001</v>
      </c>
      <c r="K284" s="76">
        <v>4.4740000000000002</v>
      </c>
      <c r="L284" s="76">
        <v>5.7539999999999996</v>
      </c>
      <c r="M284" s="76">
        <v>6.6520000000000001</v>
      </c>
      <c r="N284" s="76">
        <v>6.6520000000000001</v>
      </c>
      <c r="O284" s="76">
        <v>7.1459999999999999</v>
      </c>
      <c r="P284" s="76">
        <v>7.1459999999999999</v>
      </c>
      <c r="Q284" s="76">
        <v>7.7050000000000001</v>
      </c>
      <c r="R284" s="76">
        <v>9.4570000000000007</v>
      </c>
      <c r="S284" s="76">
        <v>11.817</v>
      </c>
      <c r="T284" s="76">
        <v>12.446999999999999</v>
      </c>
      <c r="U284" s="76">
        <v>13.115</v>
      </c>
      <c r="V284" s="76">
        <v>13.833</v>
      </c>
    </row>
    <row r="285" spans="1:22">
      <c r="A285" s="326" t="s">
        <v>5</v>
      </c>
      <c r="B285" s="159">
        <v>365</v>
      </c>
      <c r="C285" s="76">
        <v>0.60399999999999998</v>
      </c>
      <c r="D285" s="76">
        <v>0.60399999999999998</v>
      </c>
      <c r="E285" s="76">
        <v>2.9510000000000001</v>
      </c>
      <c r="F285" s="76">
        <v>3.8</v>
      </c>
      <c r="G285" s="76">
        <v>4.7149999999999999</v>
      </c>
      <c r="H285" s="76">
        <v>6.4059999999999997</v>
      </c>
      <c r="I285" s="76">
        <v>8.8249999999999993</v>
      </c>
      <c r="J285" s="76">
        <v>10.188000000000001</v>
      </c>
      <c r="K285" s="76">
        <v>14.52</v>
      </c>
      <c r="L285" s="76">
        <v>19.140999999999998</v>
      </c>
      <c r="M285" s="76">
        <v>19.140999999999998</v>
      </c>
      <c r="N285" s="76">
        <v>19.140999999999998</v>
      </c>
      <c r="O285" s="76">
        <v>20.177</v>
      </c>
      <c r="P285" s="76">
        <v>21.286000000000001</v>
      </c>
      <c r="Q285" s="76">
        <v>21.286000000000001</v>
      </c>
      <c r="R285" s="76">
        <v>25.478999999999999</v>
      </c>
      <c r="S285" s="76">
        <v>28.402000000000001</v>
      </c>
      <c r="T285" s="76">
        <v>28.402000000000001</v>
      </c>
      <c r="U285" s="76">
        <v>28.402000000000001</v>
      </c>
      <c r="V285" s="76">
        <v>28.402000000000001</v>
      </c>
    </row>
    <row r="286" spans="1:22">
      <c r="A286" s="326" t="s">
        <v>6</v>
      </c>
      <c r="B286" s="159">
        <v>251</v>
      </c>
      <c r="C286" s="76">
        <v>4.641</v>
      </c>
      <c r="D286" s="76">
        <v>9.3659999999999997</v>
      </c>
      <c r="E286" s="76">
        <v>14.345000000000001</v>
      </c>
      <c r="F286" s="76">
        <v>16.318999999999999</v>
      </c>
      <c r="G286" s="76">
        <v>19.506</v>
      </c>
      <c r="H286" s="76">
        <v>22.361999999999998</v>
      </c>
      <c r="I286" s="76">
        <v>26.818000000000001</v>
      </c>
      <c r="J286" s="76">
        <v>35.643000000000001</v>
      </c>
      <c r="K286" s="76">
        <v>39.781999999999996</v>
      </c>
      <c r="L286" s="76">
        <v>44.12</v>
      </c>
      <c r="M286" s="76">
        <v>45.631</v>
      </c>
      <c r="N286" s="76">
        <v>47.33</v>
      </c>
      <c r="O286" s="76">
        <v>47.33</v>
      </c>
      <c r="P286" s="76">
        <v>49.524000000000001</v>
      </c>
      <c r="Q286" s="76">
        <v>51.927999999999997</v>
      </c>
      <c r="R286" s="76">
        <v>55.133000000000003</v>
      </c>
      <c r="S286" s="76">
        <v>65.912999999999997</v>
      </c>
      <c r="T286" s="76">
        <v>65.912999999999997</v>
      </c>
      <c r="U286" s="76">
        <v>65.912999999999997</v>
      </c>
      <c r="V286" s="76">
        <v>65.912999999999997</v>
      </c>
    </row>
    <row r="287" spans="1:22">
      <c r="A287" s="326" t="s">
        <v>71</v>
      </c>
      <c r="B287" s="159">
        <v>23</v>
      </c>
      <c r="C287" s="76">
        <v>27.556999999999999</v>
      </c>
      <c r="D287" s="76">
        <v>27.556999999999999</v>
      </c>
      <c r="E287" s="76">
        <v>34.801000000000002</v>
      </c>
      <c r="F287" s="76">
        <v>44.115000000000002</v>
      </c>
      <c r="G287" s="76">
        <v>44.115000000000002</v>
      </c>
      <c r="H287" s="76">
        <v>44.115000000000002</v>
      </c>
      <c r="I287" s="76">
        <v>72.058000000000007</v>
      </c>
      <c r="J287" s="76">
        <v>72.058000000000007</v>
      </c>
      <c r="K287" s="76">
        <v>100</v>
      </c>
      <c r="L287" s="76">
        <v>100</v>
      </c>
      <c r="M287" s="76">
        <v>100</v>
      </c>
      <c r="N287" s="76">
        <v>100</v>
      </c>
      <c r="O287" s="76">
        <v>100</v>
      </c>
      <c r="P287" s="76">
        <v>100</v>
      </c>
      <c r="Q287" s="76">
        <v>100</v>
      </c>
      <c r="R287" s="76">
        <v>100</v>
      </c>
      <c r="S287" s="76">
        <v>100</v>
      </c>
      <c r="T287" s="76">
        <v>100</v>
      </c>
      <c r="U287" s="76">
        <v>100</v>
      </c>
      <c r="V287" s="76">
        <v>100</v>
      </c>
    </row>
    <row r="288" spans="1:22">
      <c r="A288" s="326" t="s">
        <v>8</v>
      </c>
      <c r="B288" s="159">
        <v>1596</v>
      </c>
      <c r="C288" s="76">
        <v>0</v>
      </c>
      <c r="D288" s="76">
        <v>0</v>
      </c>
      <c r="E288" s="76">
        <v>7.4999999999999997E-2</v>
      </c>
      <c r="F288" s="76">
        <v>7.4999999999999997E-2</v>
      </c>
      <c r="G288" s="76">
        <v>0.161</v>
      </c>
      <c r="H288" s="76">
        <v>0.252</v>
      </c>
      <c r="I288" s="76">
        <v>0.439</v>
      </c>
      <c r="J288" s="76">
        <v>0.73599999999999999</v>
      </c>
      <c r="K288" s="76">
        <v>1.458</v>
      </c>
      <c r="L288" s="76">
        <v>2.0030000000000001</v>
      </c>
      <c r="M288" s="76">
        <v>2.3519999999999999</v>
      </c>
      <c r="N288" s="76">
        <v>2.3519999999999999</v>
      </c>
      <c r="O288" s="76">
        <v>2.4820000000000002</v>
      </c>
      <c r="P288" s="76">
        <v>2.4820000000000002</v>
      </c>
      <c r="Q288" s="76">
        <v>2.6280000000000001</v>
      </c>
      <c r="R288" s="76">
        <v>3.6859999999999999</v>
      </c>
      <c r="S288" s="76">
        <v>5.0830000000000002</v>
      </c>
      <c r="T288" s="76">
        <v>5.5860000000000003</v>
      </c>
      <c r="U288" s="76">
        <v>6.1059999999999999</v>
      </c>
      <c r="V288" s="76">
        <v>6.4669999999999996</v>
      </c>
    </row>
    <row r="289" spans="1:22">
      <c r="A289" s="326" t="s">
        <v>9</v>
      </c>
      <c r="B289" s="159">
        <v>639</v>
      </c>
      <c r="C289" s="76">
        <v>3.1509999999999998</v>
      </c>
      <c r="D289" s="76">
        <v>5.0430000000000001</v>
      </c>
      <c r="E289" s="76">
        <v>8.5679999999999996</v>
      </c>
      <c r="F289" s="76">
        <v>10.065</v>
      </c>
      <c r="G289" s="76">
        <v>11.773</v>
      </c>
      <c r="H289" s="76">
        <v>13.833</v>
      </c>
      <c r="I289" s="76">
        <v>17.265999999999998</v>
      </c>
      <c r="J289" s="76">
        <v>21.13</v>
      </c>
      <c r="K289" s="76">
        <v>25.707000000000001</v>
      </c>
      <c r="L289" s="76">
        <v>30.088999999999999</v>
      </c>
      <c r="M289" s="76">
        <v>30.603000000000002</v>
      </c>
      <c r="N289" s="76">
        <v>31.207000000000001</v>
      </c>
      <c r="O289" s="76">
        <v>31.867999999999999</v>
      </c>
      <c r="P289" s="76">
        <v>33.280999999999999</v>
      </c>
      <c r="Q289" s="76">
        <v>34.039000000000001</v>
      </c>
      <c r="R289" s="76">
        <v>37.719000000000001</v>
      </c>
      <c r="S289" s="76">
        <v>42.625999999999998</v>
      </c>
      <c r="T289" s="76">
        <v>42.625999999999998</v>
      </c>
      <c r="U289" s="76">
        <v>42.625999999999998</v>
      </c>
      <c r="V289" s="76">
        <v>42.625999999999998</v>
      </c>
    </row>
    <row r="290" spans="1:22">
      <c r="A290" s="326" t="s">
        <v>79</v>
      </c>
      <c r="B290" s="159">
        <v>2235</v>
      </c>
      <c r="C290" s="76">
        <v>0.89</v>
      </c>
      <c r="D290" s="76">
        <v>1.405</v>
      </c>
      <c r="E290" s="76">
        <v>2.3650000000000002</v>
      </c>
      <c r="F290" s="76">
        <v>2.73</v>
      </c>
      <c r="G290" s="76">
        <v>3.1890000000000001</v>
      </c>
      <c r="H290" s="76">
        <v>3.6890000000000001</v>
      </c>
      <c r="I290" s="76">
        <v>4.5119999999999996</v>
      </c>
      <c r="J290" s="76">
        <v>5.4669999999999996</v>
      </c>
      <c r="K290" s="76">
        <v>6.8860000000000001</v>
      </c>
      <c r="L290" s="76">
        <v>8.1180000000000003</v>
      </c>
      <c r="M290" s="76">
        <v>8.4939999999999998</v>
      </c>
      <c r="N290" s="76">
        <v>8.5939999999999994</v>
      </c>
      <c r="O290" s="76">
        <v>8.8079999999999998</v>
      </c>
      <c r="P290" s="76">
        <v>9.0340000000000007</v>
      </c>
      <c r="Q290" s="76">
        <v>9.2720000000000002</v>
      </c>
      <c r="R290" s="76">
        <v>10.666</v>
      </c>
      <c r="S290" s="76">
        <v>12.493</v>
      </c>
      <c r="T290" s="76">
        <v>12.917</v>
      </c>
      <c r="U290" s="76">
        <v>13.356999999999999</v>
      </c>
      <c r="V290" s="76">
        <v>13.662000000000001</v>
      </c>
    </row>
    <row r="291" spans="1:22">
      <c r="A291" s="326">
        <v>34335</v>
      </c>
      <c r="B291" s="327"/>
    </row>
    <row r="292" spans="1:22">
      <c r="A292" s="328" t="s">
        <v>0</v>
      </c>
      <c r="B292" s="329" t="s">
        <v>78</v>
      </c>
      <c r="C292" s="329">
        <v>1</v>
      </c>
      <c r="D292" s="329">
        <v>2</v>
      </c>
      <c r="E292" s="329">
        <v>3</v>
      </c>
      <c r="F292" s="329">
        <v>4</v>
      </c>
      <c r="G292" s="329">
        <v>5</v>
      </c>
      <c r="H292" s="329">
        <v>6</v>
      </c>
      <c r="I292" s="329">
        <v>7</v>
      </c>
      <c r="J292" s="329">
        <v>8</v>
      </c>
      <c r="K292" s="329">
        <v>9</v>
      </c>
      <c r="L292" s="329">
        <v>10</v>
      </c>
      <c r="M292" s="329">
        <v>11</v>
      </c>
      <c r="N292" s="329">
        <v>12</v>
      </c>
      <c r="O292" s="329">
        <v>13</v>
      </c>
      <c r="P292" s="329">
        <v>14</v>
      </c>
      <c r="Q292" s="329">
        <v>15</v>
      </c>
      <c r="R292" s="329">
        <v>16</v>
      </c>
      <c r="S292" s="329">
        <v>17</v>
      </c>
      <c r="T292" s="329">
        <v>18</v>
      </c>
      <c r="U292" s="329">
        <v>19</v>
      </c>
      <c r="V292" s="329">
        <v>20</v>
      </c>
    </row>
    <row r="293" spans="1:22">
      <c r="A293" s="326" t="s">
        <v>1</v>
      </c>
      <c r="B293" s="159">
        <v>110</v>
      </c>
      <c r="C293" s="76">
        <v>0</v>
      </c>
      <c r="D293" s="76">
        <v>0</v>
      </c>
      <c r="E293" s="76">
        <v>0</v>
      </c>
      <c r="F293" s="76">
        <v>0</v>
      </c>
      <c r="G293" s="76">
        <v>0</v>
      </c>
      <c r="H293" s="76">
        <v>0</v>
      </c>
      <c r="I293" s="76">
        <v>0</v>
      </c>
      <c r="J293" s="76">
        <v>0</v>
      </c>
      <c r="K293" s="76">
        <v>0</v>
      </c>
      <c r="L293" s="76">
        <v>0</v>
      </c>
      <c r="M293" s="76">
        <v>0</v>
      </c>
      <c r="N293" s="76">
        <v>0</v>
      </c>
      <c r="O293" s="76">
        <v>0</v>
      </c>
      <c r="P293" s="76">
        <v>0</v>
      </c>
      <c r="Q293" s="76">
        <v>0</v>
      </c>
      <c r="R293" s="76">
        <v>0</v>
      </c>
      <c r="S293" s="76">
        <v>0</v>
      </c>
      <c r="T293" s="76">
        <v>0</v>
      </c>
      <c r="U293" s="76">
        <v>0</v>
      </c>
      <c r="V293" s="76">
        <v>0</v>
      </c>
    </row>
    <row r="294" spans="1:22">
      <c r="A294" s="326" t="s">
        <v>2</v>
      </c>
      <c r="B294" s="159">
        <v>369</v>
      </c>
      <c r="C294" s="76">
        <v>0</v>
      </c>
      <c r="D294" s="76">
        <v>0</v>
      </c>
      <c r="E294" s="76">
        <v>0</v>
      </c>
      <c r="F294" s="76">
        <v>0</v>
      </c>
      <c r="G294" s="76">
        <v>0</v>
      </c>
      <c r="H294" s="76">
        <v>0</v>
      </c>
      <c r="I294" s="76">
        <v>0</v>
      </c>
      <c r="J294" s="76">
        <v>0</v>
      </c>
      <c r="K294" s="76">
        <v>0</v>
      </c>
      <c r="L294" s="76">
        <v>0</v>
      </c>
      <c r="M294" s="76">
        <v>0</v>
      </c>
      <c r="N294" s="76">
        <v>0</v>
      </c>
      <c r="O294" s="76">
        <v>0</v>
      </c>
      <c r="P294" s="76">
        <v>0</v>
      </c>
      <c r="Q294" s="76">
        <v>0</v>
      </c>
      <c r="R294" s="76">
        <v>0</v>
      </c>
      <c r="S294" s="76">
        <v>0.68500000000000005</v>
      </c>
      <c r="T294" s="76">
        <v>0.68500000000000005</v>
      </c>
      <c r="U294" s="76">
        <v>0.68500000000000005</v>
      </c>
      <c r="V294" s="76">
        <v>0.68500000000000005</v>
      </c>
    </row>
    <row r="295" spans="1:22">
      <c r="A295" s="326" t="s">
        <v>3</v>
      </c>
      <c r="B295" s="159">
        <v>761</v>
      </c>
      <c r="C295" s="76">
        <v>0</v>
      </c>
      <c r="D295" s="76">
        <v>0</v>
      </c>
      <c r="E295" s="76">
        <v>0</v>
      </c>
      <c r="F295" s="76">
        <v>0</v>
      </c>
      <c r="G295" s="76">
        <v>0</v>
      </c>
      <c r="H295" s="76">
        <v>0</v>
      </c>
      <c r="I295" s="76">
        <v>0.19800000000000001</v>
      </c>
      <c r="J295" s="76">
        <v>0.59699999999999998</v>
      </c>
      <c r="K295" s="76">
        <v>1.012</v>
      </c>
      <c r="L295" s="76">
        <v>1.4630000000000001</v>
      </c>
      <c r="M295" s="76">
        <v>1.4630000000000001</v>
      </c>
      <c r="N295" s="76">
        <v>1.4630000000000001</v>
      </c>
      <c r="O295" s="76">
        <v>1.4630000000000001</v>
      </c>
      <c r="P295" s="76">
        <v>1.4630000000000001</v>
      </c>
      <c r="Q295" s="76">
        <v>2.64</v>
      </c>
      <c r="R295" s="76">
        <v>4.1769999999999996</v>
      </c>
      <c r="S295" s="76">
        <v>4.5119999999999996</v>
      </c>
      <c r="T295" s="76">
        <v>5.5609999999999999</v>
      </c>
      <c r="U295" s="76">
        <v>5.923</v>
      </c>
      <c r="V295" s="76">
        <v>5.923</v>
      </c>
    </row>
    <row r="296" spans="1:22">
      <c r="A296" s="326" t="s">
        <v>4</v>
      </c>
      <c r="B296" s="159">
        <v>473</v>
      </c>
      <c r="C296" s="76">
        <v>0</v>
      </c>
      <c r="D296" s="76">
        <v>0.22800000000000001</v>
      </c>
      <c r="E296" s="76">
        <v>0.22800000000000001</v>
      </c>
      <c r="F296" s="76">
        <v>0.48199999999999998</v>
      </c>
      <c r="G296" s="76">
        <v>0.752</v>
      </c>
      <c r="H296" s="76">
        <v>2.1459999999999999</v>
      </c>
      <c r="I296" s="76">
        <v>2.7360000000000002</v>
      </c>
      <c r="J296" s="76">
        <v>4.2859999999999996</v>
      </c>
      <c r="K296" s="76">
        <v>5.2709999999999999</v>
      </c>
      <c r="L296" s="76">
        <v>5.9619999999999997</v>
      </c>
      <c r="M296" s="76">
        <v>5.9619999999999997</v>
      </c>
      <c r="N296" s="76">
        <v>6.359</v>
      </c>
      <c r="O296" s="76">
        <v>6.359</v>
      </c>
      <c r="P296" s="76">
        <v>6.8090000000000002</v>
      </c>
      <c r="Q296" s="76">
        <v>8.7810000000000006</v>
      </c>
      <c r="R296" s="76">
        <v>11.351000000000001</v>
      </c>
      <c r="S296" s="76">
        <v>11.894</v>
      </c>
      <c r="T296" s="76">
        <v>13.061</v>
      </c>
      <c r="U296" s="76">
        <v>13.691000000000001</v>
      </c>
      <c r="V296" s="76">
        <v>13.691000000000001</v>
      </c>
    </row>
    <row r="297" spans="1:22">
      <c r="A297" s="326" t="s">
        <v>5</v>
      </c>
      <c r="B297" s="159">
        <v>413</v>
      </c>
      <c r="C297" s="76">
        <v>0.26500000000000001</v>
      </c>
      <c r="D297" s="76">
        <v>1.98</v>
      </c>
      <c r="E297" s="76">
        <v>2.29</v>
      </c>
      <c r="F297" s="76">
        <v>3.3010000000000002</v>
      </c>
      <c r="G297" s="76">
        <v>5.38</v>
      </c>
      <c r="H297" s="76">
        <v>8.9510000000000005</v>
      </c>
      <c r="I297" s="76">
        <v>11.952999999999999</v>
      </c>
      <c r="J297" s="76">
        <v>15.236000000000001</v>
      </c>
      <c r="K297" s="76">
        <v>18.835999999999999</v>
      </c>
      <c r="L297" s="76">
        <v>19.486000000000001</v>
      </c>
      <c r="M297" s="76">
        <v>19.486000000000001</v>
      </c>
      <c r="N297" s="76">
        <v>20.38</v>
      </c>
      <c r="O297" s="76">
        <v>21.388000000000002</v>
      </c>
      <c r="P297" s="76">
        <v>21.388000000000002</v>
      </c>
      <c r="Q297" s="76">
        <v>25.204000000000001</v>
      </c>
      <c r="R297" s="76">
        <v>32.18</v>
      </c>
      <c r="S297" s="76">
        <v>32.18</v>
      </c>
      <c r="T297" s="76">
        <v>32.18</v>
      </c>
      <c r="U297" s="76">
        <v>33.918999999999997</v>
      </c>
      <c r="V297" s="76">
        <v>33.918999999999997</v>
      </c>
    </row>
    <row r="298" spans="1:22">
      <c r="A298" s="326" t="s">
        <v>6</v>
      </c>
      <c r="B298" s="159">
        <v>340</v>
      </c>
      <c r="C298" s="76">
        <v>4.1100000000000003</v>
      </c>
      <c r="D298" s="76">
        <v>8.3719999999999999</v>
      </c>
      <c r="E298" s="76">
        <v>11.586</v>
      </c>
      <c r="F298" s="76">
        <v>13.515000000000001</v>
      </c>
      <c r="G298" s="76">
        <v>16.968</v>
      </c>
      <c r="H298" s="76">
        <v>21.971</v>
      </c>
      <c r="I298" s="76">
        <v>28.318999999999999</v>
      </c>
      <c r="J298" s="76">
        <v>33.466000000000001</v>
      </c>
      <c r="K298" s="76">
        <v>38.953000000000003</v>
      </c>
      <c r="L298" s="76">
        <v>42.941000000000003</v>
      </c>
      <c r="M298" s="76">
        <v>46.232999999999997</v>
      </c>
      <c r="N298" s="76">
        <v>46.232999999999997</v>
      </c>
      <c r="O298" s="76">
        <v>48.99</v>
      </c>
      <c r="P298" s="76">
        <v>50.536000000000001</v>
      </c>
      <c r="Q298" s="76">
        <v>54.493000000000002</v>
      </c>
      <c r="R298" s="76">
        <v>58.543999999999997</v>
      </c>
      <c r="S298" s="76">
        <v>58.543999999999997</v>
      </c>
      <c r="T298" s="76">
        <v>58.543999999999997</v>
      </c>
      <c r="U298" s="76">
        <v>58.543999999999997</v>
      </c>
      <c r="V298" s="76">
        <v>58.543999999999997</v>
      </c>
    </row>
    <row r="299" spans="1:22">
      <c r="A299" s="326" t="s">
        <v>71</v>
      </c>
      <c r="B299" s="159">
        <v>38</v>
      </c>
      <c r="C299" s="76">
        <v>5.4050000000000002</v>
      </c>
      <c r="D299" s="76">
        <v>11.521000000000001</v>
      </c>
      <c r="E299" s="76">
        <v>23.555</v>
      </c>
      <c r="F299" s="76">
        <v>23.555</v>
      </c>
      <c r="G299" s="76">
        <v>23.555</v>
      </c>
      <c r="H299" s="76">
        <v>38.225999999999999</v>
      </c>
      <c r="I299" s="76">
        <v>38.225999999999999</v>
      </c>
      <c r="J299" s="76">
        <v>76.834999999999994</v>
      </c>
      <c r="K299" s="76">
        <v>76.834999999999994</v>
      </c>
      <c r="L299" s="76">
        <v>76.834999999999994</v>
      </c>
      <c r="M299" s="76">
        <v>76.834999999999994</v>
      </c>
      <c r="N299" s="76">
        <v>76.834999999999994</v>
      </c>
      <c r="O299" s="76">
        <v>76.834999999999994</v>
      </c>
      <c r="P299" s="76">
        <v>76.834999999999994</v>
      </c>
      <c r="Q299" s="76">
        <v>76.834999999999994</v>
      </c>
      <c r="R299" s="76" t="s">
        <v>172</v>
      </c>
      <c r="S299" s="76" t="s">
        <v>172</v>
      </c>
      <c r="T299" s="76" t="s">
        <v>172</v>
      </c>
      <c r="U299" s="76" t="s">
        <v>172</v>
      </c>
      <c r="V299" s="76" t="s">
        <v>172</v>
      </c>
    </row>
    <row r="300" spans="1:22">
      <c r="A300" s="326" t="s">
        <v>8</v>
      </c>
      <c r="B300" s="159">
        <v>1713</v>
      </c>
      <c r="C300" s="76">
        <v>0</v>
      </c>
      <c r="D300" s="76">
        <v>6.3E-2</v>
      </c>
      <c r="E300" s="76">
        <v>6.3E-2</v>
      </c>
      <c r="F300" s="76">
        <v>0.13500000000000001</v>
      </c>
      <c r="G300" s="76">
        <v>0.21099999999999999</v>
      </c>
      <c r="H300" s="76">
        <v>0.60199999999999998</v>
      </c>
      <c r="I300" s="76">
        <v>0.85</v>
      </c>
      <c r="J300" s="76">
        <v>1.452</v>
      </c>
      <c r="K300" s="76">
        <v>1.9039999999999999</v>
      </c>
      <c r="L300" s="76">
        <v>2.2879999999999998</v>
      </c>
      <c r="M300" s="76">
        <v>2.2879999999999998</v>
      </c>
      <c r="N300" s="76">
        <v>2.3980000000000001</v>
      </c>
      <c r="O300" s="76">
        <v>2.3980000000000001</v>
      </c>
      <c r="P300" s="76">
        <v>2.5209999999999999</v>
      </c>
      <c r="Q300" s="76">
        <v>3.55</v>
      </c>
      <c r="R300" s="76">
        <v>4.899</v>
      </c>
      <c r="S300" s="76">
        <v>5.335</v>
      </c>
      <c r="T300" s="76">
        <v>6.0970000000000004</v>
      </c>
      <c r="U300" s="76">
        <v>6.415</v>
      </c>
      <c r="V300" s="76">
        <v>6.415</v>
      </c>
    </row>
    <row r="301" spans="1:22">
      <c r="A301" s="326" t="s">
        <v>9</v>
      </c>
      <c r="B301" s="159">
        <v>791</v>
      </c>
      <c r="C301" s="76">
        <v>2.145</v>
      </c>
      <c r="D301" s="76">
        <v>5.1429999999999998</v>
      </c>
      <c r="E301" s="76">
        <v>7.1559999999999997</v>
      </c>
      <c r="F301" s="76">
        <v>8.4870000000000001</v>
      </c>
      <c r="G301" s="76">
        <v>11.038</v>
      </c>
      <c r="H301" s="76">
        <v>15.522</v>
      </c>
      <c r="I301" s="76">
        <v>19.693000000000001</v>
      </c>
      <c r="J301" s="76">
        <v>24.219000000000001</v>
      </c>
      <c r="K301" s="76">
        <v>28.428999999999998</v>
      </c>
      <c r="L301" s="76">
        <v>30.338999999999999</v>
      </c>
      <c r="M301" s="76">
        <v>31.664999999999999</v>
      </c>
      <c r="N301" s="76">
        <v>32.186999999999998</v>
      </c>
      <c r="O301" s="76">
        <v>33.887999999999998</v>
      </c>
      <c r="P301" s="76">
        <v>34.505000000000003</v>
      </c>
      <c r="Q301" s="76">
        <v>38.259</v>
      </c>
      <c r="R301" s="76">
        <v>43.914000000000001</v>
      </c>
      <c r="S301" s="76">
        <v>43.914000000000001</v>
      </c>
      <c r="T301" s="76">
        <v>43.914000000000001</v>
      </c>
      <c r="U301" s="76">
        <v>44.972000000000001</v>
      </c>
      <c r="V301" s="76">
        <v>44.972000000000001</v>
      </c>
    </row>
    <row r="302" spans="1:22">
      <c r="A302" s="326" t="s">
        <v>79</v>
      </c>
      <c r="B302" s="159">
        <v>2504</v>
      </c>
      <c r="C302" s="76">
        <v>0.66300000000000003</v>
      </c>
      <c r="D302" s="76">
        <v>1.601</v>
      </c>
      <c r="E302" s="76">
        <v>2.1800000000000002</v>
      </c>
      <c r="F302" s="76">
        <v>2.5960000000000001</v>
      </c>
      <c r="G302" s="76">
        <v>3.2789999999999999</v>
      </c>
      <c r="H302" s="76">
        <v>4.5999999999999996</v>
      </c>
      <c r="I302" s="76">
        <v>5.6840000000000002</v>
      </c>
      <c r="J302" s="76">
        <v>7.0970000000000004</v>
      </c>
      <c r="K302" s="76">
        <v>8.3070000000000004</v>
      </c>
      <c r="L302" s="76">
        <v>8.99</v>
      </c>
      <c r="M302" s="76">
        <v>9.2330000000000005</v>
      </c>
      <c r="N302" s="76">
        <v>9.4109999999999996</v>
      </c>
      <c r="O302" s="76">
        <v>9.6929999999999996</v>
      </c>
      <c r="P302" s="76">
        <v>9.8919999999999995</v>
      </c>
      <c r="Q302" s="76">
        <v>11.279</v>
      </c>
      <c r="R302" s="76">
        <v>13.176</v>
      </c>
      <c r="S302" s="76">
        <v>13.542</v>
      </c>
      <c r="T302" s="76">
        <v>14.18</v>
      </c>
      <c r="U302" s="76">
        <v>14.582000000000001</v>
      </c>
      <c r="V302" s="76">
        <v>14.582000000000001</v>
      </c>
    </row>
    <row r="303" spans="1:22">
      <c r="A303" s="326">
        <v>34700</v>
      </c>
      <c r="B303" s="327"/>
    </row>
    <row r="304" spans="1:22">
      <c r="A304" s="328" t="s">
        <v>0</v>
      </c>
      <c r="B304" s="329" t="s">
        <v>78</v>
      </c>
      <c r="C304" s="329">
        <v>1</v>
      </c>
      <c r="D304" s="329">
        <v>2</v>
      </c>
      <c r="E304" s="329">
        <v>3</v>
      </c>
      <c r="F304" s="329">
        <v>4</v>
      </c>
      <c r="G304" s="329">
        <v>5</v>
      </c>
      <c r="H304" s="329">
        <v>6</v>
      </c>
      <c r="I304" s="329">
        <v>7</v>
      </c>
      <c r="J304" s="329">
        <v>8</v>
      </c>
      <c r="K304" s="329">
        <v>9</v>
      </c>
      <c r="L304" s="329">
        <v>10</v>
      </c>
      <c r="M304" s="329">
        <v>11</v>
      </c>
      <c r="N304" s="329">
        <v>12</v>
      </c>
      <c r="O304" s="329">
        <v>13</v>
      </c>
      <c r="P304" s="329">
        <v>14</v>
      </c>
      <c r="Q304" s="329">
        <v>15</v>
      </c>
      <c r="R304" s="329">
        <v>16</v>
      </c>
      <c r="S304" s="329">
        <v>17</v>
      </c>
      <c r="T304" s="329">
        <v>18</v>
      </c>
      <c r="U304" s="329">
        <v>19</v>
      </c>
    </row>
    <row r="305" spans="1:22">
      <c r="A305" s="326" t="s">
        <v>1</v>
      </c>
      <c r="B305" s="159">
        <v>107</v>
      </c>
      <c r="C305" s="76">
        <v>0</v>
      </c>
      <c r="D305" s="76">
        <v>0</v>
      </c>
      <c r="E305" s="76">
        <v>0</v>
      </c>
      <c r="F305" s="76">
        <v>0</v>
      </c>
      <c r="G305" s="76">
        <v>0</v>
      </c>
      <c r="H305" s="76">
        <v>0</v>
      </c>
      <c r="I305" s="76">
        <v>0</v>
      </c>
      <c r="J305" s="76">
        <v>0</v>
      </c>
      <c r="K305" s="76">
        <v>0</v>
      </c>
      <c r="L305" s="76">
        <v>0</v>
      </c>
      <c r="M305" s="76">
        <v>0</v>
      </c>
      <c r="N305" s="76">
        <v>0</v>
      </c>
      <c r="O305" s="76">
        <v>0</v>
      </c>
      <c r="P305" s="76">
        <v>0</v>
      </c>
      <c r="Q305" s="76">
        <v>0</v>
      </c>
      <c r="R305" s="76">
        <v>0</v>
      </c>
      <c r="S305" s="76">
        <v>0</v>
      </c>
      <c r="T305" s="76">
        <v>0</v>
      </c>
      <c r="U305" s="76">
        <v>0</v>
      </c>
      <c r="V305" s="76" t="s">
        <v>172</v>
      </c>
    </row>
    <row r="306" spans="1:22">
      <c r="A306" s="326" t="s">
        <v>2</v>
      </c>
      <c r="B306" s="159">
        <v>392</v>
      </c>
      <c r="C306" s="76">
        <v>0</v>
      </c>
      <c r="D306" s="76">
        <v>0</v>
      </c>
      <c r="E306" s="76">
        <v>0</v>
      </c>
      <c r="F306" s="76">
        <v>0</v>
      </c>
      <c r="G306" s="76">
        <v>0</v>
      </c>
      <c r="H306" s="76">
        <v>0</v>
      </c>
      <c r="I306" s="76">
        <v>0</v>
      </c>
      <c r="J306" s="76">
        <v>0</v>
      </c>
      <c r="K306" s="76">
        <v>0</v>
      </c>
      <c r="L306" s="76">
        <v>0</v>
      </c>
      <c r="M306" s="76">
        <v>0</v>
      </c>
      <c r="N306" s="76">
        <v>0</v>
      </c>
      <c r="O306" s="76">
        <v>0</v>
      </c>
      <c r="P306" s="76">
        <v>0</v>
      </c>
      <c r="Q306" s="76">
        <v>0.59199999999999997</v>
      </c>
      <c r="R306" s="76">
        <v>1.2210000000000001</v>
      </c>
      <c r="S306" s="76">
        <v>1.2210000000000001</v>
      </c>
      <c r="T306" s="76">
        <v>1.2210000000000001</v>
      </c>
      <c r="U306" s="76">
        <v>1.2210000000000001</v>
      </c>
      <c r="V306" s="76" t="s">
        <v>172</v>
      </c>
    </row>
    <row r="307" spans="1:22">
      <c r="A307" s="326" t="s">
        <v>3</v>
      </c>
      <c r="B307" s="159">
        <v>811</v>
      </c>
      <c r="C307" s="76">
        <v>0</v>
      </c>
      <c r="D307" s="76">
        <v>0</v>
      </c>
      <c r="E307" s="76">
        <v>0</v>
      </c>
      <c r="F307" s="76">
        <v>0</v>
      </c>
      <c r="G307" s="76">
        <v>0</v>
      </c>
      <c r="H307" s="76">
        <v>0.17299999999999999</v>
      </c>
      <c r="I307" s="76">
        <v>0.52100000000000002</v>
      </c>
      <c r="J307" s="76">
        <v>1.073</v>
      </c>
      <c r="K307" s="76">
        <v>1.4670000000000001</v>
      </c>
      <c r="L307" s="76">
        <v>1.4670000000000001</v>
      </c>
      <c r="M307" s="76">
        <v>1.4670000000000001</v>
      </c>
      <c r="N307" s="76">
        <v>1.4670000000000001</v>
      </c>
      <c r="O307" s="76">
        <v>1.4670000000000001</v>
      </c>
      <c r="P307" s="76">
        <v>2.556</v>
      </c>
      <c r="Q307" s="76">
        <v>3.6930000000000001</v>
      </c>
      <c r="R307" s="76">
        <v>4.0049999999999999</v>
      </c>
      <c r="S307" s="76">
        <v>4.984</v>
      </c>
      <c r="T307" s="76">
        <v>5.3230000000000004</v>
      </c>
      <c r="U307" s="76">
        <v>5.3230000000000004</v>
      </c>
      <c r="V307" s="76" t="s">
        <v>172</v>
      </c>
    </row>
    <row r="308" spans="1:22">
      <c r="A308" s="326" t="s">
        <v>4</v>
      </c>
      <c r="B308" s="159">
        <v>478</v>
      </c>
      <c r="C308" s="76">
        <v>0</v>
      </c>
      <c r="D308" s="76">
        <v>0</v>
      </c>
      <c r="E308" s="76">
        <v>0</v>
      </c>
      <c r="F308" s="76">
        <v>0.255</v>
      </c>
      <c r="G308" s="76">
        <v>1.5720000000000001</v>
      </c>
      <c r="H308" s="76">
        <v>2.1360000000000001</v>
      </c>
      <c r="I308" s="76">
        <v>3.9159999999999999</v>
      </c>
      <c r="J308" s="76">
        <v>4.5430000000000001</v>
      </c>
      <c r="K308" s="76">
        <v>4.8680000000000003</v>
      </c>
      <c r="L308" s="76">
        <v>4.8680000000000003</v>
      </c>
      <c r="M308" s="76">
        <v>5.2510000000000003</v>
      </c>
      <c r="N308" s="76">
        <v>5.2510000000000003</v>
      </c>
      <c r="O308" s="76">
        <v>5.6849999999999996</v>
      </c>
      <c r="P308" s="76">
        <v>7.5919999999999996</v>
      </c>
      <c r="Q308" s="76">
        <v>10.07</v>
      </c>
      <c r="R308" s="76">
        <v>10.596</v>
      </c>
      <c r="S308" s="76">
        <v>11.712999999999999</v>
      </c>
      <c r="T308" s="76">
        <v>12.318</v>
      </c>
      <c r="U308" s="76">
        <v>12.318</v>
      </c>
      <c r="V308" s="76" t="s">
        <v>172</v>
      </c>
    </row>
    <row r="309" spans="1:22">
      <c r="A309" s="326" t="s">
        <v>5</v>
      </c>
      <c r="B309" s="159">
        <v>421</v>
      </c>
      <c r="C309" s="76">
        <v>0.77200000000000002</v>
      </c>
      <c r="D309" s="76">
        <v>1.05</v>
      </c>
      <c r="E309" s="76">
        <v>2.2629999999999999</v>
      </c>
      <c r="F309" s="76">
        <v>4.1029999999999998</v>
      </c>
      <c r="G309" s="76">
        <v>8.0809999999999995</v>
      </c>
      <c r="H309" s="76">
        <v>10.711</v>
      </c>
      <c r="I309" s="76">
        <v>14.038</v>
      </c>
      <c r="J309" s="76">
        <v>17.190999999999999</v>
      </c>
      <c r="K309" s="76">
        <v>18.893000000000001</v>
      </c>
      <c r="L309" s="76">
        <v>18.893000000000001</v>
      </c>
      <c r="M309" s="76">
        <v>19.712</v>
      </c>
      <c r="N309" s="76">
        <v>20.614000000000001</v>
      </c>
      <c r="O309" s="76">
        <v>20.614000000000001</v>
      </c>
      <c r="P309" s="76">
        <v>22.891999999999999</v>
      </c>
      <c r="Q309" s="76">
        <v>33.32</v>
      </c>
      <c r="R309" s="76">
        <v>33.32</v>
      </c>
      <c r="S309" s="76">
        <v>33.32</v>
      </c>
      <c r="T309" s="76">
        <v>34.947000000000003</v>
      </c>
      <c r="U309" s="76">
        <v>34.947000000000003</v>
      </c>
      <c r="V309" s="76" t="s">
        <v>172</v>
      </c>
    </row>
    <row r="310" spans="1:22">
      <c r="A310" s="326" t="s">
        <v>6</v>
      </c>
      <c r="B310" s="159">
        <v>455</v>
      </c>
      <c r="C310" s="76">
        <v>4.3710000000000004</v>
      </c>
      <c r="D310" s="76">
        <v>6.8760000000000003</v>
      </c>
      <c r="E310" s="76">
        <v>9.7989999999999995</v>
      </c>
      <c r="F310" s="76">
        <v>13.148999999999999</v>
      </c>
      <c r="G310" s="76">
        <v>17.100999999999999</v>
      </c>
      <c r="H310" s="76">
        <v>23.459</v>
      </c>
      <c r="I310" s="76">
        <v>32.768000000000001</v>
      </c>
      <c r="J310" s="76">
        <v>40.198999999999998</v>
      </c>
      <c r="K310" s="76">
        <v>44.765000000000001</v>
      </c>
      <c r="L310" s="76">
        <v>47.255000000000003</v>
      </c>
      <c r="M310" s="76">
        <v>48.018999999999998</v>
      </c>
      <c r="N310" s="76">
        <v>49.631999999999998</v>
      </c>
      <c r="O310" s="76">
        <v>50.546999999999997</v>
      </c>
      <c r="P310" s="76">
        <v>53.844000000000001</v>
      </c>
      <c r="Q310" s="76">
        <v>56.097999999999999</v>
      </c>
      <c r="R310" s="76">
        <v>56.097999999999999</v>
      </c>
      <c r="S310" s="76">
        <v>56.097999999999999</v>
      </c>
      <c r="T310" s="76">
        <v>56.097999999999999</v>
      </c>
      <c r="U310" s="76">
        <v>56.097999999999999</v>
      </c>
      <c r="V310" s="76" t="s">
        <v>172</v>
      </c>
    </row>
    <row r="311" spans="1:22">
      <c r="A311" s="326" t="s">
        <v>71</v>
      </c>
      <c r="B311" s="159">
        <v>58</v>
      </c>
      <c r="C311" s="76">
        <v>9.2059999999999995</v>
      </c>
      <c r="D311" s="76">
        <v>19.117000000000001</v>
      </c>
      <c r="E311" s="76">
        <v>19.117000000000001</v>
      </c>
      <c r="F311" s="76">
        <v>27.806999999999999</v>
      </c>
      <c r="G311" s="76">
        <v>41.2</v>
      </c>
      <c r="H311" s="76">
        <v>49.6</v>
      </c>
      <c r="I311" s="76">
        <v>68.5</v>
      </c>
      <c r="J311" s="76">
        <v>79</v>
      </c>
      <c r="K311" s="76" t="s">
        <v>172</v>
      </c>
      <c r="L311" s="76" t="s">
        <v>172</v>
      </c>
      <c r="M311" s="76" t="s">
        <v>172</v>
      </c>
      <c r="N311" s="76" t="s">
        <v>172</v>
      </c>
      <c r="O311" s="76" t="s">
        <v>172</v>
      </c>
      <c r="P311" s="76" t="s">
        <v>172</v>
      </c>
      <c r="Q311" s="76" t="s">
        <v>172</v>
      </c>
      <c r="R311" s="76" t="s">
        <v>172</v>
      </c>
      <c r="S311" s="76" t="s">
        <v>172</v>
      </c>
      <c r="T311" s="76" t="s">
        <v>172</v>
      </c>
      <c r="U311" s="76" t="s">
        <v>172</v>
      </c>
      <c r="V311" s="76" t="s">
        <v>172</v>
      </c>
    </row>
    <row r="312" spans="1:22">
      <c r="A312" s="326" t="s">
        <v>8</v>
      </c>
      <c r="B312" s="159">
        <v>1788</v>
      </c>
      <c r="C312" s="76">
        <v>0</v>
      </c>
      <c r="D312" s="76">
        <v>0</v>
      </c>
      <c r="E312" s="76">
        <v>0</v>
      </c>
      <c r="F312" s="76">
        <v>6.9000000000000006E-2</v>
      </c>
      <c r="G312" s="76">
        <v>0.42199999999999999</v>
      </c>
      <c r="H312" s="76">
        <v>0.64700000000000002</v>
      </c>
      <c r="I312" s="76">
        <v>1.272</v>
      </c>
      <c r="J312" s="76">
        <v>1.681</v>
      </c>
      <c r="K312" s="76">
        <v>1.9419999999999999</v>
      </c>
      <c r="L312" s="76">
        <v>1.9419999999999999</v>
      </c>
      <c r="M312" s="76">
        <v>2.044</v>
      </c>
      <c r="N312" s="76">
        <v>2.044</v>
      </c>
      <c r="O312" s="76">
        <v>2.1589999999999998</v>
      </c>
      <c r="P312" s="76">
        <v>3.129</v>
      </c>
      <c r="Q312" s="76">
        <v>4.4029999999999996</v>
      </c>
      <c r="R312" s="76">
        <v>4.8159999999999998</v>
      </c>
      <c r="S312" s="76">
        <v>5.5380000000000003</v>
      </c>
      <c r="T312" s="76">
        <v>5.8390000000000004</v>
      </c>
      <c r="U312" s="76">
        <v>5.8390000000000004</v>
      </c>
      <c r="V312" s="76" t="s">
        <v>172</v>
      </c>
    </row>
    <row r="313" spans="1:22">
      <c r="A313" s="326" t="s">
        <v>9</v>
      </c>
      <c r="B313" s="159">
        <v>934</v>
      </c>
      <c r="C313" s="76">
        <v>3.0609999999999999</v>
      </c>
      <c r="D313" s="76">
        <v>4.9400000000000004</v>
      </c>
      <c r="E313" s="76">
        <v>6.9189999999999996</v>
      </c>
      <c r="F313" s="76">
        <v>9.8859999999999992</v>
      </c>
      <c r="G313" s="76">
        <v>14.244</v>
      </c>
      <c r="H313" s="76">
        <v>18.771999999999998</v>
      </c>
      <c r="I313" s="76">
        <v>25.283999999999999</v>
      </c>
      <c r="J313" s="76">
        <v>30.609000000000002</v>
      </c>
      <c r="K313" s="76">
        <v>33.683</v>
      </c>
      <c r="L313" s="76">
        <v>34.975999999999999</v>
      </c>
      <c r="M313" s="76">
        <v>35.746000000000002</v>
      </c>
      <c r="N313" s="76">
        <v>37.000999999999998</v>
      </c>
      <c r="O313" s="76">
        <v>37.457999999999998</v>
      </c>
      <c r="P313" s="76">
        <v>40.234000000000002</v>
      </c>
      <c r="Q313" s="76">
        <v>46.213000000000001</v>
      </c>
      <c r="R313" s="76">
        <v>46.213000000000001</v>
      </c>
      <c r="S313" s="76">
        <v>46.213000000000001</v>
      </c>
      <c r="T313" s="76">
        <v>47.027999999999999</v>
      </c>
      <c r="U313" s="76">
        <v>47.027999999999999</v>
      </c>
      <c r="V313" s="76" t="s">
        <v>172</v>
      </c>
    </row>
    <row r="314" spans="1:22">
      <c r="A314" s="326" t="s">
        <v>79</v>
      </c>
      <c r="B314" s="159">
        <v>2722</v>
      </c>
      <c r="C314" s="76">
        <v>1.0309999999999999</v>
      </c>
      <c r="D314" s="76">
        <v>1.647</v>
      </c>
      <c r="E314" s="76">
        <v>2.2669999999999999</v>
      </c>
      <c r="F314" s="76">
        <v>3.18</v>
      </c>
      <c r="G314" s="76">
        <v>4.6159999999999997</v>
      </c>
      <c r="H314" s="76">
        <v>5.9340000000000002</v>
      </c>
      <c r="I314" s="76">
        <v>8.016</v>
      </c>
      <c r="J314" s="76">
        <v>9.6120000000000001</v>
      </c>
      <c r="K314" s="76">
        <v>10.53</v>
      </c>
      <c r="L314" s="76">
        <v>10.814</v>
      </c>
      <c r="M314" s="76">
        <v>11.051</v>
      </c>
      <c r="N314" s="76">
        <v>11.301</v>
      </c>
      <c r="O314" s="76">
        <v>11.478</v>
      </c>
      <c r="P314" s="76">
        <v>12.73</v>
      </c>
      <c r="Q314" s="76">
        <v>14.747999999999999</v>
      </c>
      <c r="R314" s="76">
        <v>15.081</v>
      </c>
      <c r="S314" s="76">
        <v>15.662000000000001</v>
      </c>
      <c r="T314" s="76">
        <v>16.029</v>
      </c>
      <c r="U314" s="76">
        <v>16.029</v>
      </c>
      <c r="V314" s="76" t="s">
        <v>172</v>
      </c>
    </row>
    <row r="315" spans="1:22">
      <c r="A315" s="326">
        <v>35065</v>
      </c>
      <c r="B315" s="327"/>
    </row>
    <row r="316" spans="1:22">
      <c r="A316" s="328" t="s">
        <v>0</v>
      </c>
      <c r="B316" s="329" t="s">
        <v>78</v>
      </c>
      <c r="C316" s="329">
        <v>1</v>
      </c>
      <c r="D316" s="329">
        <v>2</v>
      </c>
      <c r="E316" s="329">
        <v>3</v>
      </c>
      <c r="F316" s="329">
        <v>4</v>
      </c>
      <c r="G316" s="329">
        <v>5</v>
      </c>
      <c r="H316" s="329">
        <v>6</v>
      </c>
      <c r="I316" s="329">
        <v>7</v>
      </c>
      <c r="J316" s="329">
        <v>8</v>
      </c>
      <c r="K316" s="329">
        <v>9</v>
      </c>
      <c r="L316" s="329">
        <v>10</v>
      </c>
      <c r="M316" s="329">
        <v>11</v>
      </c>
      <c r="N316" s="329">
        <v>12</v>
      </c>
      <c r="O316" s="329">
        <v>13</v>
      </c>
      <c r="P316" s="329">
        <v>14</v>
      </c>
      <c r="Q316" s="329">
        <v>15</v>
      </c>
      <c r="R316" s="329">
        <v>16</v>
      </c>
      <c r="S316" s="329">
        <v>17</v>
      </c>
      <c r="T316" s="329">
        <v>18</v>
      </c>
    </row>
    <row r="317" spans="1:22">
      <c r="A317" s="326" t="s">
        <v>1</v>
      </c>
      <c r="B317" s="159">
        <v>111</v>
      </c>
      <c r="C317" s="76">
        <v>0</v>
      </c>
      <c r="D317" s="76">
        <v>0</v>
      </c>
      <c r="E317" s="76">
        <v>0</v>
      </c>
      <c r="F317" s="76">
        <v>0</v>
      </c>
      <c r="G317" s="76">
        <v>0</v>
      </c>
      <c r="H317" s="76">
        <v>0</v>
      </c>
      <c r="I317" s="76">
        <v>0</v>
      </c>
      <c r="J317" s="76">
        <v>0</v>
      </c>
      <c r="K317" s="76">
        <v>0</v>
      </c>
      <c r="L317" s="76">
        <v>0</v>
      </c>
      <c r="M317" s="76">
        <v>0</v>
      </c>
      <c r="N317" s="76">
        <v>0</v>
      </c>
      <c r="O317" s="76">
        <v>0</v>
      </c>
      <c r="P317" s="76">
        <v>0</v>
      </c>
      <c r="Q317" s="76">
        <v>0</v>
      </c>
      <c r="R317" s="76">
        <v>0</v>
      </c>
      <c r="S317" s="76">
        <v>0</v>
      </c>
      <c r="T317" s="76">
        <v>0</v>
      </c>
      <c r="U317" s="76" t="s">
        <v>172</v>
      </c>
      <c r="V317" s="76" t="s">
        <v>172</v>
      </c>
    </row>
    <row r="318" spans="1:22">
      <c r="A318" s="326" t="s">
        <v>2</v>
      </c>
      <c r="B318" s="159">
        <v>430</v>
      </c>
      <c r="C318" s="76">
        <v>0</v>
      </c>
      <c r="D318" s="76">
        <v>0</v>
      </c>
      <c r="E318" s="76">
        <v>0</v>
      </c>
      <c r="F318" s="76">
        <v>0</v>
      </c>
      <c r="G318" s="76">
        <v>0</v>
      </c>
      <c r="H318" s="76">
        <v>0</v>
      </c>
      <c r="I318" s="76">
        <v>0</v>
      </c>
      <c r="J318" s="76">
        <v>0</v>
      </c>
      <c r="K318" s="76">
        <v>0</v>
      </c>
      <c r="L318" s="76">
        <v>0</v>
      </c>
      <c r="M318" s="76">
        <v>0</v>
      </c>
      <c r="N318" s="76">
        <v>0</v>
      </c>
      <c r="O318" s="76">
        <v>0</v>
      </c>
      <c r="P318" s="76">
        <v>0.53500000000000003</v>
      </c>
      <c r="Q318" s="76">
        <v>1.1000000000000001</v>
      </c>
      <c r="R318" s="76">
        <v>1.1000000000000001</v>
      </c>
      <c r="S318" s="76">
        <v>1.1000000000000001</v>
      </c>
      <c r="T318" s="76">
        <v>1.1000000000000001</v>
      </c>
      <c r="U318" s="76" t="s">
        <v>172</v>
      </c>
      <c r="V318" s="76" t="s">
        <v>172</v>
      </c>
    </row>
    <row r="319" spans="1:22">
      <c r="A319" s="326" t="s">
        <v>3</v>
      </c>
      <c r="B319" s="159">
        <v>877</v>
      </c>
      <c r="C319" s="76">
        <v>0</v>
      </c>
      <c r="D319" s="76">
        <v>0</v>
      </c>
      <c r="E319" s="76">
        <v>0</v>
      </c>
      <c r="F319" s="76">
        <v>0</v>
      </c>
      <c r="G319" s="76">
        <v>0.15</v>
      </c>
      <c r="H319" s="76">
        <v>0.45200000000000001</v>
      </c>
      <c r="I319" s="76">
        <v>0.77200000000000002</v>
      </c>
      <c r="J319" s="76">
        <v>1.115</v>
      </c>
      <c r="K319" s="76">
        <v>1.115</v>
      </c>
      <c r="L319" s="76">
        <v>1.115</v>
      </c>
      <c r="M319" s="76">
        <v>1.115</v>
      </c>
      <c r="N319" s="76">
        <v>1.115</v>
      </c>
      <c r="O319" s="76">
        <v>2.0819999999999999</v>
      </c>
      <c r="P319" s="76">
        <v>3.3340000000000001</v>
      </c>
      <c r="Q319" s="76">
        <v>3.6070000000000002</v>
      </c>
      <c r="R319" s="76">
        <v>4.4630000000000001</v>
      </c>
      <c r="S319" s="76">
        <v>4.7590000000000003</v>
      </c>
      <c r="T319" s="76">
        <v>4.7590000000000003</v>
      </c>
      <c r="U319" s="76" t="s">
        <v>172</v>
      </c>
      <c r="V319" s="76" t="s">
        <v>172</v>
      </c>
    </row>
    <row r="320" spans="1:22">
      <c r="A320" s="326" t="s">
        <v>4</v>
      </c>
      <c r="B320" s="159">
        <v>551</v>
      </c>
      <c r="C320" s="76">
        <v>0</v>
      </c>
      <c r="D320" s="76">
        <v>0</v>
      </c>
      <c r="E320" s="76">
        <v>0.20699999999999999</v>
      </c>
      <c r="F320" s="76">
        <v>0.85499999999999998</v>
      </c>
      <c r="G320" s="76">
        <v>1.5349999999999999</v>
      </c>
      <c r="H320" s="76">
        <v>3.2120000000000002</v>
      </c>
      <c r="I320" s="76">
        <v>3.9609999999999999</v>
      </c>
      <c r="J320" s="76">
        <v>4.4880000000000004</v>
      </c>
      <c r="K320" s="76">
        <v>4.7729999999999997</v>
      </c>
      <c r="L320" s="76">
        <v>5.0880000000000001</v>
      </c>
      <c r="M320" s="76">
        <v>5.4249999999999998</v>
      </c>
      <c r="N320" s="76">
        <v>5.4249999999999998</v>
      </c>
      <c r="O320" s="76">
        <v>7.37</v>
      </c>
      <c r="P320" s="76">
        <v>9.4450000000000003</v>
      </c>
      <c r="Q320" s="76">
        <v>9.891</v>
      </c>
      <c r="R320" s="76">
        <v>11.298999999999999</v>
      </c>
      <c r="S320" s="76">
        <v>11.808999999999999</v>
      </c>
      <c r="T320" s="76">
        <v>11.808999999999999</v>
      </c>
      <c r="U320" s="76" t="s">
        <v>172</v>
      </c>
      <c r="V320" s="76" t="s">
        <v>172</v>
      </c>
    </row>
    <row r="321" spans="1:22">
      <c r="A321" s="326" t="s">
        <v>5</v>
      </c>
      <c r="B321" s="159">
        <v>451</v>
      </c>
      <c r="C321" s="76">
        <v>0</v>
      </c>
      <c r="D321" s="76">
        <v>0.75600000000000001</v>
      </c>
      <c r="E321" s="76">
        <v>2.2759999999999998</v>
      </c>
      <c r="F321" s="76">
        <v>6.4980000000000002</v>
      </c>
      <c r="G321" s="76">
        <v>8.6630000000000003</v>
      </c>
      <c r="H321" s="76">
        <v>12.971</v>
      </c>
      <c r="I321" s="76">
        <v>16.039000000000001</v>
      </c>
      <c r="J321" s="76">
        <v>17.975000000000001</v>
      </c>
      <c r="K321" s="76">
        <v>17.975000000000001</v>
      </c>
      <c r="L321" s="76">
        <v>19.364999999999998</v>
      </c>
      <c r="M321" s="76">
        <v>20.132999999999999</v>
      </c>
      <c r="N321" s="76">
        <v>20.992000000000001</v>
      </c>
      <c r="O321" s="76">
        <v>22.937999999999999</v>
      </c>
      <c r="P321" s="76">
        <v>31.776</v>
      </c>
      <c r="Q321" s="76">
        <v>31.776</v>
      </c>
      <c r="R321" s="76">
        <v>31.776</v>
      </c>
      <c r="S321" s="76">
        <v>33.113</v>
      </c>
      <c r="T321" s="76">
        <v>33.113</v>
      </c>
      <c r="U321" s="76" t="s">
        <v>172</v>
      </c>
      <c r="V321" s="76" t="s">
        <v>172</v>
      </c>
    </row>
    <row r="322" spans="1:22">
      <c r="A322" s="326" t="s">
        <v>6</v>
      </c>
      <c r="B322" s="159">
        <v>520</v>
      </c>
      <c r="C322" s="76">
        <v>1.446</v>
      </c>
      <c r="D322" s="76">
        <v>4.4740000000000002</v>
      </c>
      <c r="E322" s="76">
        <v>9.641</v>
      </c>
      <c r="F322" s="76">
        <v>12.817</v>
      </c>
      <c r="G322" s="76">
        <v>19.826000000000001</v>
      </c>
      <c r="H322" s="76">
        <v>28.113</v>
      </c>
      <c r="I322" s="76">
        <v>36.43</v>
      </c>
      <c r="J322" s="76">
        <v>40.793999999999997</v>
      </c>
      <c r="K322" s="76">
        <v>43.917999999999999</v>
      </c>
      <c r="L322" s="76">
        <v>44.707999999999998</v>
      </c>
      <c r="M322" s="76">
        <v>46.396999999999998</v>
      </c>
      <c r="N322" s="76">
        <v>47.353999999999999</v>
      </c>
      <c r="O322" s="76">
        <v>52.14</v>
      </c>
      <c r="P322" s="76">
        <v>57.12</v>
      </c>
      <c r="Q322" s="76">
        <v>58.707999999999998</v>
      </c>
      <c r="R322" s="76">
        <v>58.707999999999998</v>
      </c>
      <c r="S322" s="76">
        <v>58.707999999999998</v>
      </c>
      <c r="T322" s="76">
        <v>58.707999999999998</v>
      </c>
      <c r="U322" s="76" t="s">
        <v>172</v>
      </c>
      <c r="V322" s="76" t="s">
        <v>172</v>
      </c>
    </row>
    <row r="323" spans="1:22">
      <c r="A323" s="326" t="s">
        <v>71</v>
      </c>
      <c r="B323" s="159">
        <v>74</v>
      </c>
      <c r="C323" s="76">
        <v>14.335000000000001</v>
      </c>
      <c r="D323" s="76">
        <v>20.582000000000001</v>
      </c>
      <c r="E323" s="76">
        <v>27.282</v>
      </c>
      <c r="F323" s="76">
        <v>43.655999999999999</v>
      </c>
      <c r="G323" s="76">
        <v>51.389000000000003</v>
      </c>
      <c r="H323" s="76">
        <v>64.647000000000006</v>
      </c>
      <c r="I323" s="76">
        <v>69.066000000000003</v>
      </c>
      <c r="J323" s="76">
        <v>69.066000000000003</v>
      </c>
      <c r="K323" s="76">
        <v>69.066000000000003</v>
      </c>
      <c r="L323" s="76">
        <v>69.066000000000003</v>
      </c>
      <c r="M323" s="76">
        <v>69.066000000000003</v>
      </c>
      <c r="N323" s="76">
        <v>69.066000000000003</v>
      </c>
      <c r="O323" s="76">
        <v>69.066000000000003</v>
      </c>
      <c r="P323" s="76">
        <v>69.066000000000003</v>
      </c>
      <c r="Q323" s="76">
        <v>69.066000000000003</v>
      </c>
      <c r="R323" s="76">
        <v>69.066000000000003</v>
      </c>
      <c r="S323" s="76">
        <v>69.066000000000003</v>
      </c>
      <c r="T323" s="76">
        <v>69.066000000000003</v>
      </c>
      <c r="U323" s="76" t="s">
        <v>172</v>
      </c>
      <c r="V323" s="76" t="s">
        <v>172</v>
      </c>
    </row>
    <row r="324" spans="1:22">
      <c r="A324" s="326" t="s">
        <v>8</v>
      </c>
      <c r="B324" s="159">
        <v>1969</v>
      </c>
      <c r="C324" s="76">
        <v>0</v>
      </c>
      <c r="D324" s="76">
        <v>0</v>
      </c>
      <c r="E324" s="76">
        <v>5.8999999999999997E-2</v>
      </c>
      <c r="F324" s="76">
        <v>0.24299999999999999</v>
      </c>
      <c r="G324" s="76">
        <v>0.5</v>
      </c>
      <c r="H324" s="76">
        <v>1.1060000000000001</v>
      </c>
      <c r="I324" s="76">
        <v>1.4590000000000001</v>
      </c>
      <c r="J324" s="76">
        <v>1.7589999999999999</v>
      </c>
      <c r="K324" s="76">
        <v>1.841</v>
      </c>
      <c r="L324" s="76">
        <v>1.93</v>
      </c>
      <c r="M324" s="76">
        <v>2.0230000000000001</v>
      </c>
      <c r="N324" s="76">
        <v>2.0230000000000001</v>
      </c>
      <c r="O324" s="76">
        <v>2.976</v>
      </c>
      <c r="P324" s="76">
        <v>4.2009999999999996</v>
      </c>
      <c r="Q324" s="76">
        <v>4.5609999999999999</v>
      </c>
      <c r="R324" s="76">
        <v>5.3170000000000002</v>
      </c>
      <c r="S324" s="76">
        <v>5.58</v>
      </c>
      <c r="T324" s="76">
        <v>5.58</v>
      </c>
      <c r="U324" s="76" t="s">
        <v>172</v>
      </c>
      <c r="V324" s="76" t="s">
        <v>172</v>
      </c>
    </row>
    <row r="325" spans="1:22">
      <c r="A325" s="326" t="s">
        <v>9</v>
      </c>
      <c r="B325" s="159">
        <v>1045</v>
      </c>
      <c r="C325" s="76">
        <v>1.7190000000000001</v>
      </c>
      <c r="D325" s="76">
        <v>3.9750000000000001</v>
      </c>
      <c r="E325" s="76">
        <v>7.6589999999999998</v>
      </c>
      <c r="F325" s="76">
        <v>12.15</v>
      </c>
      <c r="G325" s="76">
        <v>16.823</v>
      </c>
      <c r="H325" s="76">
        <v>23.274000000000001</v>
      </c>
      <c r="I325" s="76">
        <v>28.76</v>
      </c>
      <c r="J325" s="76">
        <v>31.724</v>
      </c>
      <c r="K325" s="76">
        <v>33.164999999999999</v>
      </c>
      <c r="L325" s="76">
        <v>34.21</v>
      </c>
      <c r="M325" s="76">
        <v>35.356000000000002</v>
      </c>
      <c r="N325" s="76">
        <v>36.225999999999999</v>
      </c>
      <c r="O325" s="76">
        <v>39.311999999999998</v>
      </c>
      <c r="P325" s="76">
        <v>45.984000000000002</v>
      </c>
      <c r="Q325" s="76">
        <v>46.627000000000002</v>
      </c>
      <c r="R325" s="76">
        <v>46.627000000000002</v>
      </c>
      <c r="S325" s="76">
        <v>47.369</v>
      </c>
      <c r="T325" s="76">
        <v>47.369</v>
      </c>
      <c r="U325" s="76" t="s">
        <v>172</v>
      </c>
      <c r="V325" s="76" t="s">
        <v>172</v>
      </c>
    </row>
    <row r="326" spans="1:22">
      <c r="A326" s="326" t="s">
        <v>79</v>
      </c>
      <c r="B326" s="159">
        <v>3014</v>
      </c>
      <c r="C326" s="76">
        <v>0.58799999999999997</v>
      </c>
      <c r="D326" s="76">
        <v>1.33</v>
      </c>
      <c r="E326" s="76">
        <v>2.5019999999999998</v>
      </c>
      <c r="F326" s="76">
        <v>3.927</v>
      </c>
      <c r="G326" s="76">
        <v>5.3680000000000003</v>
      </c>
      <c r="H326" s="76">
        <v>7.484</v>
      </c>
      <c r="I326" s="76">
        <v>9.1080000000000005</v>
      </c>
      <c r="J326" s="76">
        <v>10.016</v>
      </c>
      <c r="K326" s="76">
        <v>10.385</v>
      </c>
      <c r="L326" s="76">
        <v>10.661</v>
      </c>
      <c r="M326" s="76">
        <v>10.952999999999999</v>
      </c>
      <c r="N326" s="76">
        <v>11.109</v>
      </c>
      <c r="O326" s="76">
        <v>12.381</v>
      </c>
      <c r="P326" s="76">
        <v>14.429</v>
      </c>
      <c r="Q326" s="76">
        <v>14.817</v>
      </c>
      <c r="R326" s="76">
        <v>15.429</v>
      </c>
      <c r="S326" s="76">
        <v>15.750999999999999</v>
      </c>
      <c r="T326" s="76">
        <v>15.750999999999999</v>
      </c>
      <c r="U326" s="76" t="s">
        <v>172</v>
      </c>
      <c r="V326" s="76" t="s">
        <v>172</v>
      </c>
    </row>
    <row r="327" spans="1:22">
      <c r="A327" s="326">
        <v>35431</v>
      </c>
      <c r="B327" s="327"/>
    </row>
    <row r="328" spans="1:22">
      <c r="A328" s="328" t="s">
        <v>0</v>
      </c>
      <c r="B328" s="329" t="s">
        <v>78</v>
      </c>
      <c r="C328" s="329">
        <v>1</v>
      </c>
      <c r="D328" s="329">
        <v>2</v>
      </c>
      <c r="E328" s="329">
        <v>3</v>
      </c>
      <c r="F328" s="329">
        <v>4</v>
      </c>
      <c r="G328" s="329">
        <v>5</v>
      </c>
      <c r="H328" s="329">
        <v>6</v>
      </c>
      <c r="I328" s="329">
        <v>7</v>
      </c>
      <c r="J328" s="329">
        <v>8</v>
      </c>
      <c r="K328" s="329">
        <v>9</v>
      </c>
      <c r="L328" s="329">
        <v>10</v>
      </c>
      <c r="M328" s="329">
        <v>11</v>
      </c>
      <c r="N328" s="329">
        <v>12</v>
      </c>
      <c r="O328" s="329">
        <v>13</v>
      </c>
      <c r="P328" s="329">
        <v>14</v>
      </c>
      <c r="Q328" s="329">
        <v>15</v>
      </c>
      <c r="R328" s="329">
        <v>16</v>
      </c>
      <c r="S328" s="329">
        <v>17</v>
      </c>
    </row>
    <row r="329" spans="1:22">
      <c r="A329" s="326" t="s">
        <v>1</v>
      </c>
      <c r="B329" s="159">
        <v>114</v>
      </c>
      <c r="C329" s="76">
        <v>0</v>
      </c>
      <c r="D329" s="76">
        <v>0</v>
      </c>
      <c r="E329" s="76">
        <v>0</v>
      </c>
      <c r="F329" s="76">
        <v>0</v>
      </c>
      <c r="G329" s="76">
        <v>0</v>
      </c>
      <c r="H329" s="76">
        <v>0</v>
      </c>
      <c r="I329" s="76">
        <v>0</v>
      </c>
      <c r="J329" s="76">
        <v>0</v>
      </c>
      <c r="K329" s="76">
        <v>0</v>
      </c>
      <c r="L329" s="76">
        <v>0</v>
      </c>
      <c r="M329" s="76">
        <v>0</v>
      </c>
      <c r="N329" s="76">
        <v>0</v>
      </c>
      <c r="O329" s="76">
        <v>0</v>
      </c>
      <c r="P329" s="76">
        <v>0</v>
      </c>
      <c r="Q329" s="76">
        <v>0</v>
      </c>
      <c r="R329" s="76">
        <v>0</v>
      </c>
      <c r="S329" s="76">
        <v>0</v>
      </c>
      <c r="T329" s="76" t="s">
        <v>172</v>
      </c>
      <c r="U329" s="76" t="s">
        <v>172</v>
      </c>
      <c r="V329" s="76" t="s">
        <v>172</v>
      </c>
    </row>
    <row r="330" spans="1:22">
      <c r="A330" s="326" t="s">
        <v>2</v>
      </c>
      <c r="B330" s="159">
        <v>468</v>
      </c>
      <c r="C330" s="76">
        <v>0</v>
      </c>
      <c r="D330" s="76">
        <v>0</v>
      </c>
      <c r="E330" s="76">
        <v>0</v>
      </c>
      <c r="F330" s="76">
        <v>0</v>
      </c>
      <c r="G330" s="76">
        <v>0</v>
      </c>
      <c r="H330" s="76">
        <v>0</v>
      </c>
      <c r="I330" s="76">
        <v>0</v>
      </c>
      <c r="J330" s="76">
        <v>0</v>
      </c>
      <c r="K330" s="76">
        <v>0</v>
      </c>
      <c r="L330" s="76">
        <v>0</v>
      </c>
      <c r="M330" s="76">
        <v>0</v>
      </c>
      <c r="N330" s="76">
        <v>0</v>
      </c>
      <c r="O330" s="76">
        <v>0.45200000000000001</v>
      </c>
      <c r="P330" s="76">
        <v>0.93300000000000005</v>
      </c>
      <c r="Q330" s="76">
        <v>0.93300000000000005</v>
      </c>
      <c r="R330" s="76">
        <v>0.93300000000000005</v>
      </c>
      <c r="S330" s="76">
        <v>0.93300000000000005</v>
      </c>
      <c r="T330" s="76" t="s">
        <v>172</v>
      </c>
      <c r="U330" s="76" t="s">
        <v>172</v>
      </c>
      <c r="V330" s="76" t="s">
        <v>172</v>
      </c>
    </row>
    <row r="331" spans="1:22">
      <c r="A331" s="326" t="s">
        <v>3</v>
      </c>
      <c r="B331" s="159">
        <v>932</v>
      </c>
      <c r="C331" s="76">
        <v>0</v>
      </c>
      <c r="D331" s="76">
        <v>0</v>
      </c>
      <c r="E331" s="76">
        <v>0</v>
      </c>
      <c r="F331" s="76">
        <v>0.13200000000000001</v>
      </c>
      <c r="G331" s="76">
        <v>0.39900000000000002</v>
      </c>
      <c r="H331" s="76">
        <v>0.68400000000000005</v>
      </c>
      <c r="I331" s="76">
        <v>1.2849999999999999</v>
      </c>
      <c r="J331" s="76">
        <v>1.2849999999999999</v>
      </c>
      <c r="K331" s="76">
        <v>1.2849999999999999</v>
      </c>
      <c r="L331" s="76">
        <v>1.2849999999999999</v>
      </c>
      <c r="M331" s="76">
        <v>1.2849999999999999</v>
      </c>
      <c r="N331" s="76">
        <v>2.5840000000000001</v>
      </c>
      <c r="O331" s="76">
        <v>3.7090000000000001</v>
      </c>
      <c r="P331" s="76">
        <v>3.9540000000000002</v>
      </c>
      <c r="Q331" s="76">
        <v>4.9870000000000001</v>
      </c>
      <c r="R331" s="76">
        <v>5.2530000000000001</v>
      </c>
      <c r="S331" s="76">
        <v>5.5279999999999996</v>
      </c>
      <c r="T331" s="76" t="s">
        <v>172</v>
      </c>
      <c r="U331" s="76" t="s">
        <v>172</v>
      </c>
      <c r="V331" s="76" t="s">
        <v>172</v>
      </c>
    </row>
    <row r="332" spans="1:22">
      <c r="A332" s="326" t="s">
        <v>4</v>
      </c>
      <c r="B332" s="159">
        <v>653</v>
      </c>
      <c r="C332" s="76">
        <v>0</v>
      </c>
      <c r="D332" s="76">
        <v>0.16700000000000001</v>
      </c>
      <c r="E332" s="76">
        <v>0.86</v>
      </c>
      <c r="F332" s="76">
        <v>1.407</v>
      </c>
      <c r="G332" s="76">
        <v>2.7679999999999998</v>
      </c>
      <c r="H332" s="76">
        <v>3.5920000000000001</v>
      </c>
      <c r="I332" s="76">
        <v>4.0289999999999999</v>
      </c>
      <c r="J332" s="76">
        <v>4.266</v>
      </c>
      <c r="K332" s="76">
        <v>4.7919999999999998</v>
      </c>
      <c r="L332" s="76">
        <v>5.0750000000000002</v>
      </c>
      <c r="M332" s="76">
        <v>5.0750000000000002</v>
      </c>
      <c r="N332" s="76">
        <v>6.4429999999999996</v>
      </c>
      <c r="O332" s="76">
        <v>8.6199999999999992</v>
      </c>
      <c r="P332" s="76">
        <v>9.0139999999999993</v>
      </c>
      <c r="Q332" s="76">
        <v>10.249000000000001</v>
      </c>
      <c r="R332" s="76">
        <v>10.693</v>
      </c>
      <c r="S332" s="76">
        <v>10.693</v>
      </c>
      <c r="T332" s="76" t="s">
        <v>172</v>
      </c>
      <c r="U332" s="76" t="s">
        <v>172</v>
      </c>
      <c r="V332" s="76" t="s">
        <v>172</v>
      </c>
    </row>
    <row r="333" spans="1:22">
      <c r="A333" s="326" t="s">
        <v>5</v>
      </c>
      <c r="B333" s="159">
        <v>537</v>
      </c>
      <c r="C333" s="76">
        <v>0.19500000000000001</v>
      </c>
      <c r="D333" s="76">
        <v>1.8240000000000001</v>
      </c>
      <c r="E333" s="76">
        <v>6.2309999999999999</v>
      </c>
      <c r="F333" s="76">
        <v>9.7089999999999996</v>
      </c>
      <c r="G333" s="76">
        <v>12.824999999999999</v>
      </c>
      <c r="H333" s="76">
        <v>16.413</v>
      </c>
      <c r="I333" s="76">
        <v>18.376000000000001</v>
      </c>
      <c r="J333" s="76">
        <v>18.376000000000001</v>
      </c>
      <c r="K333" s="76">
        <v>19.501999999999999</v>
      </c>
      <c r="L333" s="76">
        <v>20.116</v>
      </c>
      <c r="M333" s="76">
        <v>20.817</v>
      </c>
      <c r="N333" s="76">
        <v>22.366</v>
      </c>
      <c r="O333" s="76">
        <v>29.135000000000002</v>
      </c>
      <c r="P333" s="76">
        <v>29.135000000000002</v>
      </c>
      <c r="Q333" s="76">
        <v>29.135000000000002</v>
      </c>
      <c r="R333" s="76">
        <v>30.132999999999999</v>
      </c>
      <c r="S333" s="76">
        <v>30.132999999999999</v>
      </c>
      <c r="T333" s="76" t="s">
        <v>172</v>
      </c>
      <c r="U333" s="76" t="s">
        <v>172</v>
      </c>
      <c r="V333" s="76" t="s">
        <v>172</v>
      </c>
    </row>
    <row r="334" spans="1:22">
      <c r="A334" s="326" t="s">
        <v>6</v>
      </c>
      <c r="B334" s="159">
        <v>619</v>
      </c>
      <c r="C334" s="76">
        <v>2.0539999999999998</v>
      </c>
      <c r="D334" s="76">
        <v>6.758</v>
      </c>
      <c r="E334" s="76">
        <v>11.000999999999999</v>
      </c>
      <c r="F334" s="76">
        <v>17.367999999999999</v>
      </c>
      <c r="G334" s="76">
        <v>28.327999999999999</v>
      </c>
      <c r="H334" s="76">
        <v>35.86</v>
      </c>
      <c r="I334" s="76">
        <v>40.11</v>
      </c>
      <c r="J334" s="76">
        <v>43.268999999999998</v>
      </c>
      <c r="K334" s="76">
        <v>43.784999999999997</v>
      </c>
      <c r="L334" s="76">
        <v>46.387</v>
      </c>
      <c r="M334" s="76">
        <v>47.856000000000002</v>
      </c>
      <c r="N334" s="76">
        <v>53.454999999999998</v>
      </c>
      <c r="O334" s="76">
        <v>60.332999999999998</v>
      </c>
      <c r="P334" s="76">
        <v>61.534999999999997</v>
      </c>
      <c r="Q334" s="76">
        <v>61.534999999999997</v>
      </c>
      <c r="R334" s="76">
        <v>61.534999999999997</v>
      </c>
      <c r="S334" s="76">
        <v>63.283999999999999</v>
      </c>
      <c r="T334" s="76" t="s">
        <v>172</v>
      </c>
      <c r="U334" s="76" t="s">
        <v>172</v>
      </c>
      <c r="V334" s="76" t="s">
        <v>172</v>
      </c>
    </row>
    <row r="335" spans="1:22">
      <c r="A335" s="326" t="s">
        <v>71</v>
      </c>
      <c r="B335" s="159">
        <v>85</v>
      </c>
      <c r="C335" s="76">
        <v>15.03</v>
      </c>
      <c r="D335" s="76">
        <v>24.702999999999999</v>
      </c>
      <c r="E335" s="76">
        <v>38.356000000000002</v>
      </c>
      <c r="F335" s="76">
        <v>49.618000000000002</v>
      </c>
      <c r="G335" s="76">
        <v>66.262</v>
      </c>
      <c r="H335" s="76">
        <v>69.635999999999996</v>
      </c>
      <c r="I335" s="76">
        <v>69.635999999999996</v>
      </c>
      <c r="J335" s="76">
        <v>69.635999999999996</v>
      </c>
      <c r="K335" s="76">
        <v>69.635999999999996</v>
      </c>
      <c r="L335" s="76">
        <v>69.635999999999996</v>
      </c>
      <c r="M335" s="76">
        <v>69.635999999999996</v>
      </c>
      <c r="N335" s="76">
        <v>69.635999999999996</v>
      </c>
      <c r="O335" s="76">
        <v>69.635999999999996</v>
      </c>
      <c r="P335" s="76">
        <v>69.635999999999996</v>
      </c>
      <c r="Q335" s="76">
        <v>69.635999999999996</v>
      </c>
      <c r="R335" s="76">
        <v>69.635999999999996</v>
      </c>
      <c r="S335" s="76">
        <v>69.635999999999996</v>
      </c>
      <c r="T335" s="76" t="s">
        <v>172</v>
      </c>
      <c r="U335" s="76" t="s">
        <v>172</v>
      </c>
      <c r="V335" s="76" t="s">
        <v>172</v>
      </c>
    </row>
    <row r="336" spans="1:22">
      <c r="A336" s="326" t="s">
        <v>8</v>
      </c>
      <c r="B336" s="159">
        <v>2167</v>
      </c>
      <c r="C336" s="76">
        <v>0</v>
      </c>
      <c r="D336" s="76">
        <v>5.0999999999999997E-2</v>
      </c>
      <c r="E336" s="76">
        <v>0.26100000000000001</v>
      </c>
      <c r="F336" s="76">
        <v>0.48299999999999998</v>
      </c>
      <c r="G336" s="76">
        <v>1.006</v>
      </c>
      <c r="H336" s="76">
        <v>1.3759999999999999</v>
      </c>
      <c r="I336" s="76">
        <v>1.766</v>
      </c>
      <c r="J336" s="76">
        <v>1.837</v>
      </c>
      <c r="K336" s="76">
        <v>1.99</v>
      </c>
      <c r="L336" s="76">
        <v>2.0720000000000001</v>
      </c>
      <c r="M336" s="76">
        <v>2.0720000000000001</v>
      </c>
      <c r="N336" s="76">
        <v>3.0150000000000001</v>
      </c>
      <c r="O336" s="76">
        <v>4.2009999999999996</v>
      </c>
      <c r="P336" s="76">
        <v>4.5229999999999997</v>
      </c>
      <c r="Q336" s="76">
        <v>5.31</v>
      </c>
      <c r="R336" s="76">
        <v>5.5439999999999996</v>
      </c>
      <c r="S336" s="76">
        <v>5.6639999999999997</v>
      </c>
      <c r="T336" s="76" t="s">
        <v>172</v>
      </c>
      <c r="U336" s="76" t="s">
        <v>172</v>
      </c>
      <c r="V336" s="76" t="s">
        <v>172</v>
      </c>
    </row>
    <row r="337" spans="1:22">
      <c r="A337" s="326" t="s">
        <v>9</v>
      </c>
      <c r="B337" s="159">
        <v>1241</v>
      </c>
      <c r="C337" s="76">
        <v>2.145</v>
      </c>
      <c r="D337" s="76">
        <v>5.8929999999999998</v>
      </c>
      <c r="E337" s="76">
        <v>10.743</v>
      </c>
      <c r="F337" s="76">
        <v>16.018999999999998</v>
      </c>
      <c r="G337" s="76">
        <v>23.571000000000002</v>
      </c>
      <c r="H337" s="76">
        <v>29.077999999999999</v>
      </c>
      <c r="I337" s="76">
        <v>32.076999999999998</v>
      </c>
      <c r="J337" s="76">
        <v>33.625</v>
      </c>
      <c r="K337" s="76">
        <v>34.411000000000001</v>
      </c>
      <c r="L337" s="76">
        <v>35.909999999999997</v>
      </c>
      <c r="M337" s="76">
        <v>36.93</v>
      </c>
      <c r="N337" s="76">
        <v>40.137</v>
      </c>
      <c r="O337" s="76">
        <v>46.557000000000002</v>
      </c>
      <c r="P337" s="76">
        <v>47.039000000000001</v>
      </c>
      <c r="Q337" s="76">
        <v>47.039000000000001</v>
      </c>
      <c r="R337" s="76">
        <v>47.601999999999997</v>
      </c>
      <c r="S337" s="76">
        <v>48.171999999999997</v>
      </c>
      <c r="T337" s="76" t="s">
        <v>172</v>
      </c>
      <c r="U337" s="76" t="s">
        <v>172</v>
      </c>
      <c r="V337" s="76" t="s">
        <v>172</v>
      </c>
    </row>
    <row r="338" spans="1:22">
      <c r="A338" s="326" t="s">
        <v>79</v>
      </c>
      <c r="B338" s="159">
        <v>3408</v>
      </c>
      <c r="C338" s="76">
        <v>0.76500000000000001</v>
      </c>
      <c r="D338" s="76">
        <v>2.0619999999999998</v>
      </c>
      <c r="E338" s="76">
        <v>3.7389999999999999</v>
      </c>
      <c r="F338" s="76">
        <v>5.47</v>
      </c>
      <c r="G338" s="76">
        <v>8.0150000000000006</v>
      </c>
      <c r="H338" s="76">
        <v>9.7829999999999995</v>
      </c>
      <c r="I338" s="76">
        <v>10.832000000000001</v>
      </c>
      <c r="J338" s="76">
        <v>11.249000000000001</v>
      </c>
      <c r="K338" s="76">
        <v>11.538</v>
      </c>
      <c r="L338" s="76">
        <v>11.912000000000001</v>
      </c>
      <c r="M338" s="76">
        <v>12.113</v>
      </c>
      <c r="N338" s="76">
        <v>13.435</v>
      </c>
      <c r="O338" s="76">
        <v>15.513</v>
      </c>
      <c r="P338" s="76">
        <v>15.848000000000001</v>
      </c>
      <c r="Q338" s="76">
        <v>16.468</v>
      </c>
      <c r="R338" s="76">
        <v>16.747</v>
      </c>
      <c r="S338" s="76">
        <v>16.936</v>
      </c>
      <c r="T338" s="76" t="s">
        <v>172</v>
      </c>
      <c r="U338" s="76" t="s">
        <v>172</v>
      </c>
      <c r="V338" s="76" t="s">
        <v>172</v>
      </c>
    </row>
    <row r="339" spans="1:22">
      <c r="A339" s="326">
        <v>35796</v>
      </c>
      <c r="B339" s="327"/>
    </row>
    <row r="340" spans="1:22">
      <c r="A340" s="328" t="s">
        <v>0</v>
      </c>
      <c r="B340" s="329" t="s">
        <v>78</v>
      </c>
      <c r="C340" s="329">
        <v>1</v>
      </c>
      <c r="D340" s="329">
        <v>2</v>
      </c>
      <c r="E340" s="329">
        <v>3</v>
      </c>
      <c r="F340" s="329">
        <v>4</v>
      </c>
      <c r="G340" s="329">
        <v>5</v>
      </c>
      <c r="H340" s="329">
        <v>6</v>
      </c>
      <c r="I340" s="329">
        <v>7</v>
      </c>
      <c r="J340" s="329">
        <v>8</v>
      </c>
      <c r="K340" s="329">
        <v>9</v>
      </c>
      <c r="L340" s="329">
        <v>10</v>
      </c>
      <c r="M340" s="329">
        <v>11</v>
      </c>
      <c r="N340" s="329">
        <v>12</v>
      </c>
      <c r="O340" s="329">
        <v>13</v>
      </c>
      <c r="P340" s="329">
        <v>14</v>
      </c>
      <c r="Q340" s="329">
        <v>15</v>
      </c>
      <c r="R340" s="329">
        <v>16</v>
      </c>
    </row>
    <row r="341" spans="1:22">
      <c r="A341" s="326" t="s">
        <v>1</v>
      </c>
      <c r="B341" s="159">
        <v>104</v>
      </c>
      <c r="C341" s="76">
        <v>0</v>
      </c>
      <c r="D341" s="76">
        <v>0</v>
      </c>
      <c r="E341" s="76">
        <v>0</v>
      </c>
      <c r="F341" s="76">
        <v>0</v>
      </c>
      <c r="G341" s="76">
        <v>0</v>
      </c>
      <c r="H341" s="76">
        <v>0</v>
      </c>
      <c r="I341" s="76">
        <v>0</v>
      </c>
      <c r="J341" s="76">
        <v>0</v>
      </c>
      <c r="K341" s="76">
        <v>0</v>
      </c>
      <c r="L341" s="76">
        <v>0</v>
      </c>
      <c r="M341" s="76">
        <v>0</v>
      </c>
      <c r="N341" s="76">
        <v>0</v>
      </c>
      <c r="O341" s="76">
        <v>0</v>
      </c>
      <c r="P341" s="76">
        <v>0</v>
      </c>
      <c r="Q341" s="76">
        <v>0</v>
      </c>
      <c r="R341" s="76">
        <v>0</v>
      </c>
      <c r="S341" s="76" t="s">
        <v>172</v>
      </c>
      <c r="T341" s="76" t="s">
        <v>172</v>
      </c>
      <c r="U341" s="76" t="s">
        <v>172</v>
      </c>
      <c r="V341" s="76" t="s">
        <v>172</v>
      </c>
    </row>
    <row r="342" spans="1:22">
      <c r="A342" s="326" t="s">
        <v>2</v>
      </c>
      <c r="B342" s="159">
        <v>501</v>
      </c>
      <c r="C342" s="76">
        <v>0</v>
      </c>
      <c r="D342" s="76">
        <v>0</v>
      </c>
      <c r="E342" s="76">
        <v>0</v>
      </c>
      <c r="F342" s="76">
        <v>0</v>
      </c>
      <c r="G342" s="76">
        <v>0</v>
      </c>
      <c r="H342" s="76">
        <v>0</v>
      </c>
      <c r="I342" s="76">
        <v>0.315</v>
      </c>
      <c r="J342" s="76">
        <v>0.315</v>
      </c>
      <c r="K342" s="76">
        <v>0.315</v>
      </c>
      <c r="L342" s="76">
        <v>0.315</v>
      </c>
      <c r="M342" s="76">
        <v>0.315</v>
      </c>
      <c r="N342" s="76">
        <v>0.74099999999999999</v>
      </c>
      <c r="O342" s="76">
        <v>1.1970000000000001</v>
      </c>
      <c r="P342" s="76">
        <v>1.6519999999999999</v>
      </c>
      <c r="Q342" s="76">
        <v>1.6519999999999999</v>
      </c>
      <c r="R342" s="76">
        <v>1.6519999999999999</v>
      </c>
      <c r="S342" s="76" t="s">
        <v>172</v>
      </c>
      <c r="T342" s="76" t="s">
        <v>172</v>
      </c>
      <c r="U342" s="76" t="s">
        <v>172</v>
      </c>
      <c r="V342" s="76" t="s">
        <v>172</v>
      </c>
    </row>
    <row r="343" spans="1:22">
      <c r="A343" s="326" t="s">
        <v>3</v>
      </c>
      <c r="B343" s="159">
        <v>941</v>
      </c>
      <c r="C343" s="76">
        <v>0</v>
      </c>
      <c r="D343" s="76">
        <v>0</v>
      </c>
      <c r="E343" s="76">
        <v>0.122</v>
      </c>
      <c r="F343" s="76">
        <v>0.36699999999999999</v>
      </c>
      <c r="G343" s="76">
        <v>0.629</v>
      </c>
      <c r="H343" s="76">
        <v>1.1879999999999999</v>
      </c>
      <c r="I343" s="76">
        <v>1.1879999999999999</v>
      </c>
      <c r="J343" s="76">
        <v>1.1879999999999999</v>
      </c>
      <c r="K343" s="76">
        <v>1.1879999999999999</v>
      </c>
      <c r="L343" s="76">
        <v>1.1879999999999999</v>
      </c>
      <c r="M343" s="76">
        <v>2.39</v>
      </c>
      <c r="N343" s="76">
        <v>3.653</v>
      </c>
      <c r="O343" s="76">
        <v>3.8839999999999999</v>
      </c>
      <c r="P343" s="76">
        <v>4.6230000000000002</v>
      </c>
      <c r="Q343" s="76">
        <v>5.133</v>
      </c>
      <c r="R343" s="76">
        <v>5.6539999999999999</v>
      </c>
      <c r="S343" s="76" t="s">
        <v>172</v>
      </c>
      <c r="T343" s="76" t="s">
        <v>172</v>
      </c>
      <c r="U343" s="76" t="s">
        <v>172</v>
      </c>
      <c r="V343" s="76" t="s">
        <v>172</v>
      </c>
    </row>
    <row r="344" spans="1:22">
      <c r="A344" s="326" t="s">
        <v>4</v>
      </c>
      <c r="B344" s="159">
        <v>794</v>
      </c>
      <c r="C344" s="76">
        <v>0.13300000000000001</v>
      </c>
      <c r="D344" s="76">
        <v>0.67600000000000005</v>
      </c>
      <c r="E344" s="76">
        <v>1.101</v>
      </c>
      <c r="F344" s="76">
        <v>2.2930000000000001</v>
      </c>
      <c r="G344" s="76">
        <v>3.5840000000000001</v>
      </c>
      <c r="H344" s="76">
        <v>3.927</v>
      </c>
      <c r="I344" s="76">
        <v>4.2919999999999998</v>
      </c>
      <c r="J344" s="76">
        <v>4.7030000000000003</v>
      </c>
      <c r="K344" s="76">
        <v>4.9210000000000003</v>
      </c>
      <c r="L344" s="76">
        <v>4.9210000000000003</v>
      </c>
      <c r="M344" s="76">
        <v>6.032</v>
      </c>
      <c r="N344" s="76">
        <v>7.5330000000000004</v>
      </c>
      <c r="O344" s="76">
        <v>7.8540000000000001</v>
      </c>
      <c r="P344" s="76">
        <v>8.859</v>
      </c>
      <c r="Q344" s="76">
        <v>8.859</v>
      </c>
      <c r="R344" s="76">
        <v>8.859</v>
      </c>
      <c r="S344" s="76" t="s">
        <v>172</v>
      </c>
      <c r="T344" s="76" t="s">
        <v>172</v>
      </c>
      <c r="U344" s="76" t="s">
        <v>172</v>
      </c>
      <c r="V344" s="76" t="s">
        <v>172</v>
      </c>
    </row>
    <row r="345" spans="1:22">
      <c r="A345" s="326" t="s">
        <v>5</v>
      </c>
      <c r="B345" s="159">
        <v>605</v>
      </c>
      <c r="C345" s="76">
        <v>0.89500000000000002</v>
      </c>
      <c r="D345" s="76">
        <v>3.8279999999999998</v>
      </c>
      <c r="E345" s="76">
        <v>7.1420000000000003</v>
      </c>
      <c r="F345" s="76">
        <v>11.223000000000001</v>
      </c>
      <c r="G345" s="76">
        <v>15.054</v>
      </c>
      <c r="H345" s="76">
        <v>17.544</v>
      </c>
      <c r="I345" s="76">
        <v>18.263000000000002</v>
      </c>
      <c r="J345" s="76">
        <v>19.579000000000001</v>
      </c>
      <c r="K345" s="76">
        <v>20.074999999999999</v>
      </c>
      <c r="L345" s="76">
        <v>20.638000000000002</v>
      </c>
      <c r="M345" s="76">
        <v>21.88</v>
      </c>
      <c r="N345" s="76">
        <v>29.192</v>
      </c>
      <c r="O345" s="76">
        <v>29.192</v>
      </c>
      <c r="P345" s="76">
        <v>29.192</v>
      </c>
      <c r="Q345" s="76">
        <v>30.774999999999999</v>
      </c>
      <c r="R345" s="76">
        <v>30.774999999999999</v>
      </c>
      <c r="S345" s="76" t="s">
        <v>172</v>
      </c>
      <c r="T345" s="76" t="s">
        <v>172</v>
      </c>
      <c r="U345" s="76" t="s">
        <v>172</v>
      </c>
      <c r="V345" s="76" t="s">
        <v>172</v>
      </c>
    </row>
    <row r="346" spans="1:22">
      <c r="A346" s="326" t="s">
        <v>6</v>
      </c>
      <c r="B346" s="159">
        <v>829</v>
      </c>
      <c r="C346" s="76">
        <v>4.0190000000000001</v>
      </c>
      <c r="D346" s="76">
        <v>10.522</v>
      </c>
      <c r="E346" s="76">
        <v>18.396000000000001</v>
      </c>
      <c r="F346" s="76">
        <v>29.715</v>
      </c>
      <c r="G346" s="76">
        <v>36.341999999999999</v>
      </c>
      <c r="H346" s="76">
        <v>41.872999999999998</v>
      </c>
      <c r="I346" s="76">
        <v>45.87</v>
      </c>
      <c r="J346" s="76">
        <v>46.515000000000001</v>
      </c>
      <c r="K346" s="76">
        <v>48.92</v>
      </c>
      <c r="L346" s="76">
        <v>51.212000000000003</v>
      </c>
      <c r="M346" s="76">
        <v>55.261000000000003</v>
      </c>
      <c r="N346" s="76">
        <v>59.579000000000001</v>
      </c>
      <c r="O346" s="76">
        <v>60.264000000000003</v>
      </c>
      <c r="P346" s="76">
        <v>60.264000000000003</v>
      </c>
      <c r="Q346" s="76">
        <v>60.264000000000003</v>
      </c>
      <c r="R346" s="76">
        <v>61.21</v>
      </c>
      <c r="S346" s="76" t="s">
        <v>172</v>
      </c>
      <c r="T346" s="76" t="s">
        <v>172</v>
      </c>
      <c r="U346" s="76" t="s">
        <v>172</v>
      </c>
      <c r="V346" s="76" t="s">
        <v>172</v>
      </c>
    </row>
    <row r="347" spans="1:22">
      <c r="A347" s="326" t="s">
        <v>71</v>
      </c>
      <c r="B347" s="159">
        <v>121</v>
      </c>
      <c r="C347" s="76">
        <v>10.327</v>
      </c>
      <c r="D347" s="76">
        <v>27.658999999999999</v>
      </c>
      <c r="E347" s="76">
        <v>39.118000000000002</v>
      </c>
      <c r="F347" s="76">
        <v>55.463000000000001</v>
      </c>
      <c r="G347" s="76">
        <v>61.046999999999997</v>
      </c>
      <c r="H347" s="76">
        <v>65.638000000000005</v>
      </c>
      <c r="I347" s="76">
        <v>69.073999999999998</v>
      </c>
      <c r="J347" s="76">
        <v>69.073999999999998</v>
      </c>
      <c r="K347" s="76">
        <v>73.492000000000004</v>
      </c>
      <c r="L347" s="76">
        <v>73.492000000000004</v>
      </c>
      <c r="M347" s="76">
        <v>86.745999999999995</v>
      </c>
      <c r="N347" s="76">
        <v>86.745999999999995</v>
      </c>
      <c r="O347" s="76" t="s">
        <v>172</v>
      </c>
      <c r="P347" s="76" t="s">
        <v>172</v>
      </c>
      <c r="Q347" s="76" t="s">
        <v>172</v>
      </c>
      <c r="R347" s="76" t="s">
        <v>172</v>
      </c>
      <c r="S347" s="76" t="s">
        <v>172</v>
      </c>
      <c r="T347" s="76" t="s">
        <v>172</v>
      </c>
      <c r="U347" s="76" t="s">
        <v>172</v>
      </c>
      <c r="V347" s="76" t="s">
        <v>172</v>
      </c>
    </row>
    <row r="348" spans="1:22">
      <c r="A348" s="326" t="s">
        <v>8</v>
      </c>
      <c r="B348" s="159">
        <v>2340</v>
      </c>
      <c r="C348" s="76">
        <v>4.4999999999999998E-2</v>
      </c>
      <c r="D348" s="76">
        <v>0.22800000000000001</v>
      </c>
      <c r="E348" s="76">
        <v>0.42099999999999999</v>
      </c>
      <c r="F348" s="76">
        <v>0.92600000000000005</v>
      </c>
      <c r="G348" s="76">
        <v>1.472</v>
      </c>
      <c r="H348" s="76">
        <v>1.8169999999999999</v>
      </c>
      <c r="I348" s="76">
        <v>2.0049999999999999</v>
      </c>
      <c r="J348" s="76">
        <v>2.14</v>
      </c>
      <c r="K348" s="76">
        <v>2.2109999999999999</v>
      </c>
      <c r="L348" s="76">
        <v>2.2109999999999999</v>
      </c>
      <c r="M348" s="76">
        <v>3.0609999999999999</v>
      </c>
      <c r="N348" s="76">
        <v>4.1440000000000001</v>
      </c>
      <c r="O348" s="76">
        <v>4.4359999999999999</v>
      </c>
      <c r="P348" s="76">
        <v>5.1509999999999998</v>
      </c>
      <c r="Q348" s="76">
        <v>5.3650000000000002</v>
      </c>
      <c r="R348" s="76">
        <v>5.5830000000000002</v>
      </c>
      <c r="S348" s="76" t="s">
        <v>172</v>
      </c>
      <c r="T348" s="76" t="s">
        <v>172</v>
      </c>
      <c r="U348" s="76" t="s">
        <v>172</v>
      </c>
      <c r="V348" s="76" t="s">
        <v>172</v>
      </c>
    </row>
    <row r="349" spans="1:22">
      <c r="A349" s="326" t="s">
        <v>9</v>
      </c>
      <c r="B349" s="159">
        <v>1555</v>
      </c>
      <c r="C349" s="76">
        <v>3.298</v>
      </c>
      <c r="D349" s="76">
        <v>9.2330000000000005</v>
      </c>
      <c r="E349" s="76">
        <v>15.613</v>
      </c>
      <c r="F349" s="76">
        <v>24.501000000000001</v>
      </c>
      <c r="G349" s="76">
        <v>29.962</v>
      </c>
      <c r="H349" s="76">
        <v>34.164999999999999</v>
      </c>
      <c r="I349" s="76">
        <v>36.759</v>
      </c>
      <c r="J349" s="76">
        <v>37.643000000000001</v>
      </c>
      <c r="K349" s="76">
        <v>39.264000000000003</v>
      </c>
      <c r="L349" s="76">
        <v>40.662999999999997</v>
      </c>
      <c r="M349" s="76">
        <v>43.442</v>
      </c>
      <c r="N349" s="76">
        <v>48.768000000000001</v>
      </c>
      <c r="O349" s="76">
        <v>49.085999999999999</v>
      </c>
      <c r="P349" s="76">
        <v>49.085999999999999</v>
      </c>
      <c r="Q349" s="76">
        <v>49.851999999999997</v>
      </c>
      <c r="R349" s="76">
        <v>50.247</v>
      </c>
      <c r="S349" s="76" t="s">
        <v>172</v>
      </c>
      <c r="T349" s="76" t="s">
        <v>172</v>
      </c>
      <c r="U349" s="76" t="s">
        <v>172</v>
      </c>
      <c r="V349" s="76" t="s">
        <v>172</v>
      </c>
    </row>
    <row r="350" spans="1:22">
      <c r="A350" s="326" t="s">
        <v>79</v>
      </c>
      <c r="B350" s="159">
        <v>3895</v>
      </c>
      <c r="C350" s="76">
        <v>1.3169999999999999</v>
      </c>
      <c r="D350" s="76">
        <v>3.66</v>
      </c>
      <c r="E350" s="76">
        <v>6.0830000000000002</v>
      </c>
      <c r="F350" s="76">
        <v>9.5150000000000006</v>
      </c>
      <c r="G350" s="76">
        <v>11.712999999999999</v>
      </c>
      <c r="H350" s="76">
        <v>13.263</v>
      </c>
      <c r="I350" s="76">
        <v>14.157</v>
      </c>
      <c r="J350" s="76">
        <v>14.489000000000001</v>
      </c>
      <c r="K350" s="76">
        <v>14.948</v>
      </c>
      <c r="L350" s="76">
        <v>15.281000000000001</v>
      </c>
      <c r="M350" s="76">
        <v>16.518000000000001</v>
      </c>
      <c r="N350" s="76">
        <v>18.478000000000002</v>
      </c>
      <c r="O350" s="76">
        <v>18.763000000000002</v>
      </c>
      <c r="P350" s="76">
        <v>19.29</v>
      </c>
      <c r="Q350" s="76">
        <v>19.606000000000002</v>
      </c>
      <c r="R350" s="76">
        <v>19.849</v>
      </c>
      <c r="S350" s="76" t="s">
        <v>172</v>
      </c>
      <c r="T350" s="76" t="s">
        <v>172</v>
      </c>
      <c r="U350" s="76" t="s">
        <v>172</v>
      </c>
      <c r="V350" s="76" t="s">
        <v>172</v>
      </c>
    </row>
    <row r="351" spans="1:22">
      <c r="A351" s="326">
        <v>36161</v>
      </c>
      <c r="B351" s="327"/>
    </row>
    <row r="352" spans="1:22">
      <c r="A352" s="328" t="s">
        <v>0</v>
      </c>
      <c r="B352" s="329" t="s">
        <v>78</v>
      </c>
      <c r="C352" s="329">
        <v>1</v>
      </c>
      <c r="D352" s="329">
        <v>2</v>
      </c>
      <c r="E352" s="329">
        <v>3</v>
      </c>
      <c r="F352" s="329">
        <v>4</v>
      </c>
      <c r="G352" s="329">
        <v>5</v>
      </c>
      <c r="H352" s="329">
        <v>6</v>
      </c>
      <c r="I352" s="329">
        <v>7</v>
      </c>
      <c r="J352" s="329">
        <v>8</v>
      </c>
      <c r="K352" s="329">
        <v>9</v>
      </c>
      <c r="L352" s="329">
        <v>10</v>
      </c>
      <c r="M352" s="329">
        <v>11</v>
      </c>
      <c r="N352" s="329">
        <v>12</v>
      </c>
      <c r="O352" s="329">
        <v>13</v>
      </c>
      <c r="P352" s="329">
        <v>14</v>
      </c>
      <c r="Q352" s="329">
        <v>15</v>
      </c>
    </row>
    <row r="353" spans="1:22">
      <c r="A353" s="326" t="s">
        <v>1</v>
      </c>
      <c r="B353" s="159">
        <v>88</v>
      </c>
      <c r="C353" s="76">
        <v>0</v>
      </c>
      <c r="D353" s="76">
        <v>0</v>
      </c>
      <c r="E353" s="76">
        <v>0</v>
      </c>
      <c r="F353" s="76">
        <v>0</v>
      </c>
      <c r="G353" s="76">
        <v>0</v>
      </c>
      <c r="H353" s="76">
        <v>0</v>
      </c>
      <c r="I353" s="76">
        <v>0</v>
      </c>
      <c r="J353" s="76">
        <v>0</v>
      </c>
      <c r="K353" s="76">
        <v>0</v>
      </c>
      <c r="L353" s="76">
        <v>0</v>
      </c>
      <c r="M353" s="76">
        <v>0</v>
      </c>
      <c r="N353" s="76">
        <v>0</v>
      </c>
      <c r="O353" s="76">
        <v>0</v>
      </c>
      <c r="P353" s="76">
        <v>0</v>
      </c>
      <c r="Q353" s="76">
        <v>0</v>
      </c>
      <c r="R353" s="76" t="s">
        <v>172</v>
      </c>
      <c r="S353" s="76" t="s">
        <v>172</v>
      </c>
      <c r="T353" s="76" t="s">
        <v>172</v>
      </c>
      <c r="U353" s="76" t="s">
        <v>172</v>
      </c>
      <c r="V353" s="76" t="s">
        <v>172</v>
      </c>
    </row>
    <row r="354" spans="1:22">
      <c r="A354" s="326" t="s">
        <v>2</v>
      </c>
      <c r="B354" s="159">
        <v>522</v>
      </c>
      <c r="C354" s="76">
        <v>0</v>
      </c>
      <c r="D354" s="76">
        <v>0</v>
      </c>
      <c r="E354" s="76">
        <v>0</v>
      </c>
      <c r="F354" s="76">
        <v>0</v>
      </c>
      <c r="G354" s="76">
        <v>0</v>
      </c>
      <c r="H354" s="76">
        <v>0.28199999999999997</v>
      </c>
      <c r="I354" s="76">
        <v>0.28199999999999997</v>
      </c>
      <c r="J354" s="76">
        <v>0.28199999999999997</v>
      </c>
      <c r="K354" s="76">
        <v>0.28199999999999997</v>
      </c>
      <c r="L354" s="76">
        <v>0.28199999999999997</v>
      </c>
      <c r="M354" s="76">
        <v>0.66200000000000003</v>
      </c>
      <c r="N354" s="76">
        <v>1.48</v>
      </c>
      <c r="O354" s="76">
        <v>1.889</v>
      </c>
      <c r="P354" s="76">
        <v>1.889</v>
      </c>
      <c r="Q354" s="76">
        <v>1.889</v>
      </c>
      <c r="R354" s="76" t="s">
        <v>172</v>
      </c>
      <c r="S354" s="76" t="s">
        <v>172</v>
      </c>
      <c r="T354" s="76" t="s">
        <v>172</v>
      </c>
      <c r="U354" s="76" t="s">
        <v>172</v>
      </c>
      <c r="V354" s="76" t="s">
        <v>172</v>
      </c>
    </row>
    <row r="355" spans="1:22">
      <c r="A355" s="326" t="s">
        <v>3</v>
      </c>
      <c r="B355" s="159">
        <v>971</v>
      </c>
      <c r="C355" s="76">
        <v>0</v>
      </c>
      <c r="D355" s="76">
        <v>0</v>
      </c>
      <c r="E355" s="76">
        <v>0.22800000000000001</v>
      </c>
      <c r="F355" s="76">
        <v>0.34799999999999998</v>
      </c>
      <c r="G355" s="76">
        <v>0.86499999999999999</v>
      </c>
      <c r="H355" s="76">
        <v>0.86499999999999999</v>
      </c>
      <c r="I355" s="76">
        <v>0.86499999999999999</v>
      </c>
      <c r="J355" s="76">
        <v>0.86499999999999999</v>
      </c>
      <c r="K355" s="76">
        <v>0.86499999999999999</v>
      </c>
      <c r="L355" s="76">
        <v>1.9850000000000001</v>
      </c>
      <c r="M355" s="76">
        <v>3.15</v>
      </c>
      <c r="N355" s="76">
        <v>3.15</v>
      </c>
      <c r="O355" s="76">
        <v>3.823</v>
      </c>
      <c r="P355" s="76">
        <v>4.2880000000000003</v>
      </c>
      <c r="Q355" s="76">
        <v>4.7649999999999997</v>
      </c>
      <c r="R355" s="76" t="s">
        <v>172</v>
      </c>
      <c r="S355" s="76" t="s">
        <v>172</v>
      </c>
      <c r="T355" s="76" t="s">
        <v>172</v>
      </c>
      <c r="U355" s="76" t="s">
        <v>172</v>
      </c>
      <c r="V355" s="76" t="s">
        <v>172</v>
      </c>
    </row>
    <row r="356" spans="1:22">
      <c r="A356" s="326" t="s">
        <v>4</v>
      </c>
      <c r="B356" s="159">
        <v>908</v>
      </c>
      <c r="C356" s="76">
        <v>0.112</v>
      </c>
      <c r="D356" s="76">
        <v>0.59</v>
      </c>
      <c r="E356" s="76">
        <v>1.597</v>
      </c>
      <c r="F356" s="76">
        <v>2.9729999999999999</v>
      </c>
      <c r="G356" s="76">
        <v>3.41</v>
      </c>
      <c r="H356" s="76">
        <v>3.72</v>
      </c>
      <c r="I356" s="76">
        <v>4.069</v>
      </c>
      <c r="J356" s="76">
        <v>4.4349999999999996</v>
      </c>
      <c r="K356" s="76">
        <v>4.4349999999999996</v>
      </c>
      <c r="L356" s="76">
        <v>5.5949999999999998</v>
      </c>
      <c r="M356" s="76">
        <v>7.6189999999999998</v>
      </c>
      <c r="N356" s="76">
        <v>7.883</v>
      </c>
      <c r="O356" s="76">
        <v>8.7360000000000007</v>
      </c>
      <c r="P356" s="76">
        <v>8.7360000000000007</v>
      </c>
      <c r="Q356" s="76">
        <v>8.7360000000000007</v>
      </c>
      <c r="R356" s="76" t="s">
        <v>172</v>
      </c>
      <c r="S356" s="76" t="s">
        <v>172</v>
      </c>
      <c r="T356" s="76" t="s">
        <v>172</v>
      </c>
      <c r="U356" s="76" t="s">
        <v>172</v>
      </c>
      <c r="V356" s="76" t="s">
        <v>172</v>
      </c>
    </row>
    <row r="357" spans="1:22">
      <c r="A357" s="326" t="s">
        <v>5</v>
      </c>
      <c r="B357" s="159">
        <v>603</v>
      </c>
      <c r="C357" s="76">
        <v>1.42</v>
      </c>
      <c r="D357" s="76">
        <v>3.581</v>
      </c>
      <c r="E357" s="76">
        <v>6.1459999999999999</v>
      </c>
      <c r="F357" s="76">
        <v>9.5299999999999994</v>
      </c>
      <c r="G357" s="76">
        <v>12.016999999999999</v>
      </c>
      <c r="H357" s="76">
        <v>12.641</v>
      </c>
      <c r="I357" s="76">
        <v>13.781000000000001</v>
      </c>
      <c r="J357" s="76">
        <v>14.614000000000001</v>
      </c>
      <c r="K357" s="76">
        <v>15.090999999999999</v>
      </c>
      <c r="L357" s="76">
        <v>17.184000000000001</v>
      </c>
      <c r="M357" s="76">
        <v>23.277999999999999</v>
      </c>
      <c r="N357" s="76">
        <v>23.917999999999999</v>
      </c>
      <c r="O357" s="76">
        <v>23.917999999999999</v>
      </c>
      <c r="P357" s="76">
        <v>25.382000000000001</v>
      </c>
      <c r="Q357" s="76">
        <v>25.382000000000001</v>
      </c>
      <c r="R357" s="76" t="s">
        <v>172</v>
      </c>
      <c r="S357" s="76" t="s">
        <v>172</v>
      </c>
      <c r="T357" s="76" t="s">
        <v>172</v>
      </c>
      <c r="U357" s="76" t="s">
        <v>172</v>
      </c>
      <c r="V357" s="76" t="s">
        <v>172</v>
      </c>
    </row>
    <row r="358" spans="1:22">
      <c r="A358" s="326" t="s">
        <v>6</v>
      </c>
      <c r="B358" s="159">
        <v>996</v>
      </c>
      <c r="C358" s="76">
        <v>5.1390000000000002</v>
      </c>
      <c r="D358" s="76">
        <v>14.162000000000001</v>
      </c>
      <c r="E358" s="76">
        <v>25.131</v>
      </c>
      <c r="F358" s="76">
        <v>33.786999999999999</v>
      </c>
      <c r="G358" s="76">
        <v>38.694000000000003</v>
      </c>
      <c r="H358" s="76">
        <v>42.281999999999996</v>
      </c>
      <c r="I358" s="76">
        <v>43.706000000000003</v>
      </c>
      <c r="J358" s="76">
        <v>45.837000000000003</v>
      </c>
      <c r="K358" s="76">
        <v>48.329000000000001</v>
      </c>
      <c r="L358" s="76">
        <v>51.994</v>
      </c>
      <c r="M358" s="76">
        <v>56.953000000000003</v>
      </c>
      <c r="N358" s="76">
        <v>57.491</v>
      </c>
      <c r="O358" s="76">
        <v>57.491</v>
      </c>
      <c r="P358" s="76">
        <v>57.491</v>
      </c>
      <c r="Q358" s="76">
        <v>58.177</v>
      </c>
      <c r="R358" s="76" t="s">
        <v>172</v>
      </c>
      <c r="S358" s="76" t="s">
        <v>172</v>
      </c>
      <c r="T358" s="76" t="s">
        <v>172</v>
      </c>
      <c r="U358" s="76" t="s">
        <v>172</v>
      </c>
      <c r="V358" s="76" t="s">
        <v>172</v>
      </c>
    </row>
    <row r="359" spans="1:22">
      <c r="A359" s="326" t="s">
        <v>71</v>
      </c>
      <c r="B359" s="159">
        <v>240</v>
      </c>
      <c r="C359" s="76">
        <v>18.541</v>
      </c>
      <c r="D359" s="76">
        <v>29.536000000000001</v>
      </c>
      <c r="E359" s="76">
        <v>48.811999999999998</v>
      </c>
      <c r="F359" s="76">
        <v>55.651000000000003</v>
      </c>
      <c r="G359" s="76">
        <v>61.917999999999999</v>
      </c>
      <c r="H359" s="76">
        <v>66.646000000000001</v>
      </c>
      <c r="I359" s="76">
        <v>66.646000000000001</v>
      </c>
      <c r="J359" s="76">
        <v>68.869</v>
      </c>
      <c r="K359" s="76">
        <v>68.869</v>
      </c>
      <c r="L359" s="76">
        <v>74.058000000000007</v>
      </c>
      <c r="M359" s="76">
        <v>74.058000000000007</v>
      </c>
      <c r="N359" s="76">
        <v>74.058000000000007</v>
      </c>
      <c r="O359" s="76">
        <v>91.352999999999994</v>
      </c>
      <c r="P359" s="76">
        <v>91.352999999999994</v>
      </c>
      <c r="Q359" s="76">
        <v>91.352999999999994</v>
      </c>
      <c r="R359" s="76" t="s">
        <v>172</v>
      </c>
      <c r="S359" s="76" t="s">
        <v>172</v>
      </c>
      <c r="T359" s="76" t="s">
        <v>172</v>
      </c>
      <c r="U359" s="76" t="s">
        <v>172</v>
      </c>
      <c r="V359" s="76" t="s">
        <v>172</v>
      </c>
    </row>
    <row r="360" spans="1:22">
      <c r="A360" s="326" t="s">
        <v>8</v>
      </c>
      <c r="B360" s="159">
        <v>2489</v>
      </c>
      <c r="C360" s="76">
        <v>4.1000000000000002E-2</v>
      </c>
      <c r="D360" s="76">
        <v>0.215</v>
      </c>
      <c r="E360" s="76">
        <v>0.67200000000000004</v>
      </c>
      <c r="F360" s="76">
        <v>1.2150000000000001</v>
      </c>
      <c r="G360" s="76">
        <v>1.5780000000000001</v>
      </c>
      <c r="H360" s="76">
        <v>1.7470000000000001</v>
      </c>
      <c r="I360" s="76">
        <v>1.869</v>
      </c>
      <c r="J360" s="76">
        <v>1.9970000000000001</v>
      </c>
      <c r="K360" s="76">
        <v>1.9970000000000001</v>
      </c>
      <c r="L360" s="76">
        <v>2.843</v>
      </c>
      <c r="M360" s="76">
        <v>4.0659999999999998</v>
      </c>
      <c r="N360" s="76">
        <v>4.327</v>
      </c>
      <c r="O360" s="76">
        <v>4.9729999999999999</v>
      </c>
      <c r="P360" s="76">
        <v>5.1660000000000004</v>
      </c>
      <c r="Q360" s="76">
        <v>5.3639999999999999</v>
      </c>
      <c r="R360" s="76" t="s">
        <v>172</v>
      </c>
      <c r="S360" s="76" t="s">
        <v>172</v>
      </c>
      <c r="T360" s="76" t="s">
        <v>172</v>
      </c>
      <c r="U360" s="76" t="s">
        <v>172</v>
      </c>
      <c r="V360" s="76" t="s">
        <v>172</v>
      </c>
    </row>
    <row r="361" spans="1:22">
      <c r="A361" s="326" t="s">
        <v>9</v>
      </c>
      <c r="B361" s="159">
        <v>1839</v>
      </c>
      <c r="C361" s="76">
        <v>5.694</v>
      </c>
      <c r="D361" s="76">
        <v>12.786</v>
      </c>
      <c r="E361" s="76">
        <v>22.125</v>
      </c>
      <c r="F361" s="76">
        <v>28.809000000000001</v>
      </c>
      <c r="G361" s="76">
        <v>32.979999999999997</v>
      </c>
      <c r="H361" s="76">
        <v>35.58</v>
      </c>
      <c r="I361" s="76">
        <v>36.762999999999998</v>
      </c>
      <c r="J361" s="76">
        <v>38.304000000000002</v>
      </c>
      <c r="K361" s="76">
        <v>39.725000000000001</v>
      </c>
      <c r="L361" s="76">
        <v>42.506</v>
      </c>
      <c r="M361" s="76">
        <v>47.329000000000001</v>
      </c>
      <c r="N361" s="76">
        <v>47.847999999999999</v>
      </c>
      <c r="O361" s="76">
        <v>48.402999999999999</v>
      </c>
      <c r="P361" s="76">
        <v>49.015999999999998</v>
      </c>
      <c r="Q361" s="76">
        <v>49.331000000000003</v>
      </c>
      <c r="R361" s="76" t="s">
        <v>172</v>
      </c>
      <c r="S361" s="76" t="s">
        <v>172</v>
      </c>
      <c r="T361" s="76" t="s">
        <v>172</v>
      </c>
      <c r="U361" s="76" t="s">
        <v>172</v>
      </c>
      <c r="V361" s="76" t="s">
        <v>172</v>
      </c>
    </row>
    <row r="362" spans="1:22">
      <c r="A362" s="326" t="s">
        <v>79</v>
      </c>
      <c r="B362" s="159">
        <v>4328</v>
      </c>
      <c r="C362" s="76">
        <v>2.4089999999999998</v>
      </c>
      <c r="D362" s="76">
        <v>5.3929999999999998</v>
      </c>
      <c r="E362" s="76">
        <v>9.3759999999999994</v>
      </c>
      <c r="F362" s="76">
        <v>12.266999999999999</v>
      </c>
      <c r="G362" s="76">
        <v>13.978999999999999</v>
      </c>
      <c r="H362" s="76">
        <v>14.957000000000001</v>
      </c>
      <c r="I362" s="76">
        <v>15.398999999999999</v>
      </c>
      <c r="J362" s="76">
        <v>15.923999999999999</v>
      </c>
      <c r="K362" s="76">
        <v>16.303000000000001</v>
      </c>
      <c r="L362" s="76">
        <v>17.588000000000001</v>
      </c>
      <c r="M362" s="76">
        <v>19.634</v>
      </c>
      <c r="N362" s="76">
        <v>19.942</v>
      </c>
      <c r="O362" s="76">
        <v>20.530999999999999</v>
      </c>
      <c r="P362" s="76">
        <v>20.806999999999999</v>
      </c>
      <c r="Q362" s="76">
        <v>21.018999999999998</v>
      </c>
      <c r="R362" s="76" t="s">
        <v>172</v>
      </c>
      <c r="S362" s="76" t="s">
        <v>172</v>
      </c>
      <c r="T362" s="76" t="s">
        <v>172</v>
      </c>
      <c r="U362" s="76" t="s">
        <v>172</v>
      </c>
      <c r="V362" s="76" t="s">
        <v>172</v>
      </c>
    </row>
    <row r="363" spans="1:22">
      <c r="A363" s="326">
        <v>36526</v>
      </c>
      <c r="B363" s="327"/>
    </row>
    <row r="364" spans="1:22">
      <c r="A364" s="328" t="s">
        <v>0</v>
      </c>
      <c r="B364" s="329" t="s">
        <v>78</v>
      </c>
      <c r="C364" s="329">
        <v>1</v>
      </c>
      <c r="D364" s="329">
        <v>2</v>
      </c>
      <c r="E364" s="329">
        <v>3</v>
      </c>
      <c r="F364" s="329">
        <v>4</v>
      </c>
      <c r="G364" s="329">
        <v>5</v>
      </c>
      <c r="H364" s="329">
        <v>6</v>
      </c>
      <c r="I364" s="329">
        <v>7</v>
      </c>
      <c r="J364" s="329">
        <v>8</v>
      </c>
      <c r="K364" s="329">
        <v>9</v>
      </c>
      <c r="L364" s="329">
        <v>10</v>
      </c>
      <c r="M364" s="329">
        <v>11</v>
      </c>
      <c r="N364" s="329">
        <v>12</v>
      </c>
      <c r="O364" s="329">
        <v>13</v>
      </c>
      <c r="P364" s="329">
        <v>14</v>
      </c>
    </row>
    <row r="365" spans="1:22">
      <c r="A365" s="326" t="s">
        <v>1</v>
      </c>
      <c r="B365" s="159">
        <v>99</v>
      </c>
      <c r="C365" s="76">
        <v>0</v>
      </c>
      <c r="D365" s="76">
        <v>0</v>
      </c>
      <c r="E365" s="76">
        <v>0</v>
      </c>
      <c r="F365" s="76">
        <v>0</v>
      </c>
      <c r="G365" s="76">
        <v>0</v>
      </c>
      <c r="H365" s="76">
        <v>0</v>
      </c>
      <c r="I365" s="76">
        <v>0</v>
      </c>
      <c r="J365" s="76">
        <v>0</v>
      </c>
      <c r="K365" s="76">
        <v>0</v>
      </c>
      <c r="L365" s="76">
        <v>0</v>
      </c>
      <c r="M365" s="76">
        <v>0</v>
      </c>
      <c r="N365" s="76">
        <v>0</v>
      </c>
      <c r="O365" s="76">
        <v>0</v>
      </c>
      <c r="P365" s="76">
        <v>0</v>
      </c>
      <c r="Q365" s="76" t="s">
        <v>172</v>
      </c>
      <c r="R365" s="76" t="s">
        <v>172</v>
      </c>
      <c r="S365" s="76" t="s">
        <v>172</v>
      </c>
      <c r="T365" s="76" t="s">
        <v>172</v>
      </c>
      <c r="U365" s="76" t="s">
        <v>172</v>
      </c>
      <c r="V365" s="76" t="s">
        <v>172</v>
      </c>
    </row>
    <row r="366" spans="1:22">
      <c r="A366" s="326" t="s">
        <v>2</v>
      </c>
      <c r="B366" s="159">
        <v>518</v>
      </c>
      <c r="C366" s="76">
        <v>0</v>
      </c>
      <c r="D366" s="76">
        <v>0</v>
      </c>
      <c r="E366" s="76">
        <v>0</v>
      </c>
      <c r="F366" s="76">
        <v>0</v>
      </c>
      <c r="G366" s="76">
        <v>0</v>
      </c>
      <c r="H366" s="76">
        <v>0</v>
      </c>
      <c r="I366" s="76">
        <v>0</v>
      </c>
      <c r="J366" s="76">
        <v>0</v>
      </c>
      <c r="K366" s="76">
        <v>0</v>
      </c>
      <c r="L366" s="76">
        <v>0</v>
      </c>
      <c r="M366" s="76">
        <v>0.80600000000000005</v>
      </c>
      <c r="N366" s="76">
        <v>1.21</v>
      </c>
      <c r="O366" s="76">
        <v>1.21</v>
      </c>
      <c r="P366" s="76">
        <v>1.21</v>
      </c>
      <c r="Q366" s="76" t="s">
        <v>172</v>
      </c>
      <c r="R366" s="76" t="s">
        <v>172</v>
      </c>
      <c r="S366" s="76" t="s">
        <v>172</v>
      </c>
      <c r="T366" s="76" t="s">
        <v>172</v>
      </c>
      <c r="U366" s="76" t="s">
        <v>172</v>
      </c>
      <c r="V366" s="76" t="s">
        <v>172</v>
      </c>
    </row>
    <row r="367" spans="1:22">
      <c r="A367" s="326" t="s">
        <v>3</v>
      </c>
      <c r="B367" s="159">
        <v>1034</v>
      </c>
      <c r="C367" s="76">
        <v>0</v>
      </c>
      <c r="D367" s="76">
        <v>0.20599999999999999</v>
      </c>
      <c r="E367" s="76">
        <v>0.43099999999999999</v>
      </c>
      <c r="F367" s="76">
        <v>0.90200000000000002</v>
      </c>
      <c r="G367" s="76">
        <v>1.0329999999999999</v>
      </c>
      <c r="H367" s="76">
        <v>1.0329999999999999</v>
      </c>
      <c r="I367" s="76">
        <v>1.0329999999999999</v>
      </c>
      <c r="J367" s="76">
        <v>1.0329999999999999</v>
      </c>
      <c r="K367" s="76">
        <v>2.3809999999999998</v>
      </c>
      <c r="L367" s="76">
        <v>3.9790000000000001</v>
      </c>
      <c r="M367" s="76">
        <v>3.9790000000000001</v>
      </c>
      <c r="N367" s="76">
        <v>4.5860000000000003</v>
      </c>
      <c r="O367" s="76">
        <v>5.2140000000000004</v>
      </c>
      <c r="P367" s="76">
        <v>5.6429999999999998</v>
      </c>
      <c r="Q367" s="76" t="s">
        <v>172</v>
      </c>
      <c r="R367" s="76" t="s">
        <v>172</v>
      </c>
      <c r="S367" s="76" t="s">
        <v>172</v>
      </c>
      <c r="T367" s="76" t="s">
        <v>172</v>
      </c>
      <c r="U367" s="76" t="s">
        <v>172</v>
      </c>
      <c r="V367" s="76" t="s">
        <v>172</v>
      </c>
    </row>
    <row r="368" spans="1:22">
      <c r="A368" s="326" t="s">
        <v>4</v>
      </c>
      <c r="B368" s="159">
        <v>986</v>
      </c>
      <c r="C368" s="76">
        <v>0.42099999999999999</v>
      </c>
      <c r="D368" s="76">
        <v>0.96899999999999997</v>
      </c>
      <c r="E368" s="76">
        <v>2.1720000000000002</v>
      </c>
      <c r="F368" s="76">
        <v>2.81</v>
      </c>
      <c r="G368" s="76">
        <v>3.0830000000000002</v>
      </c>
      <c r="H368" s="76">
        <v>3.54</v>
      </c>
      <c r="I368" s="76">
        <v>3.86</v>
      </c>
      <c r="J368" s="76">
        <v>3.86</v>
      </c>
      <c r="K368" s="76">
        <v>4.43</v>
      </c>
      <c r="L368" s="76">
        <v>6.7770000000000001</v>
      </c>
      <c r="M368" s="76">
        <v>7.0039999999999996</v>
      </c>
      <c r="N368" s="76">
        <v>7.9770000000000003</v>
      </c>
      <c r="O368" s="76">
        <v>8.234</v>
      </c>
      <c r="P368" s="76">
        <v>8.234</v>
      </c>
      <c r="Q368" s="76" t="s">
        <v>172</v>
      </c>
      <c r="R368" s="76" t="s">
        <v>172</v>
      </c>
      <c r="S368" s="76" t="s">
        <v>172</v>
      </c>
      <c r="T368" s="76" t="s">
        <v>172</v>
      </c>
      <c r="U368" s="76" t="s">
        <v>172</v>
      </c>
      <c r="V368" s="76" t="s">
        <v>172</v>
      </c>
    </row>
    <row r="369" spans="1:22">
      <c r="A369" s="326" t="s">
        <v>5</v>
      </c>
      <c r="B369" s="159">
        <v>533</v>
      </c>
      <c r="C369" s="76">
        <v>0.79200000000000004</v>
      </c>
      <c r="D369" s="76">
        <v>2.5289999999999999</v>
      </c>
      <c r="E369" s="76">
        <v>5.218</v>
      </c>
      <c r="F369" s="76">
        <v>7.1360000000000001</v>
      </c>
      <c r="G369" s="76">
        <v>7.1360000000000001</v>
      </c>
      <c r="H369" s="76">
        <v>8.6240000000000006</v>
      </c>
      <c r="I369" s="76">
        <v>9.0530000000000008</v>
      </c>
      <c r="J369" s="76">
        <v>9.5419999999999998</v>
      </c>
      <c r="K369" s="76">
        <v>12.853999999999999</v>
      </c>
      <c r="L369" s="76">
        <v>21.119</v>
      </c>
      <c r="M369" s="76">
        <v>21.798999999999999</v>
      </c>
      <c r="N369" s="76">
        <v>21.798999999999999</v>
      </c>
      <c r="O369" s="76">
        <v>23.34</v>
      </c>
      <c r="P369" s="76">
        <v>23.34</v>
      </c>
      <c r="Q369" s="76" t="s">
        <v>172</v>
      </c>
      <c r="R369" s="76" t="s">
        <v>172</v>
      </c>
      <c r="S369" s="76" t="s">
        <v>172</v>
      </c>
      <c r="T369" s="76" t="s">
        <v>172</v>
      </c>
      <c r="U369" s="76" t="s">
        <v>172</v>
      </c>
      <c r="V369" s="76" t="s">
        <v>172</v>
      </c>
    </row>
    <row r="370" spans="1:22">
      <c r="A370" s="326" t="s">
        <v>6</v>
      </c>
      <c r="B370" s="159">
        <v>1080</v>
      </c>
      <c r="C370" s="76">
        <v>6.2530000000000001</v>
      </c>
      <c r="D370" s="76">
        <v>17.277000000000001</v>
      </c>
      <c r="E370" s="76">
        <v>26.632000000000001</v>
      </c>
      <c r="F370" s="76">
        <v>32.155999999999999</v>
      </c>
      <c r="G370" s="76">
        <v>35.74</v>
      </c>
      <c r="H370" s="76">
        <v>37.770000000000003</v>
      </c>
      <c r="I370" s="76">
        <v>40.851999999999997</v>
      </c>
      <c r="J370" s="76">
        <v>42.957999999999998</v>
      </c>
      <c r="K370" s="76">
        <v>45.972999999999999</v>
      </c>
      <c r="L370" s="76">
        <v>52.033000000000001</v>
      </c>
      <c r="M370" s="76">
        <v>52.484999999999999</v>
      </c>
      <c r="N370" s="76">
        <v>52.484999999999999</v>
      </c>
      <c r="O370" s="76">
        <v>52.484999999999999</v>
      </c>
      <c r="P370" s="76">
        <v>53.072000000000003</v>
      </c>
      <c r="Q370" s="76" t="s">
        <v>172</v>
      </c>
      <c r="R370" s="76" t="s">
        <v>172</v>
      </c>
      <c r="S370" s="76" t="s">
        <v>172</v>
      </c>
      <c r="T370" s="76" t="s">
        <v>172</v>
      </c>
      <c r="U370" s="76" t="s">
        <v>172</v>
      </c>
      <c r="V370" s="76" t="s">
        <v>172</v>
      </c>
    </row>
    <row r="371" spans="1:22">
      <c r="A371" s="326" t="s">
        <v>71</v>
      </c>
      <c r="B371" s="159">
        <v>277</v>
      </c>
      <c r="C371" s="76">
        <v>19.706</v>
      </c>
      <c r="D371" s="76">
        <v>42.442</v>
      </c>
      <c r="E371" s="76">
        <v>52.606000000000002</v>
      </c>
      <c r="F371" s="76">
        <v>59.764000000000003</v>
      </c>
      <c r="G371" s="76">
        <v>66.33</v>
      </c>
      <c r="H371" s="76">
        <v>67.933000000000007</v>
      </c>
      <c r="I371" s="76">
        <v>69.715000000000003</v>
      </c>
      <c r="J371" s="76">
        <v>69.715000000000003</v>
      </c>
      <c r="K371" s="76">
        <v>73.5</v>
      </c>
      <c r="L371" s="76">
        <v>78.8</v>
      </c>
      <c r="M371" s="76">
        <v>78.8</v>
      </c>
      <c r="N371" s="76">
        <v>92.933000000000007</v>
      </c>
      <c r="O371" s="76">
        <v>92.933000000000007</v>
      </c>
      <c r="P371" s="76">
        <v>92.933000000000007</v>
      </c>
      <c r="Q371" s="76" t="s">
        <v>172</v>
      </c>
      <c r="R371" s="76" t="s">
        <v>172</v>
      </c>
      <c r="S371" s="76" t="s">
        <v>172</v>
      </c>
      <c r="T371" s="76" t="s">
        <v>172</v>
      </c>
      <c r="U371" s="76" t="s">
        <v>172</v>
      </c>
      <c r="V371" s="76" t="s">
        <v>172</v>
      </c>
    </row>
    <row r="372" spans="1:22">
      <c r="A372" s="326" t="s">
        <v>8</v>
      </c>
      <c r="B372" s="159">
        <v>2637</v>
      </c>
      <c r="C372" s="76">
        <v>0.157</v>
      </c>
      <c r="D372" s="76">
        <v>0.44400000000000001</v>
      </c>
      <c r="E372" s="76">
        <v>0.97899999999999998</v>
      </c>
      <c r="F372" s="76">
        <v>1.4019999999999999</v>
      </c>
      <c r="G372" s="76">
        <v>1.5549999999999999</v>
      </c>
      <c r="H372" s="76">
        <v>1.72</v>
      </c>
      <c r="I372" s="76">
        <v>1.835</v>
      </c>
      <c r="J372" s="76">
        <v>1.835</v>
      </c>
      <c r="K372" s="76">
        <v>2.59</v>
      </c>
      <c r="L372" s="76">
        <v>4.0629999999999997</v>
      </c>
      <c r="M372" s="76">
        <v>4.3</v>
      </c>
      <c r="N372" s="76">
        <v>4.9669999999999996</v>
      </c>
      <c r="O372" s="76">
        <v>5.3159999999999998</v>
      </c>
      <c r="P372" s="76">
        <v>5.4950000000000001</v>
      </c>
      <c r="Q372" s="76" t="s">
        <v>172</v>
      </c>
      <c r="R372" s="76" t="s">
        <v>172</v>
      </c>
      <c r="S372" s="76" t="s">
        <v>172</v>
      </c>
      <c r="T372" s="76" t="s">
        <v>172</v>
      </c>
      <c r="U372" s="76" t="s">
        <v>172</v>
      </c>
      <c r="V372" s="76" t="s">
        <v>172</v>
      </c>
    </row>
    <row r="373" spans="1:22">
      <c r="A373" s="326" t="s">
        <v>9</v>
      </c>
      <c r="B373" s="159">
        <v>1890</v>
      </c>
      <c r="C373" s="76">
        <v>6.6849999999999996</v>
      </c>
      <c r="D373" s="76">
        <v>16.802</v>
      </c>
      <c r="E373" s="76">
        <v>24.343</v>
      </c>
      <c r="F373" s="76">
        <v>28.916</v>
      </c>
      <c r="G373" s="76">
        <v>31.649000000000001</v>
      </c>
      <c r="H373" s="76">
        <v>33.393000000000001</v>
      </c>
      <c r="I373" s="76">
        <v>35.338999999999999</v>
      </c>
      <c r="J373" s="76">
        <v>36.616</v>
      </c>
      <c r="K373" s="76">
        <v>39.554000000000002</v>
      </c>
      <c r="L373" s="76">
        <v>45.878</v>
      </c>
      <c r="M373" s="76">
        <v>46.362000000000002</v>
      </c>
      <c r="N373" s="76">
        <v>46.883000000000003</v>
      </c>
      <c r="O373" s="76">
        <v>47.451999999999998</v>
      </c>
      <c r="P373" s="76">
        <v>47.743000000000002</v>
      </c>
      <c r="Q373" s="76" t="s">
        <v>172</v>
      </c>
      <c r="R373" s="76" t="s">
        <v>172</v>
      </c>
      <c r="S373" s="76" t="s">
        <v>172</v>
      </c>
      <c r="T373" s="76" t="s">
        <v>172</v>
      </c>
      <c r="U373" s="76" t="s">
        <v>172</v>
      </c>
      <c r="V373" s="76" t="s">
        <v>172</v>
      </c>
    </row>
    <row r="374" spans="1:22">
      <c r="A374" s="326" t="s">
        <v>79</v>
      </c>
      <c r="B374" s="159">
        <v>4527</v>
      </c>
      <c r="C374" s="76">
        <v>2.8519999999999999</v>
      </c>
      <c r="D374" s="76">
        <v>7.1059999999999999</v>
      </c>
      <c r="E374" s="76">
        <v>10.363</v>
      </c>
      <c r="F374" s="76">
        <v>12.305999999999999</v>
      </c>
      <c r="G374" s="76">
        <v>13.346</v>
      </c>
      <c r="H374" s="76">
        <v>13.997</v>
      </c>
      <c r="I374" s="76">
        <v>14.632999999999999</v>
      </c>
      <c r="J374" s="76">
        <v>14.976000000000001</v>
      </c>
      <c r="K374" s="76">
        <v>16.234999999999999</v>
      </c>
      <c r="L374" s="76">
        <v>18.821999999999999</v>
      </c>
      <c r="M374" s="76">
        <v>19.103999999999999</v>
      </c>
      <c r="N374" s="76">
        <v>19.702999999999999</v>
      </c>
      <c r="O374" s="76">
        <v>20.079999999999998</v>
      </c>
      <c r="P374" s="76">
        <v>20.274000000000001</v>
      </c>
      <c r="Q374" s="76" t="s">
        <v>172</v>
      </c>
      <c r="R374" s="76" t="s">
        <v>172</v>
      </c>
      <c r="S374" s="76" t="s">
        <v>172</v>
      </c>
      <c r="T374" s="76" t="s">
        <v>172</v>
      </c>
      <c r="U374" s="76" t="s">
        <v>172</v>
      </c>
      <c r="V374" s="76" t="s">
        <v>172</v>
      </c>
    </row>
    <row r="375" spans="1:22">
      <c r="A375" s="326">
        <v>36892</v>
      </c>
      <c r="B375" s="327"/>
    </row>
    <row r="376" spans="1:22">
      <c r="A376" s="328" t="s">
        <v>0</v>
      </c>
      <c r="B376" s="329" t="s">
        <v>78</v>
      </c>
      <c r="C376" s="329">
        <v>1</v>
      </c>
      <c r="D376" s="329">
        <v>2</v>
      </c>
      <c r="E376" s="329">
        <v>3</v>
      </c>
      <c r="F376" s="329">
        <v>4</v>
      </c>
      <c r="G376" s="329">
        <v>5</v>
      </c>
      <c r="H376" s="329">
        <v>6</v>
      </c>
      <c r="I376" s="329">
        <v>7</v>
      </c>
      <c r="J376" s="329">
        <v>8</v>
      </c>
      <c r="K376" s="329">
        <v>9</v>
      </c>
      <c r="L376" s="329">
        <v>10</v>
      </c>
      <c r="M376" s="329">
        <v>11</v>
      </c>
      <c r="N376" s="329">
        <v>12</v>
      </c>
      <c r="O376" s="329">
        <v>13</v>
      </c>
    </row>
    <row r="377" spans="1:22">
      <c r="A377" s="326" t="s">
        <v>1</v>
      </c>
      <c r="B377" s="159">
        <v>99</v>
      </c>
      <c r="C377" s="76">
        <v>0</v>
      </c>
      <c r="D377" s="76">
        <v>0</v>
      </c>
      <c r="E377" s="76">
        <v>0</v>
      </c>
      <c r="F377" s="76">
        <v>0</v>
      </c>
      <c r="G377" s="76">
        <v>0</v>
      </c>
      <c r="H377" s="76">
        <v>0</v>
      </c>
      <c r="I377" s="76">
        <v>0</v>
      </c>
      <c r="J377" s="76">
        <v>0</v>
      </c>
      <c r="K377" s="76">
        <v>0</v>
      </c>
      <c r="L377" s="76">
        <v>0</v>
      </c>
      <c r="M377" s="76">
        <v>0</v>
      </c>
      <c r="N377" s="76">
        <v>0</v>
      </c>
      <c r="O377" s="76">
        <v>0</v>
      </c>
      <c r="P377" s="76" t="s">
        <v>172</v>
      </c>
      <c r="Q377" s="76" t="s">
        <v>172</v>
      </c>
      <c r="R377" s="76" t="s">
        <v>172</v>
      </c>
      <c r="S377" s="76" t="s">
        <v>172</v>
      </c>
      <c r="T377" s="76" t="s">
        <v>172</v>
      </c>
      <c r="U377" s="76" t="s">
        <v>172</v>
      </c>
      <c r="V377" s="76" t="s">
        <v>172</v>
      </c>
    </row>
    <row r="378" spans="1:22">
      <c r="A378" s="326" t="s">
        <v>2</v>
      </c>
      <c r="B378" s="159">
        <v>566</v>
      </c>
      <c r="C378" s="76">
        <v>0</v>
      </c>
      <c r="D378" s="76">
        <v>0</v>
      </c>
      <c r="E378" s="76">
        <v>0</v>
      </c>
      <c r="F378" s="76">
        <v>0</v>
      </c>
      <c r="G378" s="76">
        <v>0</v>
      </c>
      <c r="H378" s="76">
        <v>0</v>
      </c>
      <c r="I378" s="76">
        <v>0</v>
      </c>
      <c r="J378" s="76">
        <v>0</v>
      </c>
      <c r="K378" s="76">
        <v>0</v>
      </c>
      <c r="L378" s="76">
        <v>0.74299999999999999</v>
      </c>
      <c r="M378" s="76">
        <v>1.115</v>
      </c>
      <c r="N378" s="76">
        <v>1.115</v>
      </c>
      <c r="O378" s="76">
        <v>1.532</v>
      </c>
      <c r="P378" s="76" t="s">
        <v>172</v>
      </c>
      <c r="Q378" s="76" t="s">
        <v>172</v>
      </c>
      <c r="R378" s="76" t="s">
        <v>172</v>
      </c>
      <c r="S378" s="76" t="s">
        <v>172</v>
      </c>
      <c r="T378" s="76" t="s">
        <v>172</v>
      </c>
      <c r="U378" s="76" t="s">
        <v>172</v>
      </c>
      <c r="V378" s="76" t="s">
        <v>172</v>
      </c>
    </row>
    <row r="379" spans="1:22">
      <c r="A379" s="326" t="s">
        <v>3</v>
      </c>
      <c r="B379" s="159">
        <v>1063</v>
      </c>
      <c r="C379" s="76">
        <v>0.19</v>
      </c>
      <c r="D379" s="76">
        <v>0.5</v>
      </c>
      <c r="E379" s="76">
        <v>0.82499999999999996</v>
      </c>
      <c r="F379" s="76">
        <v>0.82499999999999996</v>
      </c>
      <c r="G379" s="76">
        <v>0.82499999999999996</v>
      </c>
      <c r="H379" s="76">
        <v>0.82499999999999996</v>
      </c>
      <c r="I379" s="76">
        <v>0.82499999999999996</v>
      </c>
      <c r="J379" s="76">
        <v>2.516</v>
      </c>
      <c r="K379" s="76">
        <v>3.81</v>
      </c>
      <c r="L379" s="76">
        <v>3.9820000000000002</v>
      </c>
      <c r="M379" s="76">
        <v>4.5339999999999998</v>
      </c>
      <c r="N379" s="76">
        <v>4.9109999999999996</v>
      </c>
      <c r="O379" s="76">
        <v>5.3010000000000002</v>
      </c>
      <c r="P379" s="76" t="s">
        <v>172</v>
      </c>
      <c r="Q379" s="76" t="s">
        <v>172</v>
      </c>
      <c r="R379" s="76" t="s">
        <v>172</v>
      </c>
      <c r="S379" s="76" t="s">
        <v>172</v>
      </c>
      <c r="T379" s="76" t="s">
        <v>172</v>
      </c>
      <c r="U379" s="76" t="s">
        <v>172</v>
      </c>
      <c r="V379" s="76" t="s">
        <v>172</v>
      </c>
    </row>
    <row r="380" spans="1:22">
      <c r="A380" s="326" t="s">
        <v>4</v>
      </c>
      <c r="B380" s="159">
        <v>960</v>
      </c>
      <c r="C380" s="76">
        <v>0.216</v>
      </c>
      <c r="D380" s="76">
        <v>1.6120000000000001</v>
      </c>
      <c r="E380" s="76">
        <v>2.2290000000000001</v>
      </c>
      <c r="F380" s="76">
        <v>2.63</v>
      </c>
      <c r="G380" s="76">
        <v>3.0760000000000001</v>
      </c>
      <c r="H380" s="76">
        <v>3.3879999999999999</v>
      </c>
      <c r="I380" s="76">
        <v>3.3879999999999999</v>
      </c>
      <c r="J380" s="76">
        <v>3.758</v>
      </c>
      <c r="K380" s="76">
        <v>6.2240000000000002</v>
      </c>
      <c r="L380" s="76">
        <v>6.2240000000000002</v>
      </c>
      <c r="M380" s="76">
        <v>7.1539999999999999</v>
      </c>
      <c r="N380" s="76">
        <v>7.65</v>
      </c>
      <c r="O380" s="76">
        <v>7.65</v>
      </c>
      <c r="P380" s="76" t="s">
        <v>172</v>
      </c>
      <c r="Q380" s="76" t="s">
        <v>172</v>
      </c>
      <c r="R380" s="76" t="s">
        <v>172</v>
      </c>
      <c r="S380" s="76" t="s">
        <v>172</v>
      </c>
      <c r="T380" s="76" t="s">
        <v>172</v>
      </c>
      <c r="U380" s="76" t="s">
        <v>172</v>
      </c>
      <c r="V380" s="76" t="s">
        <v>172</v>
      </c>
    </row>
    <row r="381" spans="1:22">
      <c r="A381" s="326" t="s">
        <v>5</v>
      </c>
      <c r="B381" s="159">
        <v>483</v>
      </c>
      <c r="C381" s="76">
        <v>1.51</v>
      </c>
      <c r="D381" s="76">
        <v>3.444</v>
      </c>
      <c r="E381" s="76">
        <v>5.0629999999999997</v>
      </c>
      <c r="F381" s="76">
        <v>5.0629999999999997</v>
      </c>
      <c r="G381" s="76">
        <v>6.593</v>
      </c>
      <c r="H381" s="76">
        <v>7.0490000000000004</v>
      </c>
      <c r="I381" s="76">
        <v>7.5739999999999998</v>
      </c>
      <c r="J381" s="76">
        <v>10.54</v>
      </c>
      <c r="K381" s="76">
        <v>18.919</v>
      </c>
      <c r="L381" s="76">
        <v>19.675999999999998</v>
      </c>
      <c r="M381" s="76">
        <v>19.675999999999998</v>
      </c>
      <c r="N381" s="76">
        <v>21.385999999999999</v>
      </c>
      <c r="O381" s="76">
        <v>21.385999999999999</v>
      </c>
      <c r="P381" s="76" t="s">
        <v>172</v>
      </c>
      <c r="Q381" s="76" t="s">
        <v>172</v>
      </c>
      <c r="R381" s="76" t="s">
        <v>172</v>
      </c>
      <c r="S381" s="76" t="s">
        <v>172</v>
      </c>
      <c r="T381" s="76" t="s">
        <v>172</v>
      </c>
      <c r="U381" s="76" t="s">
        <v>172</v>
      </c>
      <c r="V381" s="76" t="s">
        <v>172</v>
      </c>
    </row>
    <row r="382" spans="1:22">
      <c r="A382" s="326" t="s">
        <v>6</v>
      </c>
      <c r="B382" s="159">
        <v>1037</v>
      </c>
      <c r="C382" s="76">
        <v>9.9540000000000006</v>
      </c>
      <c r="D382" s="76">
        <v>20.068000000000001</v>
      </c>
      <c r="E382" s="76">
        <v>26.067</v>
      </c>
      <c r="F382" s="76">
        <v>29.523</v>
      </c>
      <c r="G382" s="76">
        <v>31.64</v>
      </c>
      <c r="H382" s="76">
        <v>34.83</v>
      </c>
      <c r="I382" s="76">
        <v>36.823</v>
      </c>
      <c r="J382" s="76">
        <v>40.445</v>
      </c>
      <c r="K382" s="76">
        <v>48.542999999999999</v>
      </c>
      <c r="L382" s="76">
        <v>48.978999999999999</v>
      </c>
      <c r="M382" s="76">
        <v>48.978999999999999</v>
      </c>
      <c r="N382" s="76">
        <v>48.978999999999999</v>
      </c>
      <c r="O382" s="76">
        <v>49.539000000000001</v>
      </c>
      <c r="P382" s="76" t="s">
        <v>172</v>
      </c>
      <c r="Q382" s="76" t="s">
        <v>172</v>
      </c>
      <c r="R382" s="76" t="s">
        <v>172</v>
      </c>
      <c r="S382" s="76" t="s">
        <v>172</v>
      </c>
      <c r="T382" s="76" t="s">
        <v>172</v>
      </c>
      <c r="U382" s="76" t="s">
        <v>172</v>
      </c>
      <c r="V382" s="76" t="s">
        <v>172</v>
      </c>
    </row>
    <row r="383" spans="1:22">
      <c r="A383" s="326" t="s">
        <v>71</v>
      </c>
      <c r="B383" s="159">
        <v>261</v>
      </c>
      <c r="C383" s="76">
        <v>31.968</v>
      </c>
      <c r="D383" s="76">
        <v>43.886000000000003</v>
      </c>
      <c r="E383" s="76">
        <v>55.491</v>
      </c>
      <c r="F383" s="76">
        <v>62.981000000000002</v>
      </c>
      <c r="G383" s="76">
        <v>65.448999999999998</v>
      </c>
      <c r="H383" s="76">
        <v>67.019000000000005</v>
      </c>
      <c r="I383" s="76">
        <v>67.019000000000005</v>
      </c>
      <c r="J383" s="76">
        <v>70.016999999999996</v>
      </c>
      <c r="K383" s="76">
        <v>73.765000000000001</v>
      </c>
      <c r="L383" s="76">
        <v>73.765000000000001</v>
      </c>
      <c r="M383" s="76">
        <v>82.51</v>
      </c>
      <c r="N383" s="76">
        <v>82.51</v>
      </c>
      <c r="O383" s="76">
        <v>82.51</v>
      </c>
      <c r="P383" s="76" t="s">
        <v>172</v>
      </c>
      <c r="Q383" s="76" t="s">
        <v>172</v>
      </c>
      <c r="R383" s="76" t="s">
        <v>172</v>
      </c>
      <c r="S383" s="76" t="s">
        <v>172</v>
      </c>
      <c r="T383" s="76" t="s">
        <v>172</v>
      </c>
      <c r="U383" s="76" t="s">
        <v>172</v>
      </c>
      <c r="V383" s="76" t="s">
        <v>172</v>
      </c>
    </row>
    <row r="384" spans="1:22">
      <c r="A384" s="326" t="s">
        <v>8</v>
      </c>
      <c r="B384" s="159">
        <v>2688</v>
      </c>
      <c r="C384" s="76">
        <v>0.153</v>
      </c>
      <c r="D384" s="76">
        <v>0.77300000000000002</v>
      </c>
      <c r="E384" s="76">
        <v>1.1220000000000001</v>
      </c>
      <c r="F384" s="76">
        <v>1.2629999999999999</v>
      </c>
      <c r="G384" s="76">
        <v>1.417</v>
      </c>
      <c r="H384" s="76">
        <v>1.524</v>
      </c>
      <c r="I384" s="76">
        <v>1.524</v>
      </c>
      <c r="J384" s="76">
        <v>2.3559999999999999</v>
      </c>
      <c r="K384" s="76">
        <v>3.7189999999999999</v>
      </c>
      <c r="L384" s="76">
        <v>3.94</v>
      </c>
      <c r="M384" s="76">
        <v>4.5620000000000003</v>
      </c>
      <c r="N384" s="76">
        <v>4.8869999999999996</v>
      </c>
      <c r="O384" s="76">
        <v>5.1379999999999999</v>
      </c>
      <c r="P384" s="76" t="s">
        <v>172</v>
      </c>
      <c r="Q384" s="76" t="s">
        <v>172</v>
      </c>
      <c r="R384" s="76" t="s">
        <v>172</v>
      </c>
      <c r="S384" s="76" t="s">
        <v>172</v>
      </c>
      <c r="T384" s="76" t="s">
        <v>172</v>
      </c>
      <c r="U384" s="76" t="s">
        <v>172</v>
      </c>
      <c r="V384" s="76" t="s">
        <v>172</v>
      </c>
    </row>
    <row r="385" spans="1:22">
      <c r="A385" s="326" t="s">
        <v>9</v>
      </c>
      <c r="B385" s="159">
        <v>1781</v>
      </c>
      <c r="C385" s="76">
        <v>10.831</v>
      </c>
      <c r="D385" s="76">
        <v>18.905000000000001</v>
      </c>
      <c r="E385" s="76">
        <v>24.288</v>
      </c>
      <c r="F385" s="76">
        <v>27.143000000000001</v>
      </c>
      <c r="G385" s="76">
        <v>29.059000000000001</v>
      </c>
      <c r="H385" s="76">
        <v>31.138999999999999</v>
      </c>
      <c r="I385" s="76">
        <v>32.417999999999999</v>
      </c>
      <c r="J385" s="76">
        <v>35.572000000000003</v>
      </c>
      <c r="K385" s="76">
        <v>43.042000000000002</v>
      </c>
      <c r="L385" s="76">
        <v>43.534999999999997</v>
      </c>
      <c r="M385" s="76">
        <v>44.064999999999998</v>
      </c>
      <c r="N385" s="76">
        <v>44.645000000000003</v>
      </c>
      <c r="O385" s="76">
        <v>44.942999999999998</v>
      </c>
      <c r="P385" s="76" t="s">
        <v>172</v>
      </c>
      <c r="Q385" s="76" t="s">
        <v>172</v>
      </c>
      <c r="R385" s="76" t="s">
        <v>172</v>
      </c>
      <c r="S385" s="76" t="s">
        <v>172</v>
      </c>
      <c r="T385" s="76" t="s">
        <v>172</v>
      </c>
      <c r="U385" s="76" t="s">
        <v>172</v>
      </c>
      <c r="V385" s="76" t="s">
        <v>172</v>
      </c>
    </row>
    <row r="386" spans="1:22">
      <c r="A386" s="326" t="s">
        <v>79</v>
      </c>
      <c r="B386" s="159">
        <v>4469</v>
      </c>
      <c r="C386" s="76">
        <v>4.3449999999999998</v>
      </c>
      <c r="D386" s="76">
        <v>7.7990000000000004</v>
      </c>
      <c r="E386" s="76">
        <v>9.9600000000000009</v>
      </c>
      <c r="F386" s="76">
        <v>11.007</v>
      </c>
      <c r="G386" s="76">
        <v>11.692</v>
      </c>
      <c r="H386" s="76">
        <v>12.336</v>
      </c>
      <c r="I386" s="76">
        <v>12.664</v>
      </c>
      <c r="J386" s="76">
        <v>14.005000000000001</v>
      </c>
      <c r="K386" s="76">
        <v>16.716999999999999</v>
      </c>
      <c r="L386" s="76">
        <v>16.988</v>
      </c>
      <c r="M386" s="76">
        <v>17.562000000000001</v>
      </c>
      <c r="N386" s="76">
        <v>17.923999999999999</v>
      </c>
      <c r="O386" s="76">
        <v>18.172000000000001</v>
      </c>
      <c r="P386" s="76" t="s">
        <v>172</v>
      </c>
      <c r="Q386" s="76" t="s">
        <v>172</v>
      </c>
      <c r="R386" s="76" t="s">
        <v>172</v>
      </c>
      <c r="S386" s="76" t="s">
        <v>172</v>
      </c>
      <c r="T386" s="76" t="s">
        <v>172</v>
      </c>
      <c r="U386" s="76" t="s">
        <v>172</v>
      </c>
      <c r="V386" s="76" t="s">
        <v>172</v>
      </c>
    </row>
    <row r="387" spans="1:22">
      <c r="A387" s="326">
        <v>37257</v>
      </c>
      <c r="B387" s="327"/>
    </row>
    <row r="388" spans="1:22">
      <c r="A388" s="328" t="s">
        <v>0</v>
      </c>
      <c r="B388" s="329" t="s">
        <v>78</v>
      </c>
      <c r="C388" s="329">
        <v>1</v>
      </c>
      <c r="D388" s="329">
        <v>2</v>
      </c>
      <c r="E388" s="329">
        <v>3</v>
      </c>
      <c r="F388" s="329">
        <v>4</v>
      </c>
      <c r="G388" s="329">
        <v>5</v>
      </c>
      <c r="H388" s="329">
        <v>6</v>
      </c>
      <c r="I388" s="329">
        <v>7</v>
      </c>
      <c r="J388" s="329">
        <v>8</v>
      </c>
      <c r="K388" s="329">
        <v>9</v>
      </c>
      <c r="L388" s="329">
        <v>10</v>
      </c>
      <c r="M388" s="329">
        <v>11</v>
      </c>
      <c r="N388" s="329">
        <v>12</v>
      </c>
    </row>
    <row r="389" spans="1:22">
      <c r="A389" s="326" t="s">
        <v>1</v>
      </c>
      <c r="B389" s="159">
        <v>110</v>
      </c>
      <c r="C389" s="76">
        <v>0</v>
      </c>
      <c r="D389" s="76">
        <v>0</v>
      </c>
      <c r="E389" s="76">
        <v>0</v>
      </c>
      <c r="F389" s="76">
        <v>0</v>
      </c>
      <c r="G389" s="76">
        <v>0</v>
      </c>
      <c r="H389" s="76">
        <v>0</v>
      </c>
      <c r="I389" s="76">
        <v>0</v>
      </c>
      <c r="J389" s="76">
        <v>0</v>
      </c>
      <c r="K389" s="76">
        <v>0</v>
      </c>
      <c r="L389" s="76">
        <v>0</v>
      </c>
      <c r="M389" s="76">
        <v>0</v>
      </c>
      <c r="N389" s="76">
        <v>0</v>
      </c>
      <c r="O389" s="76" t="s">
        <v>172</v>
      </c>
      <c r="P389" s="76" t="s">
        <v>172</v>
      </c>
      <c r="Q389" s="76" t="s">
        <v>172</v>
      </c>
      <c r="R389" s="76" t="s">
        <v>172</v>
      </c>
      <c r="S389" s="76" t="s">
        <v>172</v>
      </c>
      <c r="T389" s="76" t="s">
        <v>172</v>
      </c>
      <c r="U389" s="76" t="s">
        <v>172</v>
      </c>
      <c r="V389" s="76" t="s">
        <v>172</v>
      </c>
    </row>
    <row r="390" spans="1:22">
      <c r="A390" s="326" t="s">
        <v>2</v>
      </c>
      <c r="B390" s="159">
        <v>562</v>
      </c>
      <c r="C390" s="76">
        <v>0</v>
      </c>
      <c r="D390" s="76">
        <v>0</v>
      </c>
      <c r="E390" s="76">
        <v>0</v>
      </c>
      <c r="F390" s="76">
        <v>0</v>
      </c>
      <c r="G390" s="76">
        <v>0</v>
      </c>
      <c r="H390" s="76">
        <v>0</v>
      </c>
      <c r="I390" s="76">
        <v>0</v>
      </c>
      <c r="J390" s="76">
        <v>0</v>
      </c>
      <c r="K390" s="76">
        <v>0.70199999999999996</v>
      </c>
      <c r="L390" s="76">
        <v>1.0529999999999999</v>
      </c>
      <c r="M390" s="76">
        <v>1.0529999999999999</v>
      </c>
      <c r="N390" s="76">
        <v>1.452</v>
      </c>
      <c r="O390" s="76" t="s">
        <v>172</v>
      </c>
      <c r="P390" s="76" t="s">
        <v>172</v>
      </c>
      <c r="Q390" s="76" t="s">
        <v>172</v>
      </c>
      <c r="R390" s="76" t="s">
        <v>172</v>
      </c>
      <c r="S390" s="76" t="s">
        <v>172</v>
      </c>
      <c r="T390" s="76" t="s">
        <v>172</v>
      </c>
      <c r="U390" s="76" t="s">
        <v>172</v>
      </c>
      <c r="V390" s="76" t="s">
        <v>172</v>
      </c>
    </row>
    <row r="391" spans="1:22">
      <c r="A391" s="326" t="s">
        <v>3</v>
      </c>
      <c r="B391" s="159">
        <v>1069</v>
      </c>
      <c r="C391" s="76">
        <v>0.19600000000000001</v>
      </c>
      <c r="D391" s="76">
        <v>0.4</v>
      </c>
      <c r="E391" s="76">
        <v>0.4</v>
      </c>
      <c r="F391" s="76">
        <v>0.4</v>
      </c>
      <c r="G391" s="76">
        <v>0.4</v>
      </c>
      <c r="H391" s="76">
        <v>0.4</v>
      </c>
      <c r="I391" s="76">
        <v>1.9970000000000001</v>
      </c>
      <c r="J391" s="76">
        <v>3.0649999999999999</v>
      </c>
      <c r="K391" s="76">
        <v>3.3889999999999998</v>
      </c>
      <c r="L391" s="76">
        <v>4.0750000000000002</v>
      </c>
      <c r="M391" s="76">
        <v>4.7889999999999997</v>
      </c>
      <c r="N391" s="76">
        <v>5.3410000000000002</v>
      </c>
      <c r="O391" s="76" t="s">
        <v>172</v>
      </c>
      <c r="P391" s="76" t="s">
        <v>172</v>
      </c>
      <c r="Q391" s="76" t="s">
        <v>172</v>
      </c>
      <c r="R391" s="76" t="s">
        <v>172</v>
      </c>
      <c r="S391" s="76" t="s">
        <v>172</v>
      </c>
      <c r="T391" s="76" t="s">
        <v>172</v>
      </c>
      <c r="U391" s="76" t="s">
        <v>172</v>
      </c>
      <c r="V391" s="76" t="s">
        <v>172</v>
      </c>
    </row>
    <row r="392" spans="1:22">
      <c r="A392" s="326" t="s">
        <v>4</v>
      </c>
      <c r="B392" s="159">
        <v>1049</v>
      </c>
      <c r="C392" s="76">
        <v>1.115</v>
      </c>
      <c r="D392" s="76">
        <v>1.544</v>
      </c>
      <c r="E392" s="76">
        <v>1.655</v>
      </c>
      <c r="F392" s="76">
        <v>1.9119999999999999</v>
      </c>
      <c r="G392" s="76">
        <v>2.0499999999999998</v>
      </c>
      <c r="H392" s="76">
        <v>2.0499999999999998</v>
      </c>
      <c r="I392" s="76">
        <v>2.5369999999999999</v>
      </c>
      <c r="J392" s="76">
        <v>4.6840000000000002</v>
      </c>
      <c r="K392" s="76">
        <v>4.6840000000000002</v>
      </c>
      <c r="L392" s="76">
        <v>4.891</v>
      </c>
      <c r="M392" s="76">
        <v>5.5469999999999997</v>
      </c>
      <c r="N392" s="76">
        <v>5.5469999999999997</v>
      </c>
      <c r="O392" s="76" t="s">
        <v>172</v>
      </c>
      <c r="P392" s="76" t="s">
        <v>172</v>
      </c>
      <c r="Q392" s="76" t="s">
        <v>172</v>
      </c>
      <c r="R392" s="76" t="s">
        <v>172</v>
      </c>
      <c r="S392" s="76" t="s">
        <v>172</v>
      </c>
      <c r="T392" s="76" t="s">
        <v>172</v>
      </c>
      <c r="U392" s="76" t="s">
        <v>172</v>
      </c>
      <c r="V392" s="76" t="s">
        <v>172</v>
      </c>
    </row>
    <row r="393" spans="1:22">
      <c r="A393" s="326" t="s">
        <v>5</v>
      </c>
      <c r="B393" s="159">
        <v>489</v>
      </c>
      <c r="C393" s="76">
        <v>1.516</v>
      </c>
      <c r="D393" s="76">
        <v>3.6709999999999998</v>
      </c>
      <c r="E393" s="76">
        <v>4.8079999999999998</v>
      </c>
      <c r="F393" s="76">
        <v>6.0880000000000001</v>
      </c>
      <c r="G393" s="76">
        <v>7.1980000000000004</v>
      </c>
      <c r="H393" s="76">
        <v>7.66</v>
      </c>
      <c r="I393" s="76">
        <v>9.7159999999999993</v>
      </c>
      <c r="J393" s="76">
        <v>16.518000000000001</v>
      </c>
      <c r="K393" s="76">
        <v>17.140999999999998</v>
      </c>
      <c r="L393" s="76">
        <v>17.140999999999998</v>
      </c>
      <c r="M393" s="76">
        <v>18.620999999999999</v>
      </c>
      <c r="N393" s="76">
        <v>18.620999999999999</v>
      </c>
      <c r="O393" s="76" t="s">
        <v>172</v>
      </c>
      <c r="P393" s="76" t="s">
        <v>172</v>
      </c>
      <c r="Q393" s="76" t="s">
        <v>172</v>
      </c>
      <c r="R393" s="76" t="s">
        <v>172</v>
      </c>
      <c r="S393" s="76" t="s">
        <v>172</v>
      </c>
      <c r="T393" s="76" t="s">
        <v>172</v>
      </c>
      <c r="U393" s="76" t="s">
        <v>172</v>
      </c>
      <c r="V393" s="76" t="s">
        <v>172</v>
      </c>
    </row>
    <row r="394" spans="1:22">
      <c r="A394" s="326" t="s">
        <v>6</v>
      </c>
      <c r="B394" s="159">
        <v>804</v>
      </c>
      <c r="C394" s="76">
        <v>4.6680000000000001</v>
      </c>
      <c r="D394" s="76">
        <v>10.08</v>
      </c>
      <c r="E394" s="76">
        <v>12.762</v>
      </c>
      <c r="F394" s="76">
        <v>15.385999999999999</v>
      </c>
      <c r="G394" s="76">
        <v>18.631</v>
      </c>
      <c r="H394" s="76">
        <v>20.175999999999998</v>
      </c>
      <c r="I394" s="76">
        <v>25.579000000000001</v>
      </c>
      <c r="J394" s="76">
        <v>36.485999999999997</v>
      </c>
      <c r="K394" s="76">
        <v>37.850999999999999</v>
      </c>
      <c r="L394" s="76">
        <v>38.878</v>
      </c>
      <c r="M394" s="76">
        <v>38.878</v>
      </c>
      <c r="N394" s="76">
        <v>39.466000000000001</v>
      </c>
      <c r="O394" s="76" t="s">
        <v>172</v>
      </c>
      <c r="P394" s="76" t="s">
        <v>172</v>
      </c>
      <c r="Q394" s="76" t="s">
        <v>172</v>
      </c>
      <c r="R394" s="76" t="s">
        <v>172</v>
      </c>
      <c r="S394" s="76" t="s">
        <v>172</v>
      </c>
      <c r="T394" s="76" t="s">
        <v>172</v>
      </c>
      <c r="U394" s="76" t="s">
        <v>172</v>
      </c>
      <c r="V394" s="76" t="s">
        <v>172</v>
      </c>
    </row>
    <row r="395" spans="1:22">
      <c r="A395" s="326" t="s">
        <v>71</v>
      </c>
      <c r="B395" s="159">
        <v>305</v>
      </c>
      <c r="C395" s="76">
        <v>29.503</v>
      </c>
      <c r="D395" s="76">
        <v>43.753999999999998</v>
      </c>
      <c r="E395" s="76">
        <v>52.981999999999999</v>
      </c>
      <c r="F395" s="76">
        <v>55.255000000000003</v>
      </c>
      <c r="G395" s="76">
        <v>59.484000000000002</v>
      </c>
      <c r="H395" s="76">
        <v>62.298999999999999</v>
      </c>
      <c r="I395" s="76">
        <v>64.183999999999997</v>
      </c>
      <c r="J395" s="76">
        <v>70.402000000000001</v>
      </c>
      <c r="K395" s="76">
        <v>70.402000000000001</v>
      </c>
      <c r="L395" s="76">
        <v>76.978999999999999</v>
      </c>
      <c r="M395" s="76">
        <v>76.978999999999999</v>
      </c>
      <c r="N395" s="76">
        <v>76.978999999999999</v>
      </c>
      <c r="O395" s="76" t="s">
        <v>172</v>
      </c>
      <c r="P395" s="76" t="s">
        <v>172</v>
      </c>
      <c r="Q395" s="76" t="s">
        <v>172</v>
      </c>
      <c r="R395" s="76" t="s">
        <v>172</v>
      </c>
      <c r="S395" s="76" t="s">
        <v>172</v>
      </c>
      <c r="T395" s="76" t="s">
        <v>172</v>
      </c>
      <c r="U395" s="76" t="s">
        <v>172</v>
      </c>
      <c r="V395" s="76" t="s">
        <v>172</v>
      </c>
    </row>
    <row r="396" spans="1:22">
      <c r="A396" s="326" t="s">
        <v>8</v>
      </c>
      <c r="B396" s="159">
        <v>2790</v>
      </c>
      <c r="C396" s="76">
        <v>0.49199999999999999</v>
      </c>
      <c r="D396" s="76">
        <v>0.73099999999999998</v>
      </c>
      <c r="E396" s="76">
        <v>0.77200000000000002</v>
      </c>
      <c r="F396" s="76">
        <v>0.86599999999999999</v>
      </c>
      <c r="G396" s="76">
        <v>0.91600000000000004</v>
      </c>
      <c r="H396" s="76">
        <v>0.91600000000000004</v>
      </c>
      <c r="I396" s="76">
        <v>1.736</v>
      </c>
      <c r="J396" s="76">
        <v>2.9239999999999999</v>
      </c>
      <c r="K396" s="76">
        <v>3.194</v>
      </c>
      <c r="L396" s="76">
        <v>3.62</v>
      </c>
      <c r="M396" s="76">
        <v>4.1440000000000001</v>
      </c>
      <c r="N396" s="76">
        <v>4.452</v>
      </c>
      <c r="O396" s="76" t="s">
        <v>172</v>
      </c>
      <c r="P396" s="76" t="s">
        <v>172</v>
      </c>
      <c r="Q396" s="76" t="s">
        <v>172</v>
      </c>
      <c r="R396" s="76" t="s">
        <v>172</v>
      </c>
      <c r="S396" s="76" t="s">
        <v>172</v>
      </c>
      <c r="T396" s="76" t="s">
        <v>172</v>
      </c>
      <c r="U396" s="76" t="s">
        <v>172</v>
      </c>
      <c r="V396" s="76" t="s">
        <v>172</v>
      </c>
    </row>
    <row r="397" spans="1:22">
      <c r="A397" s="326" t="s">
        <v>9</v>
      </c>
      <c r="B397" s="159">
        <v>1598</v>
      </c>
      <c r="C397" s="76">
        <v>8.3729999999999993</v>
      </c>
      <c r="D397" s="76">
        <v>14.231</v>
      </c>
      <c r="E397" s="76">
        <v>17.41</v>
      </c>
      <c r="F397" s="76">
        <v>19.481000000000002</v>
      </c>
      <c r="G397" s="76">
        <v>21.991</v>
      </c>
      <c r="H397" s="76">
        <v>23.213999999999999</v>
      </c>
      <c r="I397" s="76">
        <v>26.795000000000002</v>
      </c>
      <c r="J397" s="76">
        <v>35.325000000000003</v>
      </c>
      <c r="K397" s="76">
        <v>36.241</v>
      </c>
      <c r="L397" s="76">
        <v>37.267000000000003</v>
      </c>
      <c r="M397" s="76">
        <v>37.817999999999998</v>
      </c>
      <c r="N397" s="76">
        <v>38.100999999999999</v>
      </c>
      <c r="O397" s="76" t="s">
        <v>172</v>
      </c>
      <c r="P397" s="76" t="s">
        <v>172</v>
      </c>
      <c r="Q397" s="76" t="s">
        <v>172</v>
      </c>
      <c r="R397" s="76" t="s">
        <v>172</v>
      </c>
      <c r="S397" s="76" t="s">
        <v>172</v>
      </c>
      <c r="T397" s="76" t="s">
        <v>172</v>
      </c>
      <c r="U397" s="76" t="s">
        <v>172</v>
      </c>
      <c r="V397" s="76" t="s">
        <v>172</v>
      </c>
    </row>
    <row r="398" spans="1:22">
      <c r="A398" s="326" t="s">
        <v>79</v>
      </c>
      <c r="B398" s="159">
        <v>4388</v>
      </c>
      <c r="C398" s="76">
        <v>3.319</v>
      </c>
      <c r="D398" s="76">
        <v>5.4850000000000003</v>
      </c>
      <c r="E398" s="76">
        <v>6.5270000000000001</v>
      </c>
      <c r="F398" s="76">
        <v>7.2009999999999996</v>
      </c>
      <c r="G398" s="76">
        <v>7.9130000000000003</v>
      </c>
      <c r="H398" s="76">
        <v>8.2230000000000008</v>
      </c>
      <c r="I398" s="76">
        <v>9.6609999999999996</v>
      </c>
      <c r="J398" s="76">
        <v>12.494999999999999</v>
      </c>
      <c r="K398" s="76">
        <v>12.901</v>
      </c>
      <c r="L398" s="76">
        <v>13.442</v>
      </c>
      <c r="M398" s="76">
        <v>13.956</v>
      </c>
      <c r="N398" s="76">
        <v>14.25</v>
      </c>
      <c r="O398" s="76" t="s">
        <v>172</v>
      </c>
      <c r="P398" s="76" t="s">
        <v>172</v>
      </c>
      <c r="Q398" s="76" t="s">
        <v>172</v>
      </c>
      <c r="R398" s="76" t="s">
        <v>172</v>
      </c>
      <c r="S398" s="76" t="s">
        <v>172</v>
      </c>
      <c r="T398" s="76" t="s">
        <v>172</v>
      </c>
      <c r="U398" s="76" t="s">
        <v>172</v>
      </c>
      <c r="V398" s="76" t="s">
        <v>172</v>
      </c>
    </row>
    <row r="399" spans="1:22">
      <c r="A399" s="326">
        <v>37622</v>
      </c>
      <c r="B399" s="327"/>
    </row>
    <row r="400" spans="1:22">
      <c r="A400" s="328" t="s">
        <v>0</v>
      </c>
      <c r="B400" s="329" t="s">
        <v>78</v>
      </c>
      <c r="C400" s="329">
        <v>1</v>
      </c>
      <c r="D400" s="329">
        <v>2</v>
      </c>
      <c r="E400" s="329">
        <v>3</v>
      </c>
      <c r="F400" s="329">
        <v>4</v>
      </c>
      <c r="G400" s="329">
        <v>5</v>
      </c>
      <c r="H400" s="329">
        <v>6</v>
      </c>
      <c r="I400" s="329">
        <v>7</v>
      </c>
      <c r="J400" s="329">
        <v>8</v>
      </c>
      <c r="K400" s="329">
        <v>9</v>
      </c>
      <c r="L400" s="329">
        <v>10</v>
      </c>
      <c r="M400" s="329">
        <v>11</v>
      </c>
    </row>
    <row r="401" spans="1:22">
      <c r="A401" s="326" t="s">
        <v>1</v>
      </c>
      <c r="B401" s="159">
        <v>111</v>
      </c>
      <c r="C401" s="76">
        <v>0</v>
      </c>
      <c r="D401" s="76">
        <v>0</v>
      </c>
      <c r="E401" s="76">
        <v>0</v>
      </c>
      <c r="F401" s="76">
        <v>0</v>
      </c>
      <c r="G401" s="76">
        <v>0</v>
      </c>
      <c r="H401" s="76">
        <v>0</v>
      </c>
      <c r="I401" s="76">
        <v>0</v>
      </c>
      <c r="J401" s="76">
        <v>0</v>
      </c>
      <c r="K401" s="76">
        <v>0</v>
      </c>
      <c r="L401" s="76">
        <v>0</v>
      </c>
      <c r="M401" s="76">
        <v>0</v>
      </c>
      <c r="N401" s="76" t="s">
        <v>172</v>
      </c>
      <c r="O401" s="76" t="s">
        <v>172</v>
      </c>
      <c r="P401" s="76" t="s">
        <v>172</v>
      </c>
      <c r="Q401" s="76" t="s">
        <v>172</v>
      </c>
      <c r="R401" s="76" t="s">
        <v>172</v>
      </c>
      <c r="S401" s="76" t="s">
        <v>172</v>
      </c>
      <c r="T401" s="76" t="s">
        <v>172</v>
      </c>
      <c r="U401" s="76" t="s">
        <v>172</v>
      </c>
      <c r="V401" s="76" t="s">
        <v>172</v>
      </c>
    </row>
    <row r="402" spans="1:22">
      <c r="A402" s="326" t="s">
        <v>2</v>
      </c>
      <c r="B402" s="159">
        <v>511</v>
      </c>
      <c r="C402" s="76">
        <v>0</v>
      </c>
      <c r="D402" s="76">
        <v>0</v>
      </c>
      <c r="E402" s="76">
        <v>0</v>
      </c>
      <c r="F402" s="76">
        <v>0</v>
      </c>
      <c r="G402" s="76">
        <v>0</v>
      </c>
      <c r="H402" s="76">
        <v>0</v>
      </c>
      <c r="I402" s="76">
        <v>0</v>
      </c>
      <c r="J402" s="76">
        <v>0.74099999999999999</v>
      </c>
      <c r="K402" s="76">
        <v>1.111</v>
      </c>
      <c r="L402" s="76">
        <v>1.111</v>
      </c>
      <c r="M402" s="76">
        <v>1.528</v>
      </c>
      <c r="N402" s="76" t="s">
        <v>172</v>
      </c>
      <c r="O402" s="76" t="s">
        <v>172</v>
      </c>
      <c r="P402" s="76" t="s">
        <v>172</v>
      </c>
      <c r="Q402" s="76" t="s">
        <v>172</v>
      </c>
      <c r="R402" s="76" t="s">
        <v>172</v>
      </c>
      <c r="S402" s="76" t="s">
        <v>172</v>
      </c>
      <c r="T402" s="76" t="s">
        <v>172</v>
      </c>
      <c r="U402" s="76" t="s">
        <v>172</v>
      </c>
      <c r="V402" s="76" t="s">
        <v>172</v>
      </c>
    </row>
    <row r="403" spans="1:22">
      <c r="A403" s="326" t="s">
        <v>3</v>
      </c>
      <c r="B403" s="159">
        <v>1035</v>
      </c>
      <c r="C403" s="76">
        <v>0</v>
      </c>
      <c r="D403" s="76">
        <v>0</v>
      </c>
      <c r="E403" s="76">
        <v>0</v>
      </c>
      <c r="F403" s="76">
        <v>0</v>
      </c>
      <c r="G403" s="76">
        <v>0</v>
      </c>
      <c r="H403" s="76">
        <v>1.569</v>
      </c>
      <c r="I403" s="76">
        <v>2.476</v>
      </c>
      <c r="J403" s="76">
        <v>2.798</v>
      </c>
      <c r="K403" s="76">
        <v>3.6469999999999998</v>
      </c>
      <c r="L403" s="76">
        <v>4.1870000000000003</v>
      </c>
      <c r="M403" s="76">
        <v>4.7430000000000003</v>
      </c>
      <c r="N403" s="76" t="s">
        <v>172</v>
      </c>
      <c r="O403" s="76" t="s">
        <v>172</v>
      </c>
      <c r="P403" s="76" t="s">
        <v>172</v>
      </c>
      <c r="Q403" s="76" t="s">
        <v>172</v>
      </c>
      <c r="R403" s="76" t="s">
        <v>172</v>
      </c>
      <c r="S403" s="76" t="s">
        <v>172</v>
      </c>
      <c r="T403" s="76" t="s">
        <v>172</v>
      </c>
      <c r="U403" s="76" t="s">
        <v>172</v>
      </c>
      <c r="V403" s="76" t="s">
        <v>172</v>
      </c>
    </row>
    <row r="404" spans="1:22">
      <c r="A404" s="326" t="s">
        <v>4</v>
      </c>
      <c r="B404" s="159">
        <v>1007</v>
      </c>
      <c r="C404" s="76">
        <v>0</v>
      </c>
      <c r="D404" s="76">
        <v>0</v>
      </c>
      <c r="E404" s="76">
        <v>0.24199999999999999</v>
      </c>
      <c r="F404" s="76">
        <v>0.371</v>
      </c>
      <c r="G404" s="76">
        <v>0.371</v>
      </c>
      <c r="H404" s="76">
        <v>0.52100000000000002</v>
      </c>
      <c r="I404" s="76">
        <v>1.859</v>
      </c>
      <c r="J404" s="76">
        <v>1.859</v>
      </c>
      <c r="K404" s="76">
        <v>1.859</v>
      </c>
      <c r="L404" s="76">
        <v>2.456</v>
      </c>
      <c r="M404" s="76">
        <v>2.456</v>
      </c>
      <c r="N404" s="76" t="s">
        <v>172</v>
      </c>
      <c r="O404" s="76" t="s">
        <v>172</v>
      </c>
      <c r="P404" s="76" t="s">
        <v>172</v>
      </c>
      <c r="Q404" s="76" t="s">
        <v>172</v>
      </c>
      <c r="R404" s="76" t="s">
        <v>172</v>
      </c>
      <c r="S404" s="76" t="s">
        <v>172</v>
      </c>
      <c r="T404" s="76" t="s">
        <v>172</v>
      </c>
      <c r="U404" s="76" t="s">
        <v>172</v>
      </c>
      <c r="V404" s="76" t="s">
        <v>172</v>
      </c>
    </row>
    <row r="405" spans="1:22">
      <c r="A405" s="326" t="s">
        <v>5</v>
      </c>
      <c r="B405" s="159">
        <v>492</v>
      </c>
      <c r="C405" s="76">
        <v>1.052</v>
      </c>
      <c r="D405" s="76">
        <v>1.5469999999999999</v>
      </c>
      <c r="E405" s="76">
        <v>2.363</v>
      </c>
      <c r="F405" s="76">
        <v>2.9889999999999999</v>
      </c>
      <c r="G405" s="76">
        <v>3.3769999999999998</v>
      </c>
      <c r="H405" s="76">
        <v>6.24</v>
      </c>
      <c r="I405" s="76">
        <v>12.132999999999999</v>
      </c>
      <c r="J405" s="76">
        <v>13.125999999999999</v>
      </c>
      <c r="K405" s="76">
        <v>13.125999999999999</v>
      </c>
      <c r="L405" s="76">
        <v>14.879</v>
      </c>
      <c r="M405" s="76">
        <v>14.879</v>
      </c>
      <c r="N405" s="76" t="s">
        <v>172</v>
      </c>
      <c r="O405" s="76" t="s">
        <v>172</v>
      </c>
      <c r="P405" s="76" t="s">
        <v>172</v>
      </c>
      <c r="Q405" s="76" t="s">
        <v>172</v>
      </c>
      <c r="R405" s="76" t="s">
        <v>172</v>
      </c>
      <c r="S405" s="76" t="s">
        <v>172</v>
      </c>
      <c r="T405" s="76" t="s">
        <v>172</v>
      </c>
      <c r="U405" s="76" t="s">
        <v>172</v>
      </c>
      <c r="V405" s="76" t="s">
        <v>172</v>
      </c>
    </row>
    <row r="406" spans="1:22">
      <c r="A406" s="326" t="s">
        <v>6</v>
      </c>
      <c r="B406" s="159">
        <v>790</v>
      </c>
      <c r="C406" s="76">
        <v>2.19</v>
      </c>
      <c r="D406" s="76">
        <v>3.9140000000000001</v>
      </c>
      <c r="E406" s="76">
        <v>6.3819999999999997</v>
      </c>
      <c r="F406" s="76">
        <v>9.1010000000000009</v>
      </c>
      <c r="G406" s="76">
        <v>10.39</v>
      </c>
      <c r="H406" s="76">
        <v>14.988</v>
      </c>
      <c r="I406" s="76">
        <v>26.776</v>
      </c>
      <c r="J406" s="76">
        <v>28.306000000000001</v>
      </c>
      <c r="K406" s="76">
        <v>29.18</v>
      </c>
      <c r="L406" s="76">
        <v>30.622</v>
      </c>
      <c r="M406" s="76">
        <v>31.617000000000001</v>
      </c>
      <c r="N406" s="76" t="s">
        <v>172</v>
      </c>
      <c r="O406" s="76" t="s">
        <v>172</v>
      </c>
      <c r="P406" s="76" t="s">
        <v>172</v>
      </c>
      <c r="Q406" s="76" t="s">
        <v>172</v>
      </c>
      <c r="R406" s="76" t="s">
        <v>172</v>
      </c>
      <c r="S406" s="76" t="s">
        <v>172</v>
      </c>
      <c r="T406" s="76" t="s">
        <v>172</v>
      </c>
      <c r="U406" s="76" t="s">
        <v>172</v>
      </c>
      <c r="V406" s="76" t="s">
        <v>172</v>
      </c>
    </row>
    <row r="407" spans="1:22">
      <c r="A407" s="326" t="s">
        <v>71</v>
      </c>
      <c r="B407" s="159">
        <v>297</v>
      </c>
      <c r="C407" s="76">
        <v>22.925000000000001</v>
      </c>
      <c r="D407" s="76">
        <v>36.259</v>
      </c>
      <c r="E407" s="76">
        <v>38.665999999999997</v>
      </c>
      <c r="F407" s="76">
        <v>43.707000000000001</v>
      </c>
      <c r="G407" s="76">
        <v>45.863999999999997</v>
      </c>
      <c r="H407" s="76">
        <v>48.713999999999999</v>
      </c>
      <c r="I407" s="76">
        <v>56.134999999999998</v>
      </c>
      <c r="J407" s="76">
        <v>56.134999999999998</v>
      </c>
      <c r="K407" s="76">
        <v>62.715000000000003</v>
      </c>
      <c r="L407" s="76">
        <v>62.715000000000003</v>
      </c>
      <c r="M407" s="76">
        <v>62.715000000000003</v>
      </c>
      <c r="N407" s="76" t="s">
        <v>172</v>
      </c>
      <c r="O407" s="76" t="s">
        <v>172</v>
      </c>
      <c r="P407" s="76" t="s">
        <v>172</v>
      </c>
      <c r="Q407" s="76" t="s">
        <v>172</v>
      </c>
      <c r="R407" s="76" t="s">
        <v>172</v>
      </c>
      <c r="S407" s="76" t="s">
        <v>172</v>
      </c>
      <c r="T407" s="76" t="s">
        <v>172</v>
      </c>
      <c r="U407" s="76" t="s">
        <v>172</v>
      </c>
      <c r="V407" s="76" t="s">
        <v>172</v>
      </c>
    </row>
    <row r="408" spans="1:22">
      <c r="A408" s="326" t="s">
        <v>8</v>
      </c>
      <c r="B408" s="159">
        <v>2664</v>
      </c>
      <c r="C408" s="76">
        <v>0</v>
      </c>
      <c r="D408" s="76">
        <v>0</v>
      </c>
      <c r="E408" s="76">
        <v>9.0999999999999998E-2</v>
      </c>
      <c r="F408" s="76">
        <v>0.13900000000000001</v>
      </c>
      <c r="G408" s="76">
        <v>0.13900000000000001</v>
      </c>
      <c r="H408" s="76">
        <v>0.82699999999999996</v>
      </c>
      <c r="I408" s="76">
        <v>1.6819999999999999</v>
      </c>
      <c r="J408" s="76">
        <v>1.9450000000000001</v>
      </c>
      <c r="K408" s="76">
        <v>2.3570000000000002</v>
      </c>
      <c r="L408" s="76">
        <v>2.7949999999999999</v>
      </c>
      <c r="M408" s="76">
        <v>3.0979999999999999</v>
      </c>
      <c r="N408" s="76" t="s">
        <v>172</v>
      </c>
      <c r="O408" s="76" t="s">
        <v>172</v>
      </c>
      <c r="P408" s="76" t="s">
        <v>172</v>
      </c>
      <c r="Q408" s="76" t="s">
        <v>172</v>
      </c>
      <c r="R408" s="76" t="s">
        <v>172</v>
      </c>
      <c r="S408" s="76" t="s">
        <v>172</v>
      </c>
      <c r="T408" s="76" t="s">
        <v>172</v>
      </c>
      <c r="U408" s="76" t="s">
        <v>172</v>
      </c>
      <c r="V408" s="76" t="s">
        <v>172</v>
      </c>
    </row>
    <row r="409" spans="1:22">
      <c r="A409" s="326" t="s">
        <v>9</v>
      </c>
      <c r="B409" s="159">
        <v>1579</v>
      </c>
      <c r="C409" s="76">
        <v>5.5279999999999996</v>
      </c>
      <c r="D409" s="76">
        <v>8.7110000000000003</v>
      </c>
      <c r="E409" s="76">
        <v>10.593999999999999</v>
      </c>
      <c r="F409" s="76">
        <v>12.851000000000001</v>
      </c>
      <c r="G409" s="76">
        <v>13.893000000000001</v>
      </c>
      <c r="H409" s="76">
        <v>17.521000000000001</v>
      </c>
      <c r="I409" s="76">
        <v>26.303000000000001</v>
      </c>
      <c r="J409" s="76">
        <v>27.434000000000001</v>
      </c>
      <c r="K409" s="76">
        <v>28.497</v>
      </c>
      <c r="L409" s="76">
        <v>29.875</v>
      </c>
      <c r="M409" s="76">
        <v>30.344000000000001</v>
      </c>
      <c r="N409" s="76" t="s">
        <v>172</v>
      </c>
      <c r="O409" s="76" t="s">
        <v>172</v>
      </c>
      <c r="P409" s="76" t="s">
        <v>172</v>
      </c>
      <c r="Q409" s="76" t="s">
        <v>172</v>
      </c>
      <c r="R409" s="76" t="s">
        <v>172</v>
      </c>
      <c r="S409" s="76" t="s">
        <v>172</v>
      </c>
      <c r="T409" s="76" t="s">
        <v>172</v>
      </c>
      <c r="U409" s="76" t="s">
        <v>172</v>
      </c>
      <c r="V409" s="76" t="s">
        <v>172</v>
      </c>
    </row>
    <row r="410" spans="1:22">
      <c r="A410" s="326" t="s">
        <v>79</v>
      </c>
      <c r="B410" s="159">
        <v>4243</v>
      </c>
      <c r="C410" s="76">
        <v>2.0179999999999998</v>
      </c>
      <c r="D410" s="76">
        <v>3.1110000000000002</v>
      </c>
      <c r="E410" s="76">
        <v>3.7759999999999998</v>
      </c>
      <c r="F410" s="76">
        <v>4.4809999999999999</v>
      </c>
      <c r="G410" s="76">
        <v>4.774</v>
      </c>
      <c r="H410" s="76">
        <v>6.2220000000000004</v>
      </c>
      <c r="I410" s="76">
        <v>9.1280000000000001</v>
      </c>
      <c r="J410" s="76">
        <v>9.609</v>
      </c>
      <c r="K410" s="76">
        <v>10.173</v>
      </c>
      <c r="L410" s="76">
        <v>10.829000000000001</v>
      </c>
      <c r="M410" s="76">
        <v>11.167</v>
      </c>
      <c r="N410" s="76" t="s">
        <v>172</v>
      </c>
      <c r="O410" s="76" t="s">
        <v>172</v>
      </c>
      <c r="P410" s="76" t="s">
        <v>172</v>
      </c>
      <c r="Q410" s="76" t="s">
        <v>172</v>
      </c>
      <c r="R410" s="76" t="s">
        <v>172</v>
      </c>
      <c r="S410" s="76" t="s">
        <v>172</v>
      </c>
      <c r="T410" s="76" t="s">
        <v>172</v>
      </c>
      <c r="U410" s="76" t="s">
        <v>172</v>
      </c>
      <c r="V410" s="76" t="s">
        <v>172</v>
      </c>
    </row>
    <row r="411" spans="1:22">
      <c r="A411" s="326">
        <v>37987</v>
      </c>
      <c r="B411" s="327"/>
    </row>
    <row r="412" spans="1:22">
      <c r="A412" s="328" t="s">
        <v>0</v>
      </c>
      <c r="B412" s="329" t="s">
        <v>78</v>
      </c>
      <c r="C412" s="329">
        <v>1</v>
      </c>
      <c r="D412" s="329">
        <v>2</v>
      </c>
      <c r="E412" s="329">
        <v>3</v>
      </c>
      <c r="F412" s="329">
        <v>4</v>
      </c>
      <c r="G412" s="329">
        <v>5</v>
      </c>
      <c r="H412" s="329">
        <v>6</v>
      </c>
      <c r="I412" s="329">
        <v>7</v>
      </c>
      <c r="J412" s="329">
        <v>8</v>
      </c>
      <c r="K412" s="329">
        <v>9</v>
      </c>
      <c r="L412" s="329">
        <v>10</v>
      </c>
    </row>
    <row r="413" spans="1:22">
      <c r="A413" s="326" t="s">
        <v>1</v>
      </c>
      <c r="B413" s="159">
        <v>119</v>
      </c>
      <c r="C413" s="76">
        <v>0</v>
      </c>
      <c r="D413" s="76">
        <v>0</v>
      </c>
      <c r="E413" s="76">
        <v>0</v>
      </c>
      <c r="F413" s="76">
        <v>0</v>
      </c>
      <c r="G413" s="76">
        <v>0</v>
      </c>
      <c r="H413" s="76">
        <v>0</v>
      </c>
      <c r="I413" s="76">
        <v>0</v>
      </c>
      <c r="J413" s="76">
        <v>0</v>
      </c>
      <c r="K413" s="76">
        <v>0</v>
      </c>
      <c r="L413" s="76">
        <v>0</v>
      </c>
      <c r="M413" s="76" t="s">
        <v>172</v>
      </c>
      <c r="N413" s="76" t="s">
        <v>172</v>
      </c>
      <c r="O413" s="76" t="s">
        <v>172</v>
      </c>
      <c r="P413" s="76" t="s">
        <v>172</v>
      </c>
      <c r="Q413" s="76" t="s">
        <v>172</v>
      </c>
      <c r="R413" s="76" t="s">
        <v>172</v>
      </c>
      <c r="S413" s="76" t="s">
        <v>172</v>
      </c>
      <c r="T413" s="76" t="s">
        <v>172</v>
      </c>
      <c r="U413" s="76" t="s">
        <v>172</v>
      </c>
      <c r="V413" s="76" t="s">
        <v>172</v>
      </c>
    </row>
    <row r="414" spans="1:22">
      <c r="A414" s="326" t="s">
        <v>2</v>
      </c>
      <c r="B414" s="159">
        <v>483</v>
      </c>
      <c r="C414" s="76">
        <v>0</v>
      </c>
      <c r="D414" s="76">
        <v>0</v>
      </c>
      <c r="E414" s="76">
        <v>0</v>
      </c>
      <c r="F414" s="76">
        <v>0</v>
      </c>
      <c r="G414" s="76">
        <v>0.29899999999999999</v>
      </c>
      <c r="H414" s="76">
        <v>0.29899999999999999</v>
      </c>
      <c r="I414" s="76">
        <v>1.034</v>
      </c>
      <c r="J414" s="76">
        <v>1.4019999999999999</v>
      </c>
      <c r="K414" s="76">
        <v>1.4019999999999999</v>
      </c>
      <c r="L414" s="76">
        <v>1.8220000000000001</v>
      </c>
      <c r="M414" s="76" t="s">
        <v>172</v>
      </c>
      <c r="N414" s="76" t="s">
        <v>172</v>
      </c>
      <c r="O414" s="76" t="s">
        <v>172</v>
      </c>
      <c r="P414" s="76" t="s">
        <v>172</v>
      </c>
      <c r="Q414" s="76" t="s">
        <v>172</v>
      </c>
      <c r="R414" s="76" t="s">
        <v>172</v>
      </c>
      <c r="S414" s="76" t="s">
        <v>172</v>
      </c>
      <c r="T414" s="76" t="s">
        <v>172</v>
      </c>
      <c r="U414" s="76" t="s">
        <v>172</v>
      </c>
      <c r="V414" s="76" t="s">
        <v>172</v>
      </c>
    </row>
    <row r="415" spans="1:22">
      <c r="A415" s="326" t="s">
        <v>3</v>
      </c>
      <c r="B415" s="159">
        <v>1010</v>
      </c>
      <c r="C415" s="76">
        <v>0</v>
      </c>
      <c r="D415" s="76">
        <v>0</v>
      </c>
      <c r="E415" s="76">
        <v>0</v>
      </c>
      <c r="F415" s="76">
        <v>0</v>
      </c>
      <c r="G415" s="76">
        <v>1.5089999999999999</v>
      </c>
      <c r="H415" s="76">
        <v>1.9359999999999999</v>
      </c>
      <c r="I415" s="76">
        <v>2.2440000000000002</v>
      </c>
      <c r="J415" s="76">
        <v>3.06</v>
      </c>
      <c r="K415" s="76">
        <v>3.5760000000000001</v>
      </c>
      <c r="L415" s="76">
        <v>4.2960000000000003</v>
      </c>
      <c r="M415" s="76" t="s">
        <v>172</v>
      </c>
      <c r="N415" s="76" t="s">
        <v>172</v>
      </c>
      <c r="O415" s="76" t="s">
        <v>172</v>
      </c>
      <c r="P415" s="76" t="s">
        <v>172</v>
      </c>
      <c r="Q415" s="76" t="s">
        <v>172</v>
      </c>
      <c r="R415" s="76" t="s">
        <v>172</v>
      </c>
      <c r="S415" s="76" t="s">
        <v>172</v>
      </c>
      <c r="T415" s="76" t="s">
        <v>172</v>
      </c>
      <c r="U415" s="76" t="s">
        <v>172</v>
      </c>
      <c r="V415" s="76" t="s">
        <v>172</v>
      </c>
    </row>
    <row r="416" spans="1:22">
      <c r="A416" s="326" t="s">
        <v>4</v>
      </c>
      <c r="B416" s="159">
        <v>1050</v>
      </c>
      <c r="C416" s="76">
        <v>0</v>
      </c>
      <c r="D416" s="76">
        <v>0.216</v>
      </c>
      <c r="E416" s="76">
        <v>0.216</v>
      </c>
      <c r="F416" s="76">
        <v>0.216</v>
      </c>
      <c r="G416" s="76">
        <v>0.34799999999999998</v>
      </c>
      <c r="H416" s="76">
        <v>2.1419999999999999</v>
      </c>
      <c r="I416" s="76">
        <v>2.1419999999999999</v>
      </c>
      <c r="J416" s="76">
        <v>2.1419999999999999</v>
      </c>
      <c r="K416" s="76">
        <v>2.843</v>
      </c>
      <c r="L416" s="76">
        <v>2.843</v>
      </c>
      <c r="M416" s="76" t="s">
        <v>172</v>
      </c>
      <c r="N416" s="76" t="s">
        <v>172</v>
      </c>
      <c r="O416" s="76" t="s">
        <v>172</v>
      </c>
      <c r="P416" s="76" t="s">
        <v>172</v>
      </c>
      <c r="Q416" s="76" t="s">
        <v>172</v>
      </c>
      <c r="R416" s="76" t="s">
        <v>172</v>
      </c>
      <c r="S416" s="76" t="s">
        <v>172</v>
      </c>
      <c r="T416" s="76" t="s">
        <v>172</v>
      </c>
      <c r="U416" s="76" t="s">
        <v>172</v>
      </c>
      <c r="V416" s="76" t="s">
        <v>172</v>
      </c>
    </row>
    <row r="417" spans="1:22">
      <c r="A417" s="326" t="s">
        <v>5</v>
      </c>
      <c r="B417" s="159">
        <v>486</v>
      </c>
      <c r="C417" s="76">
        <v>0.45</v>
      </c>
      <c r="D417" s="76">
        <v>0.69</v>
      </c>
      <c r="E417" s="76">
        <v>1.579</v>
      </c>
      <c r="F417" s="76">
        <v>1.9419999999999999</v>
      </c>
      <c r="G417" s="76">
        <v>4.2069999999999999</v>
      </c>
      <c r="H417" s="76">
        <v>10.298999999999999</v>
      </c>
      <c r="I417" s="76">
        <v>10.768000000000001</v>
      </c>
      <c r="J417" s="76">
        <v>10.768000000000001</v>
      </c>
      <c r="K417" s="76">
        <v>11.887</v>
      </c>
      <c r="L417" s="76">
        <v>11.887</v>
      </c>
      <c r="M417" s="76" t="s">
        <v>172</v>
      </c>
      <c r="N417" s="76" t="s">
        <v>172</v>
      </c>
      <c r="O417" s="76" t="s">
        <v>172</v>
      </c>
      <c r="P417" s="76" t="s">
        <v>172</v>
      </c>
      <c r="Q417" s="76" t="s">
        <v>172</v>
      </c>
      <c r="R417" s="76" t="s">
        <v>172</v>
      </c>
      <c r="S417" s="76" t="s">
        <v>172</v>
      </c>
      <c r="T417" s="76" t="s">
        <v>172</v>
      </c>
      <c r="U417" s="76" t="s">
        <v>172</v>
      </c>
      <c r="V417" s="76" t="s">
        <v>172</v>
      </c>
    </row>
    <row r="418" spans="1:22">
      <c r="A418" s="326" t="s">
        <v>6</v>
      </c>
      <c r="B418" s="159">
        <v>879</v>
      </c>
      <c r="C418" s="76">
        <v>0.879</v>
      </c>
      <c r="D418" s="76">
        <v>2.3039999999999998</v>
      </c>
      <c r="E418" s="76">
        <v>4.5090000000000003</v>
      </c>
      <c r="F418" s="76">
        <v>5.4690000000000003</v>
      </c>
      <c r="G418" s="76">
        <v>8.9819999999999993</v>
      </c>
      <c r="H418" s="76">
        <v>20.788</v>
      </c>
      <c r="I418" s="76">
        <v>21.977</v>
      </c>
      <c r="J418" s="76">
        <v>22.637</v>
      </c>
      <c r="K418" s="76">
        <v>24.49</v>
      </c>
      <c r="L418" s="76">
        <v>25.66</v>
      </c>
      <c r="M418" s="76" t="s">
        <v>172</v>
      </c>
      <c r="N418" s="76" t="s">
        <v>172</v>
      </c>
      <c r="O418" s="76" t="s">
        <v>172</v>
      </c>
      <c r="P418" s="76" t="s">
        <v>172</v>
      </c>
      <c r="Q418" s="76" t="s">
        <v>172</v>
      </c>
      <c r="R418" s="76" t="s">
        <v>172</v>
      </c>
      <c r="S418" s="76" t="s">
        <v>172</v>
      </c>
      <c r="T418" s="76" t="s">
        <v>172</v>
      </c>
      <c r="U418" s="76" t="s">
        <v>172</v>
      </c>
      <c r="V418" s="76" t="s">
        <v>172</v>
      </c>
    </row>
    <row r="419" spans="1:22">
      <c r="A419" s="326" t="s">
        <v>71</v>
      </c>
      <c r="B419" s="159">
        <v>257</v>
      </c>
      <c r="C419" s="76">
        <v>12.66</v>
      </c>
      <c r="D419" s="76">
        <v>19.844000000000001</v>
      </c>
      <c r="E419" s="76">
        <v>24.791</v>
      </c>
      <c r="F419" s="76">
        <v>28.338999999999999</v>
      </c>
      <c r="G419" s="76">
        <v>33.808</v>
      </c>
      <c r="H419" s="76">
        <v>47.503</v>
      </c>
      <c r="I419" s="76">
        <v>48.753</v>
      </c>
      <c r="J419" s="76">
        <v>57.195999999999998</v>
      </c>
      <c r="K419" s="76">
        <v>59.057000000000002</v>
      </c>
      <c r="L419" s="76">
        <v>59.057000000000002</v>
      </c>
      <c r="M419" s="76" t="s">
        <v>172</v>
      </c>
      <c r="N419" s="76" t="s">
        <v>172</v>
      </c>
      <c r="O419" s="76" t="s">
        <v>172</v>
      </c>
      <c r="P419" s="76" t="s">
        <v>172</v>
      </c>
      <c r="Q419" s="76" t="s">
        <v>172</v>
      </c>
      <c r="R419" s="76" t="s">
        <v>172</v>
      </c>
      <c r="S419" s="76" t="s">
        <v>172</v>
      </c>
      <c r="T419" s="76" t="s">
        <v>172</v>
      </c>
      <c r="U419" s="76" t="s">
        <v>172</v>
      </c>
      <c r="V419" s="76" t="s">
        <v>172</v>
      </c>
    </row>
    <row r="420" spans="1:22">
      <c r="A420" s="326" t="s">
        <v>8</v>
      </c>
      <c r="B420" s="159">
        <v>2662</v>
      </c>
      <c r="C420" s="76">
        <v>0</v>
      </c>
      <c r="D420" s="76">
        <v>8.5000000000000006E-2</v>
      </c>
      <c r="E420" s="76">
        <v>8.5000000000000006E-2</v>
      </c>
      <c r="F420" s="76">
        <v>8.5000000000000006E-2</v>
      </c>
      <c r="G420" s="76">
        <v>0.77800000000000002</v>
      </c>
      <c r="H420" s="76">
        <v>1.633</v>
      </c>
      <c r="I420" s="76">
        <v>1.879</v>
      </c>
      <c r="J420" s="76">
        <v>2.2629999999999999</v>
      </c>
      <c r="K420" s="76">
        <v>2.7389999999999999</v>
      </c>
      <c r="L420" s="76">
        <v>3.0920000000000001</v>
      </c>
      <c r="M420" s="76" t="s">
        <v>172</v>
      </c>
      <c r="N420" s="76" t="s">
        <v>172</v>
      </c>
      <c r="O420" s="76" t="s">
        <v>172</v>
      </c>
      <c r="P420" s="76" t="s">
        <v>172</v>
      </c>
      <c r="Q420" s="76" t="s">
        <v>172</v>
      </c>
      <c r="R420" s="76" t="s">
        <v>172</v>
      </c>
      <c r="S420" s="76" t="s">
        <v>172</v>
      </c>
      <c r="T420" s="76" t="s">
        <v>172</v>
      </c>
      <c r="U420" s="76" t="s">
        <v>172</v>
      </c>
      <c r="V420" s="76" t="s">
        <v>172</v>
      </c>
    </row>
    <row r="421" spans="1:22">
      <c r="A421" s="326" t="s">
        <v>9</v>
      </c>
      <c r="B421" s="159">
        <v>1622</v>
      </c>
      <c r="C421" s="76">
        <v>2.556</v>
      </c>
      <c r="D421" s="76">
        <v>4.4359999999999999</v>
      </c>
      <c r="E421" s="76">
        <v>6.59</v>
      </c>
      <c r="F421" s="76">
        <v>7.68</v>
      </c>
      <c r="G421" s="76">
        <v>10.994</v>
      </c>
      <c r="H421" s="76">
        <v>21.079000000000001</v>
      </c>
      <c r="I421" s="76">
        <v>22.035</v>
      </c>
      <c r="J421" s="76">
        <v>23.297999999999998</v>
      </c>
      <c r="K421" s="76">
        <v>24.863</v>
      </c>
      <c r="L421" s="76">
        <v>25.478000000000002</v>
      </c>
      <c r="M421" s="76" t="s">
        <v>172</v>
      </c>
      <c r="N421" s="76" t="s">
        <v>172</v>
      </c>
      <c r="O421" s="76" t="s">
        <v>172</v>
      </c>
      <c r="P421" s="76" t="s">
        <v>172</v>
      </c>
      <c r="Q421" s="76" t="s">
        <v>172</v>
      </c>
      <c r="R421" s="76" t="s">
        <v>172</v>
      </c>
      <c r="S421" s="76" t="s">
        <v>172</v>
      </c>
      <c r="T421" s="76" t="s">
        <v>172</v>
      </c>
      <c r="U421" s="76" t="s">
        <v>172</v>
      </c>
      <c r="V421" s="76" t="s">
        <v>172</v>
      </c>
    </row>
    <row r="422" spans="1:22">
      <c r="A422" s="326" t="s">
        <v>79</v>
      </c>
      <c r="B422" s="159">
        <v>4284</v>
      </c>
      <c r="C422" s="76">
        <v>0.93899999999999995</v>
      </c>
      <c r="D422" s="76">
        <v>1.6459999999999999</v>
      </c>
      <c r="E422" s="76">
        <v>2.3420000000000001</v>
      </c>
      <c r="F422" s="76">
        <v>2.6739999999999999</v>
      </c>
      <c r="G422" s="76">
        <v>4.1050000000000004</v>
      </c>
      <c r="H422" s="76">
        <v>7.5640000000000001</v>
      </c>
      <c r="I422" s="76">
        <v>8.0039999999999996</v>
      </c>
      <c r="J422" s="76">
        <v>8.6150000000000002</v>
      </c>
      <c r="K422" s="76">
        <v>9.3650000000000002</v>
      </c>
      <c r="L422" s="76">
        <v>9.7810000000000006</v>
      </c>
      <c r="M422" s="76" t="s">
        <v>172</v>
      </c>
      <c r="N422" s="76" t="s">
        <v>172</v>
      </c>
      <c r="O422" s="76" t="s">
        <v>172</v>
      </c>
      <c r="P422" s="76" t="s">
        <v>172</v>
      </c>
      <c r="Q422" s="76" t="s">
        <v>172</v>
      </c>
      <c r="R422" s="76" t="s">
        <v>172</v>
      </c>
      <c r="S422" s="76" t="s">
        <v>172</v>
      </c>
      <c r="T422" s="76" t="s">
        <v>172</v>
      </c>
      <c r="U422" s="76" t="s">
        <v>172</v>
      </c>
      <c r="V422" s="76" t="s">
        <v>172</v>
      </c>
    </row>
    <row r="423" spans="1:22">
      <c r="A423" s="326">
        <v>38353</v>
      </c>
      <c r="B423" s="327"/>
    </row>
    <row r="424" spans="1:22">
      <c r="A424" s="328" t="s">
        <v>0</v>
      </c>
      <c r="B424" s="329" t="s">
        <v>78</v>
      </c>
      <c r="C424" s="329">
        <v>1</v>
      </c>
      <c r="D424" s="329">
        <v>2</v>
      </c>
      <c r="E424" s="329">
        <v>3</v>
      </c>
      <c r="F424" s="329">
        <v>4</v>
      </c>
      <c r="G424" s="329">
        <v>5</v>
      </c>
      <c r="H424" s="329">
        <v>6</v>
      </c>
      <c r="I424" s="329">
        <v>7</v>
      </c>
      <c r="J424" s="329">
        <v>8</v>
      </c>
      <c r="K424" s="329">
        <v>9</v>
      </c>
    </row>
    <row r="425" spans="1:22">
      <c r="A425" s="326" t="s">
        <v>1</v>
      </c>
      <c r="B425" s="159">
        <v>118</v>
      </c>
      <c r="C425" s="76">
        <v>0</v>
      </c>
      <c r="D425" s="76">
        <v>0</v>
      </c>
      <c r="E425" s="76">
        <v>0</v>
      </c>
      <c r="F425" s="76">
        <v>0</v>
      </c>
      <c r="G425" s="76">
        <v>0</v>
      </c>
      <c r="H425" s="76">
        <v>0</v>
      </c>
      <c r="I425" s="76">
        <v>0</v>
      </c>
      <c r="J425" s="76">
        <v>0</v>
      </c>
      <c r="K425" s="76">
        <v>0</v>
      </c>
      <c r="L425" s="76" t="s">
        <v>172</v>
      </c>
      <c r="M425" s="76" t="s">
        <v>172</v>
      </c>
      <c r="N425" s="76" t="s">
        <v>172</v>
      </c>
      <c r="O425" s="76" t="s">
        <v>172</v>
      </c>
      <c r="P425" s="76" t="s">
        <v>172</v>
      </c>
      <c r="Q425" s="76" t="s">
        <v>172</v>
      </c>
      <c r="R425" s="76" t="s">
        <v>172</v>
      </c>
      <c r="S425" s="76" t="s">
        <v>172</v>
      </c>
      <c r="T425" s="76" t="s">
        <v>172</v>
      </c>
      <c r="U425" s="76" t="s">
        <v>172</v>
      </c>
      <c r="V425" s="76" t="s">
        <v>172</v>
      </c>
    </row>
    <row r="426" spans="1:22">
      <c r="A426" s="326" t="s">
        <v>2</v>
      </c>
      <c r="B426" s="159">
        <v>499</v>
      </c>
      <c r="C426" s="76">
        <v>0</v>
      </c>
      <c r="D426" s="76">
        <v>0</v>
      </c>
      <c r="E426" s="76">
        <v>0</v>
      </c>
      <c r="F426" s="76">
        <v>0.27100000000000002</v>
      </c>
      <c r="G426" s="76">
        <v>0.27100000000000002</v>
      </c>
      <c r="H426" s="76">
        <v>1.2589999999999999</v>
      </c>
      <c r="I426" s="76">
        <v>1.5940000000000001</v>
      </c>
      <c r="J426" s="76">
        <v>1.5940000000000001</v>
      </c>
      <c r="K426" s="76">
        <v>1.972</v>
      </c>
      <c r="L426" s="76" t="s">
        <v>172</v>
      </c>
      <c r="M426" s="76" t="s">
        <v>172</v>
      </c>
      <c r="N426" s="76" t="s">
        <v>172</v>
      </c>
      <c r="O426" s="76" t="s">
        <v>172</v>
      </c>
      <c r="P426" s="76" t="s">
        <v>172</v>
      </c>
      <c r="Q426" s="76" t="s">
        <v>172</v>
      </c>
      <c r="R426" s="76" t="s">
        <v>172</v>
      </c>
      <c r="S426" s="76" t="s">
        <v>172</v>
      </c>
      <c r="T426" s="76" t="s">
        <v>172</v>
      </c>
      <c r="U426" s="76" t="s">
        <v>172</v>
      </c>
      <c r="V426" s="76" t="s">
        <v>172</v>
      </c>
    </row>
    <row r="427" spans="1:22">
      <c r="A427" s="326" t="s">
        <v>3</v>
      </c>
      <c r="B427" s="159">
        <v>1039</v>
      </c>
      <c r="C427" s="76">
        <v>0</v>
      </c>
      <c r="D427" s="76">
        <v>0</v>
      </c>
      <c r="E427" s="76">
        <v>0</v>
      </c>
      <c r="F427" s="76">
        <v>1.004</v>
      </c>
      <c r="G427" s="76">
        <v>1.5329999999999999</v>
      </c>
      <c r="H427" s="76">
        <v>1.8240000000000001</v>
      </c>
      <c r="I427" s="76">
        <v>2.5960000000000001</v>
      </c>
      <c r="J427" s="76">
        <v>3.0859999999999999</v>
      </c>
      <c r="K427" s="76">
        <v>3.9550000000000001</v>
      </c>
      <c r="L427" s="76" t="s">
        <v>172</v>
      </c>
      <c r="M427" s="76" t="s">
        <v>172</v>
      </c>
      <c r="N427" s="76" t="s">
        <v>172</v>
      </c>
      <c r="O427" s="76" t="s">
        <v>172</v>
      </c>
      <c r="P427" s="76" t="s">
        <v>172</v>
      </c>
      <c r="Q427" s="76" t="s">
        <v>172</v>
      </c>
      <c r="R427" s="76" t="s">
        <v>172</v>
      </c>
      <c r="S427" s="76" t="s">
        <v>172</v>
      </c>
      <c r="T427" s="76" t="s">
        <v>172</v>
      </c>
      <c r="U427" s="76" t="s">
        <v>172</v>
      </c>
      <c r="V427" s="76" t="s">
        <v>172</v>
      </c>
    </row>
    <row r="428" spans="1:22">
      <c r="A428" s="326" t="s">
        <v>4</v>
      </c>
      <c r="B428" s="159">
        <v>1067</v>
      </c>
      <c r="C428" s="76">
        <v>0.19800000000000001</v>
      </c>
      <c r="D428" s="76">
        <v>0.19800000000000001</v>
      </c>
      <c r="E428" s="76">
        <v>0.19800000000000001</v>
      </c>
      <c r="F428" s="76">
        <v>0.71199999999999997</v>
      </c>
      <c r="G428" s="76">
        <v>2.2400000000000002</v>
      </c>
      <c r="H428" s="76">
        <v>2.2400000000000002</v>
      </c>
      <c r="I428" s="76">
        <v>2.2400000000000002</v>
      </c>
      <c r="J428" s="76">
        <v>3.0470000000000002</v>
      </c>
      <c r="K428" s="76">
        <v>3.2149999999999999</v>
      </c>
      <c r="L428" s="76" t="s">
        <v>172</v>
      </c>
      <c r="M428" s="76" t="s">
        <v>172</v>
      </c>
      <c r="N428" s="76" t="s">
        <v>172</v>
      </c>
      <c r="O428" s="76" t="s">
        <v>172</v>
      </c>
      <c r="P428" s="76" t="s">
        <v>172</v>
      </c>
      <c r="Q428" s="76" t="s">
        <v>172</v>
      </c>
      <c r="R428" s="76" t="s">
        <v>172</v>
      </c>
      <c r="S428" s="76" t="s">
        <v>172</v>
      </c>
      <c r="T428" s="76" t="s">
        <v>172</v>
      </c>
      <c r="U428" s="76" t="s">
        <v>172</v>
      </c>
      <c r="V428" s="76" t="s">
        <v>172</v>
      </c>
    </row>
    <row r="429" spans="1:22">
      <c r="A429" s="326" t="s">
        <v>5</v>
      </c>
      <c r="B429" s="159">
        <v>480</v>
      </c>
      <c r="C429" s="76">
        <v>0</v>
      </c>
      <c r="D429" s="76">
        <v>0.77300000000000002</v>
      </c>
      <c r="E429" s="76">
        <v>1.087</v>
      </c>
      <c r="F429" s="76">
        <v>3.754</v>
      </c>
      <c r="G429" s="76">
        <v>9.9049999999999994</v>
      </c>
      <c r="H429" s="76">
        <v>10.686999999999999</v>
      </c>
      <c r="I429" s="76">
        <v>10.686999999999999</v>
      </c>
      <c r="J429" s="76">
        <v>12.083</v>
      </c>
      <c r="K429" s="76">
        <v>12.083</v>
      </c>
      <c r="L429" s="76" t="s">
        <v>172</v>
      </c>
      <c r="M429" s="76" t="s">
        <v>172</v>
      </c>
      <c r="N429" s="76" t="s">
        <v>172</v>
      </c>
      <c r="O429" s="76" t="s">
        <v>172</v>
      </c>
      <c r="P429" s="76" t="s">
        <v>172</v>
      </c>
      <c r="Q429" s="76" t="s">
        <v>172</v>
      </c>
      <c r="R429" s="76" t="s">
        <v>172</v>
      </c>
      <c r="S429" s="76" t="s">
        <v>172</v>
      </c>
      <c r="T429" s="76" t="s">
        <v>172</v>
      </c>
      <c r="U429" s="76" t="s">
        <v>172</v>
      </c>
      <c r="V429" s="76" t="s">
        <v>172</v>
      </c>
    </row>
    <row r="430" spans="1:22">
      <c r="A430" s="326" t="s">
        <v>6</v>
      </c>
      <c r="B430" s="159">
        <v>937</v>
      </c>
      <c r="C430" s="76">
        <v>1.0489999999999999</v>
      </c>
      <c r="D430" s="76">
        <v>3.0070000000000001</v>
      </c>
      <c r="E430" s="76">
        <v>4.0119999999999996</v>
      </c>
      <c r="F430" s="76">
        <v>7.8090000000000002</v>
      </c>
      <c r="G430" s="76">
        <v>20.242000000000001</v>
      </c>
      <c r="H430" s="76">
        <v>21.216999999999999</v>
      </c>
      <c r="I430" s="76">
        <v>22.055</v>
      </c>
      <c r="J430" s="76">
        <v>24.308</v>
      </c>
      <c r="K430" s="76">
        <v>25.664999999999999</v>
      </c>
      <c r="L430" s="76" t="s">
        <v>172</v>
      </c>
      <c r="M430" s="76" t="s">
        <v>172</v>
      </c>
      <c r="N430" s="76" t="s">
        <v>172</v>
      </c>
      <c r="O430" s="76" t="s">
        <v>172</v>
      </c>
      <c r="P430" s="76" t="s">
        <v>172</v>
      </c>
      <c r="Q430" s="76" t="s">
        <v>172</v>
      </c>
      <c r="R430" s="76" t="s">
        <v>172</v>
      </c>
      <c r="S430" s="76" t="s">
        <v>172</v>
      </c>
      <c r="T430" s="76" t="s">
        <v>172</v>
      </c>
      <c r="U430" s="76" t="s">
        <v>172</v>
      </c>
      <c r="V430" s="76" t="s">
        <v>172</v>
      </c>
    </row>
    <row r="431" spans="1:22">
      <c r="A431" s="326" t="s">
        <v>71</v>
      </c>
      <c r="B431" s="159">
        <v>323</v>
      </c>
      <c r="C431" s="76">
        <v>7.0490000000000004</v>
      </c>
      <c r="D431" s="76">
        <v>11.505000000000001</v>
      </c>
      <c r="E431" s="76">
        <v>14.846</v>
      </c>
      <c r="F431" s="76">
        <v>22.936</v>
      </c>
      <c r="G431" s="76">
        <v>41.02</v>
      </c>
      <c r="H431" s="76">
        <v>45.015999999999998</v>
      </c>
      <c r="I431" s="76">
        <v>54.619</v>
      </c>
      <c r="J431" s="76">
        <v>55.915999999999997</v>
      </c>
      <c r="K431" s="76">
        <v>57.436</v>
      </c>
      <c r="L431" s="76" t="s">
        <v>172</v>
      </c>
      <c r="M431" s="76" t="s">
        <v>172</v>
      </c>
      <c r="N431" s="76" t="s">
        <v>172</v>
      </c>
      <c r="O431" s="76" t="s">
        <v>172</v>
      </c>
      <c r="P431" s="76" t="s">
        <v>172</v>
      </c>
      <c r="Q431" s="76" t="s">
        <v>172</v>
      </c>
      <c r="R431" s="76" t="s">
        <v>172</v>
      </c>
      <c r="S431" s="76" t="s">
        <v>172</v>
      </c>
      <c r="T431" s="76" t="s">
        <v>172</v>
      </c>
      <c r="U431" s="76" t="s">
        <v>172</v>
      </c>
      <c r="V431" s="76" t="s">
        <v>172</v>
      </c>
    </row>
    <row r="432" spans="1:22">
      <c r="A432" s="326" t="s">
        <v>8</v>
      </c>
      <c r="B432" s="159">
        <v>2723</v>
      </c>
      <c r="C432" s="76">
        <v>7.8E-2</v>
      </c>
      <c r="D432" s="76">
        <v>7.8E-2</v>
      </c>
      <c r="E432" s="76">
        <v>7.8E-2</v>
      </c>
      <c r="F432" s="76">
        <v>0.71599999999999997</v>
      </c>
      <c r="G432" s="76">
        <v>1.512</v>
      </c>
      <c r="H432" s="76">
        <v>1.7969999999999999</v>
      </c>
      <c r="I432" s="76">
        <v>2.1560000000000001</v>
      </c>
      <c r="J432" s="76">
        <v>2.6629999999999998</v>
      </c>
      <c r="K432" s="76">
        <v>3.129</v>
      </c>
      <c r="L432" s="76" t="s">
        <v>172</v>
      </c>
      <c r="M432" s="76" t="s">
        <v>172</v>
      </c>
      <c r="N432" s="76" t="s">
        <v>172</v>
      </c>
      <c r="O432" s="76" t="s">
        <v>172</v>
      </c>
      <c r="P432" s="76" t="s">
        <v>172</v>
      </c>
      <c r="Q432" s="76" t="s">
        <v>172</v>
      </c>
      <c r="R432" s="76" t="s">
        <v>172</v>
      </c>
      <c r="S432" s="76" t="s">
        <v>172</v>
      </c>
      <c r="T432" s="76" t="s">
        <v>172</v>
      </c>
      <c r="U432" s="76" t="s">
        <v>172</v>
      </c>
      <c r="V432" s="76" t="s">
        <v>172</v>
      </c>
    </row>
    <row r="433" spans="1:22">
      <c r="A433" s="326" t="s">
        <v>9</v>
      </c>
      <c r="B433" s="159">
        <v>1740</v>
      </c>
      <c r="C433" s="76">
        <v>1.875</v>
      </c>
      <c r="D433" s="76">
        <v>3.952</v>
      </c>
      <c r="E433" s="76">
        <v>5.173</v>
      </c>
      <c r="F433" s="76">
        <v>9.327</v>
      </c>
      <c r="G433" s="76">
        <v>20.731000000000002</v>
      </c>
      <c r="H433" s="76">
        <v>22.111000000000001</v>
      </c>
      <c r="I433" s="76">
        <v>23.754999999999999</v>
      </c>
      <c r="J433" s="76">
        <v>25.547999999999998</v>
      </c>
      <c r="K433" s="76">
        <v>26.402999999999999</v>
      </c>
      <c r="L433" s="76" t="s">
        <v>172</v>
      </c>
      <c r="M433" s="76" t="s">
        <v>172</v>
      </c>
      <c r="N433" s="76" t="s">
        <v>172</v>
      </c>
      <c r="O433" s="76" t="s">
        <v>172</v>
      </c>
      <c r="P433" s="76" t="s">
        <v>172</v>
      </c>
      <c r="Q433" s="76" t="s">
        <v>172</v>
      </c>
      <c r="R433" s="76" t="s">
        <v>172</v>
      </c>
      <c r="S433" s="76" t="s">
        <v>172</v>
      </c>
      <c r="T433" s="76" t="s">
        <v>172</v>
      </c>
      <c r="U433" s="76" t="s">
        <v>172</v>
      </c>
      <c r="V433" s="76" t="s">
        <v>172</v>
      </c>
    </row>
    <row r="434" spans="1:22">
      <c r="A434" s="326" t="s">
        <v>79</v>
      </c>
      <c r="B434" s="159">
        <v>4463</v>
      </c>
      <c r="C434" s="76">
        <v>0.76</v>
      </c>
      <c r="D434" s="76">
        <v>1.5009999999999999</v>
      </c>
      <c r="E434" s="76">
        <v>1.91</v>
      </c>
      <c r="F434" s="76">
        <v>3.6619999999999999</v>
      </c>
      <c r="G434" s="76">
        <v>7.8159999999999998</v>
      </c>
      <c r="H434" s="76">
        <v>8.4410000000000007</v>
      </c>
      <c r="I434" s="76">
        <v>9.1639999999999997</v>
      </c>
      <c r="J434" s="76">
        <v>10.023</v>
      </c>
      <c r="K434" s="76">
        <v>10.592000000000001</v>
      </c>
      <c r="L434" s="76" t="s">
        <v>172</v>
      </c>
      <c r="M434" s="76" t="s">
        <v>172</v>
      </c>
      <c r="N434" s="76" t="s">
        <v>172</v>
      </c>
      <c r="O434" s="76" t="s">
        <v>172</v>
      </c>
      <c r="P434" s="76" t="s">
        <v>172</v>
      </c>
      <c r="Q434" s="76" t="s">
        <v>172</v>
      </c>
      <c r="R434" s="76" t="s">
        <v>172</v>
      </c>
      <c r="S434" s="76" t="s">
        <v>172</v>
      </c>
      <c r="T434" s="76" t="s">
        <v>172</v>
      </c>
      <c r="U434" s="76" t="s">
        <v>172</v>
      </c>
      <c r="V434" s="76" t="s">
        <v>172</v>
      </c>
    </row>
    <row r="435" spans="1:22">
      <c r="A435" s="326">
        <v>38718</v>
      </c>
      <c r="B435" s="327"/>
    </row>
    <row r="436" spans="1:22">
      <c r="A436" s="328" t="s">
        <v>0</v>
      </c>
      <c r="B436" s="329" t="s">
        <v>78</v>
      </c>
      <c r="C436" s="329">
        <v>1</v>
      </c>
      <c r="D436" s="329">
        <v>2</v>
      </c>
      <c r="E436" s="329">
        <v>3</v>
      </c>
      <c r="F436" s="329">
        <v>4</v>
      </c>
      <c r="G436" s="329">
        <v>5</v>
      </c>
      <c r="H436" s="329">
        <v>6</v>
      </c>
      <c r="I436" s="329">
        <v>7</v>
      </c>
      <c r="J436" s="329">
        <v>8</v>
      </c>
    </row>
    <row r="437" spans="1:22">
      <c r="A437" s="326" t="s">
        <v>1</v>
      </c>
      <c r="B437" s="159">
        <v>112</v>
      </c>
      <c r="C437" s="76">
        <v>0</v>
      </c>
      <c r="D437" s="76">
        <v>0</v>
      </c>
      <c r="E437" s="76">
        <v>0</v>
      </c>
      <c r="F437" s="76">
        <v>0</v>
      </c>
      <c r="G437" s="76">
        <v>0</v>
      </c>
      <c r="H437" s="76">
        <v>0</v>
      </c>
      <c r="I437" s="76">
        <v>0</v>
      </c>
      <c r="J437" s="76">
        <v>0</v>
      </c>
      <c r="K437" s="76" t="s">
        <v>172</v>
      </c>
      <c r="L437" s="76" t="s">
        <v>172</v>
      </c>
      <c r="M437" s="76" t="s">
        <v>172</v>
      </c>
      <c r="N437" s="76" t="s">
        <v>172</v>
      </c>
      <c r="O437" s="76" t="s">
        <v>172</v>
      </c>
      <c r="P437" s="76" t="s">
        <v>172</v>
      </c>
      <c r="Q437" s="76" t="s">
        <v>172</v>
      </c>
      <c r="R437" s="76" t="s">
        <v>172</v>
      </c>
      <c r="S437" s="76" t="s">
        <v>172</v>
      </c>
      <c r="T437" s="76" t="s">
        <v>172</v>
      </c>
      <c r="U437" s="76" t="s">
        <v>172</v>
      </c>
      <c r="V437" s="76" t="s">
        <v>172</v>
      </c>
    </row>
    <row r="438" spans="1:22">
      <c r="A438" s="326" t="s">
        <v>2</v>
      </c>
      <c r="B438" s="159">
        <v>511</v>
      </c>
      <c r="C438" s="76">
        <v>0</v>
      </c>
      <c r="D438" s="76">
        <v>0</v>
      </c>
      <c r="E438" s="76">
        <v>0.24399999999999999</v>
      </c>
      <c r="F438" s="76">
        <v>0.24399999999999999</v>
      </c>
      <c r="G438" s="76">
        <v>1.125</v>
      </c>
      <c r="H438" s="76">
        <v>1.4239999999999999</v>
      </c>
      <c r="I438" s="76">
        <v>1.4239999999999999</v>
      </c>
      <c r="J438" s="76">
        <v>1.7569999999999999</v>
      </c>
      <c r="K438" s="76" t="s">
        <v>172</v>
      </c>
      <c r="L438" s="76" t="s">
        <v>172</v>
      </c>
      <c r="M438" s="76" t="s">
        <v>172</v>
      </c>
      <c r="N438" s="76" t="s">
        <v>172</v>
      </c>
      <c r="O438" s="76" t="s">
        <v>172</v>
      </c>
      <c r="P438" s="76" t="s">
        <v>172</v>
      </c>
      <c r="Q438" s="76" t="s">
        <v>172</v>
      </c>
      <c r="R438" s="76" t="s">
        <v>172</v>
      </c>
      <c r="S438" s="76" t="s">
        <v>172</v>
      </c>
      <c r="T438" s="76" t="s">
        <v>172</v>
      </c>
      <c r="U438" s="76" t="s">
        <v>172</v>
      </c>
      <c r="V438" s="76" t="s">
        <v>172</v>
      </c>
    </row>
    <row r="439" spans="1:22">
      <c r="A439" s="326" t="s">
        <v>3</v>
      </c>
      <c r="B439" s="159">
        <v>1058</v>
      </c>
      <c r="C439" s="76">
        <v>0</v>
      </c>
      <c r="D439" s="76">
        <v>0</v>
      </c>
      <c r="E439" s="76">
        <v>0.91800000000000004</v>
      </c>
      <c r="F439" s="76">
        <v>1.405</v>
      </c>
      <c r="G439" s="76">
        <v>1.675</v>
      </c>
      <c r="H439" s="76">
        <v>2.39</v>
      </c>
      <c r="I439" s="76">
        <v>2.843</v>
      </c>
      <c r="J439" s="76">
        <v>3.9660000000000002</v>
      </c>
      <c r="K439" s="76" t="s">
        <v>172</v>
      </c>
      <c r="L439" s="76" t="s">
        <v>172</v>
      </c>
      <c r="M439" s="76" t="s">
        <v>172</v>
      </c>
      <c r="N439" s="76" t="s">
        <v>172</v>
      </c>
      <c r="O439" s="76" t="s">
        <v>172</v>
      </c>
      <c r="P439" s="76" t="s">
        <v>172</v>
      </c>
      <c r="Q439" s="76" t="s">
        <v>172</v>
      </c>
      <c r="R439" s="76" t="s">
        <v>172</v>
      </c>
      <c r="S439" s="76" t="s">
        <v>172</v>
      </c>
      <c r="T439" s="76" t="s">
        <v>172</v>
      </c>
      <c r="U439" s="76" t="s">
        <v>172</v>
      </c>
      <c r="V439" s="76" t="s">
        <v>172</v>
      </c>
    </row>
    <row r="440" spans="1:22">
      <c r="A440" s="326" t="s">
        <v>4</v>
      </c>
      <c r="B440" s="159">
        <v>1069</v>
      </c>
      <c r="C440" s="76">
        <v>0</v>
      </c>
      <c r="D440" s="76">
        <v>0</v>
      </c>
      <c r="E440" s="76">
        <v>0.35399999999999998</v>
      </c>
      <c r="F440" s="76">
        <v>1.244</v>
      </c>
      <c r="G440" s="76">
        <v>1.244</v>
      </c>
      <c r="H440" s="76">
        <v>1.244</v>
      </c>
      <c r="I440" s="76">
        <v>1.8480000000000001</v>
      </c>
      <c r="J440" s="76">
        <v>2.0049999999999999</v>
      </c>
      <c r="K440" s="76" t="s">
        <v>172</v>
      </c>
      <c r="L440" s="76" t="s">
        <v>172</v>
      </c>
      <c r="M440" s="76" t="s">
        <v>172</v>
      </c>
      <c r="N440" s="76" t="s">
        <v>172</v>
      </c>
      <c r="O440" s="76" t="s">
        <v>172</v>
      </c>
      <c r="P440" s="76" t="s">
        <v>172</v>
      </c>
      <c r="Q440" s="76" t="s">
        <v>172</v>
      </c>
      <c r="R440" s="76" t="s">
        <v>172</v>
      </c>
      <c r="S440" s="76" t="s">
        <v>172</v>
      </c>
      <c r="T440" s="76" t="s">
        <v>172</v>
      </c>
      <c r="U440" s="76" t="s">
        <v>172</v>
      </c>
      <c r="V440" s="76" t="s">
        <v>172</v>
      </c>
    </row>
    <row r="441" spans="1:22">
      <c r="A441" s="326" t="s">
        <v>5</v>
      </c>
      <c r="B441" s="159">
        <v>513</v>
      </c>
      <c r="C441" s="76">
        <v>0.218</v>
      </c>
      <c r="D441" s="76">
        <v>0.218</v>
      </c>
      <c r="E441" s="76">
        <v>3.028</v>
      </c>
      <c r="F441" s="76">
        <v>10.768000000000001</v>
      </c>
      <c r="G441" s="76">
        <v>10.768000000000001</v>
      </c>
      <c r="H441" s="76">
        <v>10.768000000000001</v>
      </c>
      <c r="I441" s="76">
        <v>11.901999999999999</v>
      </c>
      <c r="J441" s="76">
        <v>12.302</v>
      </c>
      <c r="K441" s="76" t="s">
        <v>172</v>
      </c>
      <c r="L441" s="76" t="s">
        <v>172</v>
      </c>
      <c r="M441" s="76" t="s">
        <v>172</v>
      </c>
      <c r="N441" s="76" t="s">
        <v>172</v>
      </c>
      <c r="O441" s="76" t="s">
        <v>172</v>
      </c>
      <c r="P441" s="76" t="s">
        <v>172</v>
      </c>
      <c r="Q441" s="76" t="s">
        <v>172</v>
      </c>
      <c r="R441" s="76" t="s">
        <v>172</v>
      </c>
      <c r="S441" s="76" t="s">
        <v>172</v>
      </c>
      <c r="T441" s="76" t="s">
        <v>172</v>
      </c>
      <c r="U441" s="76" t="s">
        <v>172</v>
      </c>
      <c r="V441" s="76" t="s">
        <v>172</v>
      </c>
    </row>
    <row r="442" spans="1:22">
      <c r="A442" s="326" t="s">
        <v>6</v>
      </c>
      <c r="B442" s="159">
        <v>1005</v>
      </c>
      <c r="C442" s="76">
        <v>1.2130000000000001</v>
      </c>
      <c r="D442" s="76">
        <v>2.1720000000000002</v>
      </c>
      <c r="E442" s="76">
        <v>7.2919999999999998</v>
      </c>
      <c r="F442" s="76">
        <v>19.100999999999999</v>
      </c>
      <c r="G442" s="76">
        <v>21.007000000000001</v>
      </c>
      <c r="H442" s="76">
        <v>22.891999999999999</v>
      </c>
      <c r="I442" s="76">
        <v>25.847999999999999</v>
      </c>
      <c r="J442" s="76">
        <v>27.027000000000001</v>
      </c>
      <c r="K442" s="76" t="s">
        <v>172</v>
      </c>
      <c r="L442" s="76" t="s">
        <v>172</v>
      </c>
      <c r="M442" s="76" t="s">
        <v>172</v>
      </c>
      <c r="N442" s="76" t="s">
        <v>172</v>
      </c>
      <c r="O442" s="76" t="s">
        <v>172</v>
      </c>
      <c r="P442" s="76" t="s">
        <v>172</v>
      </c>
      <c r="Q442" s="76" t="s">
        <v>172</v>
      </c>
      <c r="R442" s="76" t="s">
        <v>172</v>
      </c>
      <c r="S442" s="76" t="s">
        <v>172</v>
      </c>
      <c r="T442" s="76" t="s">
        <v>172</v>
      </c>
      <c r="U442" s="76" t="s">
        <v>172</v>
      </c>
      <c r="V442" s="76" t="s">
        <v>172</v>
      </c>
    </row>
    <row r="443" spans="1:22">
      <c r="A443" s="326" t="s">
        <v>71</v>
      </c>
      <c r="B443" s="159">
        <v>341</v>
      </c>
      <c r="C443" s="76">
        <v>6.2720000000000002</v>
      </c>
      <c r="D443" s="76">
        <v>10.5</v>
      </c>
      <c r="E443" s="76">
        <v>20.608000000000001</v>
      </c>
      <c r="F443" s="76">
        <v>40.177</v>
      </c>
      <c r="G443" s="76">
        <v>46.691000000000003</v>
      </c>
      <c r="H443" s="76">
        <v>52.786000000000001</v>
      </c>
      <c r="I443" s="76">
        <v>53.73</v>
      </c>
      <c r="J443" s="76">
        <v>56.052999999999997</v>
      </c>
      <c r="K443" s="76" t="s">
        <v>172</v>
      </c>
      <c r="L443" s="76" t="s">
        <v>172</v>
      </c>
      <c r="M443" s="76" t="s">
        <v>172</v>
      </c>
      <c r="N443" s="76" t="s">
        <v>172</v>
      </c>
      <c r="O443" s="76" t="s">
        <v>172</v>
      </c>
      <c r="P443" s="76" t="s">
        <v>172</v>
      </c>
      <c r="Q443" s="76" t="s">
        <v>172</v>
      </c>
      <c r="R443" s="76" t="s">
        <v>172</v>
      </c>
      <c r="S443" s="76" t="s">
        <v>172</v>
      </c>
      <c r="T443" s="76" t="s">
        <v>172</v>
      </c>
      <c r="U443" s="76" t="s">
        <v>172</v>
      </c>
      <c r="V443" s="76" t="s">
        <v>172</v>
      </c>
    </row>
    <row r="444" spans="1:22">
      <c r="A444" s="326" t="s">
        <v>8</v>
      </c>
      <c r="B444" s="159">
        <v>2750</v>
      </c>
      <c r="C444" s="76">
        <v>0</v>
      </c>
      <c r="D444" s="76">
        <v>0</v>
      </c>
      <c r="E444" s="76">
        <v>0.54</v>
      </c>
      <c r="F444" s="76">
        <v>1.0740000000000001</v>
      </c>
      <c r="G444" s="76">
        <v>1.3360000000000001</v>
      </c>
      <c r="H444" s="76">
        <v>1.6659999999999999</v>
      </c>
      <c r="I444" s="76">
        <v>2.0750000000000002</v>
      </c>
      <c r="J444" s="76">
        <v>2.6259999999999999</v>
      </c>
      <c r="K444" s="76" t="s">
        <v>172</v>
      </c>
      <c r="L444" s="76" t="s">
        <v>172</v>
      </c>
      <c r="M444" s="76" t="s">
        <v>172</v>
      </c>
      <c r="N444" s="76" t="s">
        <v>172</v>
      </c>
      <c r="O444" s="76" t="s">
        <v>172</v>
      </c>
      <c r="P444" s="76" t="s">
        <v>172</v>
      </c>
      <c r="Q444" s="76" t="s">
        <v>172</v>
      </c>
      <c r="R444" s="76" t="s">
        <v>172</v>
      </c>
      <c r="S444" s="76" t="s">
        <v>172</v>
      </c>
      <c r="T444" s="76" t="s">
        <v>172</v>
      </c>
      <c r="U444" s="76" t="s">
        <v>172</v>
      </c>
      <c r="V444" s="76" t="s">
        <v>172</v>
      </c>
    </row>
    <row r="445" spans="1:22">
      <c r="A445" s="326" t="s">
        <v>9</v>
      </c>
      <c r="B445" s="159">
        <v>1859</v>
      </c>
      <c r="C445" s="76">
        <v>1.8580000000000001</v>
      </c>
      <c r="D445" s="76">
        <v>3.1269999999999998</v>
      </c>
      <c r="E445" s="76">
        <v>8.4090000000000007</v>
      </c>
      <c r="F445" s="76">
        <v>20.329999999999998</v>
      </c>
      <c r="G445" s="76">
        <v>22.425000000000001</v>
      </c>
      <c r="H445" s="76">
        <v>24.234000000000002</v>
      </c>
      <c r="I445" s="76">
        <v>26.224</v>
      </c>
      <c r="J445" s="76">
        <v>27.225999999999999</v>
      </c>
      <c r="K445" s="76" t="s">
        <v>172</v>
      </c>
      <c r="L445" s="76" t="s">
        <v>172</v>
      </c>
      <c r="M445" s="76" t="s">
        <v>172</v>
      </c>
      <c r="N445" s="76" t="s">
        <v>172</v>
      </c>
      <c r="O445" s="76" t="s">
        <v>172</v>
      </c>
      <c r="P445" s="76" t="s">
        <v>172</v>
      </c>
      <c r="Q445" s="76" t="s">
        <v>172</v>
      </c>
      <c r="R445" s="76" t="s">
        <v>172</v>
      </c>
      <c r="S445" s="76" t="s">
        <v>172</v>
      </c>
      <c r="T445" s="76" t="s">
        <v>172</v>
      </c>
      <c r="U445" s="76" t="s">
        <v>172</v>
      </c>
      <c r="V445" s="76" t="s">
        <v>172</v>
      </c>
    </row>
    <row r="446" spans="1:22">
      <c r="A446" s="326" t="s">
        <v>79</v>
      </c>
      <c r="B446" s="159">
        <v>4609</v>
      </c>
      <c r="C446" s="76">
        <v>0.72099999999999997</v>
      </c>
      <c r="D446" s="76">
        <v>1.1850000000000001</v>
      </c>
      <c r="E446" s="76">
        <v>3.3860000000000001</v>
      </c>
      <c r="F446" s="76">
        <v>7.9089999999999998</v>
      </c>
      <c r="G446" s="76">
        <v>8.7970000000000006</v>
      </c>
      <c r="H446" s="76">
        <v>9.5869999999999997</v>
      </c>
      <c r="I446" s="76">
        <v>10.47</v>
      </c>
      <c r="J446" s="76">
        <v>11.148</v>
      </c>
      <c r="K446" s="76" t="s">
        <v>172</v>
      </c>
      <c r="L446" s="76" t="s">
        <v>172</v>
      </c>
      <c r="M446" s="76" t="s">
        <v>172</v>
      </c>
      <c r="N446" s="76" t="s">
        <v>172</v>
      </c>
      <c r="O446" s="76" t="s">
        <v>172</v>
      </c>
      <c r="P446" s="76" t="s">
        <v>172</v>
      </c>
      <c r="Q446" s="76" t="s">
        <v>172</v>
      </c>
      <c r="R446" s="76" t="s">
        <v>172</v>
      </c>
      <c r="S446" s="76" t="s">
        <v>172</v>
      </c>
      <c r="T446" s="76" t="s">
        <v>172</v>
      </c>
      <c r="U446" s="76" t="s">
        <v>172</v>
      </c>
      <c r="V446" s="76" t="s">
        <v>172</v>
      </c>
    </row>
    <row r="447" spans="1:22">
      <c r="A447" s="326">
        <v>39083</v>
      </c>
      <c r="B447" s="327"/>
    </row>
    <row r="448" spans="1:22">
      <c r="A448" s="328" t="s">
        <v>0</v>
      </c>
      <c r="B448" s="329" t="s">
        <v>78</v>
      </c>
      <c r="C448" s="329">
        <v>1</v>
      </c>
      <c r="D448" s="329">
        <v>2</v>
      </c>
      <c r="E448" s="329">
        <v>3</v>
      </c>
      <c r="F448" s="329">
        <v>4</v>
      </c>
      <c r="G448" s="329">
        <v>5</v>
      </c>
      <c r="H448" s="329">
        <v>6</v>
      </c>
      <c r="I448" s="329">
        <v>7</v>
      </c>
    </row>
    <row r="449" spans="1:22">
      <c r="A449" s="326" t="s">
        <v>1</v>
      </c>
      <c r="B449" s="159">
        <v>119</v>
      </c>
      <c r="C449" s="76">
        <v>0</v>
      </c>
      <c r="D449" s="76">
        <v>0</v>
      </c>
      <c r="E449" s="76">
        <v>0</v>
      </c>
      <c r="F449" s="76">
        <v>0</v>
      </c>
      <c r="G449" s="76">
        <v>0</v>
      </c>
      <c r="H449" s="76">
        <v>0</v>
      </c>
      <c r="I449" s="76">
        <v>0</v>
      </c>
      <c r="J449" s="76" t="s">
        <v>172</v>
      </c>
      <c r="K449" s="76" t="s">
        <v>172</v>
      </c>
      <c r="L449" s="76" t="s">
        <v>172</v>
      </c>
      <c r="M449" s="76" t="s">
        <v>172</v>
      </c>
      <c r="N449" s="76" t="s">
        <v>172</v>
      </c>
      <c r="O449" s="76" t="s">
        <v>172</v>
      </c>
      <c r="P449" s="76" t="s">
        <v>172</v>
      </c>
      <c r="Q449" s="76" t="s">
        <v>172</v>
      </c>
      <c r="R449" s="76" t="s">
        <v>172</v>
      </c>
      <c r="S449" s="76" t="s">
        <v>172</v>
      </c>
      <c r="T449" s="76" t="s">
        <v>172</v>
      </c>
      <c r="U449" s="76" t="s">
        <v>172</v>
      </c>
      <c r="V449" s="76" t="s">
        <v>172</v>
      </c>
    </row>
    <row r="450" spans="1:22">
      <c r="A450" s="326" t="s">
        <v>2</v>
      </c>
      <c r="B450" s="159">
        <v>531</v>
      </c>
      <c r="C450" s="76">
        <v>0</v>
      </c>
      <c r="D450" s="76">
        <v>0.218</v>
      </c>
      <c r="E450" s="76">
        <v>0.218</v>
      </c>
      <c r="F450" s="76">
        <v>1.012</v>
      </c>
      <c r="G450" s="76">
        <v>1.2809999999999999</v>
      </c>
      <c r="H450" s="76">
        <v>1.2809999999999999</v>
      </c>
      <c r="I450" s="76">
        <v>1.5860000000000001</v>
      </c>
      <c r="J450" s="76" t="s">
        <v>172</v>
      </c>
      <c r="K450" s="76" t="s">
        <v>172</v>
      </c>
      <c r="L450" s="76" t="s">
        <v>172</v>
      </c>
      <c r="M450" s="76" t="s">
        <v>172</v>
      </c>
      <c r="N450" s="76" t="s">
        <v>172</v>
      </c>
      <c r="O450" s="76" t="s">
        <v>172</v>
      </c>
      <c r="P450" s="76" t="s">
        <v>172</v>
      </c>
      <c r="Q450" s="76" t="s">
        <v>172</v>
      </c>
      <c r="R450" s="76" t="s">
        <v>172</v>
      </c>
      <c r="S450" s="76" t="s">
        <v>172</v>
      </c>
      <c r="T450" s="76" t="s">
        <v>172</v>
      </c>
      <c r="U450" s="76" t="s">
        <v>172</v>
      </c>
      <c r="V450" s="76" t="s">
        <v>172</v>
      </c>
    </row>
    <row r="451" spans="1:22">
      <c r="A451" s="326" t="s">
        <v>3</v>
      </c>
      <c r="B451" s="159">
        <v>1059</v>
      </c>
      <c r="C451" s="76">
        <v>0</v>
      </c>
      <c r="D451" s="76">
        <v>0.95099999999999996</v>
      </c>
      <c r="E451" s="76">
        <v>1.399</v>
      </c>
      <c r="F451" s="76">
        <v>1.6459999999999999</v>
      </c>
      <c r="G451" s="76">
        <v>2.302</v>
      </c>
      <c r="H451" s="76">
        <v>2.863</v>
      </c>
      <c r="I451" s="76">
        <v>4.048</v>
      </c>
      <c r="J451" s="76" t="s">
        <v>172</v>
      </c>
      <c r="K451" s="76" t="s">
        <v>172</v>
      </c>
      <c r="L451" s="76" t="s">
        <v>172</v>
      </c>
      <c r="M451" s="76" t="s">
        <v>172</v>
      </c>
      <c r="N451" s="76" t="s">
        <v>172</v>
      </c>
      <c r="O451" s="76" t="s">
        <v>172</v>
      </c>
      <c r="P451" s="76" t="s">
        <v>172</v>
      </c>
      <c r="Q451" s="76" t="s">
        <v>172</v>
      </c>
      <c r="R451" s="76" t="s">
        <v>172</v>
      </c>
      <c r="S451" s="76" t="s">
        <v>172</v>
      </c>
      <c r="T451" s="76" t="s">
        <v>172</v>
      </c>
      <c r="U451" s="76" t="s">
        <v>172</v>
      </c>
      <c r="V451" s="76" t="s">
        <v>172</v>
      </c>
    </row>
    <row r="452" spans="1:22">
      <c r="A452" s="326" t="s">
        <v>4</v>
      </c>
      <c r="B452" s="159">
        <v>1045</v>
      </c>
      <c r="C452" s="76">
        <v>0</v>
      </c>
      <c r="D452" s="76">
        <v>0.33200000000000002</v>
      </c>
      <c r="E452" s="76">
        <v>1.4039999999999999</v>
      </c>
      <c r="F452" s="76">
        <v>1.4039999999999999</v>
      </c>
      <c r="G452" s="76">
        <v>1.4039999999999999</v>
      </c>
      <c r="H452" s="76">
        <v>1.97</v>
      </c>
      <c r="I452" s="76">
        <v>2.1160000000000001</v>
      </c>
      <c r="J452" s="76" t="s">
        <v>172</v>
      </c>
      <c r="K452" s="76" t="s">
        <v>172</v>
      </c>
      <c r="L452" s="76" t="s">
        <v>172</v>
      </c>
      <c r="M452" s="76" t="s">
        <v>172</v>
      </c>
      <c r="N452" s="76" t="s">
        <v>172</v>
      </c>
      <c r="O452" s="76" t="s">
        <v>172</v>
      </c>
      <c r="P452" s="76" t="s">
        <v>172</v>
      </c>
      <c r="Q452" s="76" t="s">
        <v>172</v>
      </c>
      <c r="R452" s="76" t="s">
        <v>172</v>
      </c>
      <c r="S452" s="76" t="s">
        <v>172</v>
      </c>
      <c r="T452" s="76" t="s">
        <v>172</v>
      </c>
      <c r="U452" s="76" t="s">
        <v>172</v>
      </c>
      <c r="V452" s="76" t="s">
        <v>172</v>
      </c>
    </row>
    <row r="453" spans="1:22">
      <c r="A453" s="326" t="s">
        <v>5</v>
      </c>
      <c r="B453" s="159">
        <v>526</v>
      </c>
      <c r="C453" s="76">
        <v>0</v>
      </c>
      <c r="D453" s="76">
        <v>1.9570000000000001</v>
      </c>
      <c r="E453" s="76">
        <v>8.9689999999999994</v>
      </c>
      <c r="F453" s="76">
        <v>9.2620000000000005</v>
      </c>
      <c r="G453" s="76">
        <v>9.2620000000000005</v>
      </c>
      <c r="H453" s="76">
        <v>10.632</v>
      </c>
      <c r="I453" s="76">
        <v>10.992000000000001</v>
      </c>
      <c r="J453" s="76" t="s">
        <v>172</v>
      </c>
      <c r="K453" s="76" t="s">
        <v>172</v>
      </c>
      <c r="L453" s="76" t="s">
        <v>172</v>
      </c>
      <c r="M453" s="76" t="s">
        <v>172</v>
      </c>
      <c r="N453" s="76" t="s">
        <v>172</v>
      </c>
      <c r="O453" s="76" t="s">
        <v>172</v>
      </c>
      <c r="P453" s="76" t="s">
        <v>172</v>
      </c>
      <c r="Q453" s="76" t="s">
        <v>172</v>
      </c>
      <c r="R453" s="76" t="s">
        <v>172</v>
      </c>
      <c r="S453" s="76" t="s">
        <v>172</v>
      </c>
      <c r="T453" s="76" t="s">
        <v>172</v>
      </c>
      <c r="U453" s="76" t="s">
        <v>172</v>
      </c>
      <c r="V453" s="76" t="s">
        <v>172</v>
      </c>
    </row>
    <row r="454" spans="1:22">
      <c r="A454" s="326" t="s">
        <v>6</v>
      </c>
      <c r="B454" s="159">
        <v>1158</v>
      </c>
      <c r="C454" s="76">
        <v>0</v>
      </c>
      <c r="D454" s="76">
        <v>4.7380000000000004</v>
      </c>
      <c r="E454" s="76">
        <v>17.22</v>
      </c>
      <c r="F454" s="76">
        <v>20.960999999999999</v>
      </c>
      <c r="G454" s="76">
        <v>23.009</v>
      </c>
      <c r="H454" s="76">
        <v>26.42</v>
      </c>
      <c r="I454" s="76">
        <v>28.065000000000001</v>
      </c>
      <c r="J454" s="76" t="s">
        <v>172</v>
      </c>
      <c r="K454" s="76" t="s">
        <v>172</v>
      </c>
      <c r="L454" s="76" t="s">
        <v>172</v>
      </c>
      <c r="M454" s="76" t="s">
        <v>172</v>
      </c>
      <c r="N454" s="76" t="s">
        <v>172</v>
      </c>
      <c r="O454" s="76" t="s">
        <v>172</v>
      </c>
      <c r="P454" s="76" t="s">
        <v>172</v>
      </c>
      <c r="Q454" s="76" t="s">
        <v>172</v>
      </c>
      <c r="R454" s="76" t="s">
        <v>172</v>
      </c>
      <c r="S454" s="76" t="s">
        <v>172</v>
      </c>
      <c r="T454" s="76" t="s">
        <v>172</v>
      </c>
      <c r="U454" s="76" t="s">
        <v>172</v>
      </c>
      <c r="V454" s="76" t="s">
        <v>172</v>
      </c>
    </row>
    <row r="455" spans="1:22">
      <c r="A455" s="326" t="s">
        <v>71</v>
      </c>
      <c r="B455" s="159">
        <v>325</v>
      </c>
      <c r="C455" s="76">
        <v>6.069</v>
      </c>
      <c r="D455" s="76">
        <v>18.789000000000001</v>
      </c>
      <c r="E455" s="76">
        <v>41.561999999999998</v>
      </c>
      <c r="F455" s="76">
        <v>46.018999999999998</v>
      </c>
      <c r="G455" s="76">
        <v>50.796999999999997</v>
      </c>
      <c r="H455" s="76">
        <v>52.423999999999999</v>
      </c>
      <c r="I455" s="76">
        <v>57.037999999999997</v>
      </c>
      <c r="J455" s="76" t="s">
        <v>172</v>
      </c>
      <c r="K455" s="76" t="s">
        <v>172</v>
      </c>
      <c r="L455" s="76" t="s">
        <v>172</v>
      </c>
      <c r="M455" s="76" t="s">
        <v>172</v>
      </c>
      <c r="N455" s="76" t="s">
        <v>172</v>
      </c>
      <c r="O455" s="76" t="s">
        <v>172</v>
      </c>
      <c r="P455" s="76" t="s">
        <v>172</v>
      </c>
      <c r="Q455" s="76" t="s">
        <v>172</v>
      </c>
      <c r="R455" s="76" t="s">
        <v>172</v>
      </c>
      <c r="S455" s="76" t="s">
        <v>172</v>
      </c>
      <c r="T455" s="76" t="s">
        <v>172</v>
      </c>
      <c r="U455" s="76" t="s">
        <v>172</v>
      </c>
      <c r="V455" s="76" t="s">
        <v>172</v>
      </c>
    </row>
    <row r="456" spans="1:22">
      <c r="A456" s="326" t="s">
        <v>8</v>
      </c>
      <c r="B456" s="159">
        <v>2754</v>
      </c>
      <c r="C456" s="76">
        <v>0</v>
      </c>
      <c r="D456" s="76">
        <v>0.53800000000000003</v>
      </c>
      <c r="E456" s="76">
        <v>1.1180000000000001</v>
      </c>
      <c r="F456" s="76">
        <v>1.359</v>
      </c>
      <c r="G456" s="76">
        <v>1.6639999999999999</v>
      </c>
      <c r="H456" s="76">
        <v>2.097</v>
      </c>
      <c r="I456" s="76">
        <v>2.665</v>
      </c>
      <c r="J456" s="76" t="s">
        <v>172</v>
      </c>
      <c r="K456" s="76" t="s">
        <v>172</v>
      </c>
      <c r="L456" s="76" t="s">
        <v>172</v>
      </c>
      <c r="M456" s="76" t="s">
        <v>172</v>
      </c>
      <c r="N456" s="76" t="s">
        <v>172</v>
      </c>
      <c r="O456" s="76" t="s">
        <v>172</v>
      </c>
      <c r="P456" s="76" t="s">
        <v>172</v>
      </c>
      <c r="Q456" s="76" t="s">
        <v>172</v>
      </c>
      <c r="R456" s="76" t="s">
        <v>172</v>
      </c>
      <c r="S456" s="76" t="s">
        <v>172</v>
      </c>
      <c r="T456" s="76" t="s">
        <v>172</v>
      </c>
      <c r="U456" s="76" t="s">
        <v>172</v>
      </c>
      <c r="V456" s="76" t="s">
        <v>172</v>
      </c>
    </row>
    <row r="457" spans="1:22">
      <c r="A457" s="326" t="s">
        <v>9</v>
      </c>
      <c r="B457" s="159">
        <v>2009</v>
      </c>
      <c r="C457" s="76">
        <v>0.98099999999999998</v>
      </c>
      <c r="D457" s="76">
        <v>6.2359999999999998</v>
      </c>
      <c r="E457" s="76">
        <v>18.893000000000001</v>
      </c>
      <c r="F457" s="76">
        <v>21.812000000000001</v>
      </c>
      <c r="G457" s="76">
        <v>23.617000000000001</v>
      </c>
      <c r="H457" s="76">
        <v>26.087</v>
      </c>
      <c r="I457" s="76">
        <v>27.646999999999998</v>
      </c>
      <c r="J457" s="76" t="s">
        <v>172</v>
      </c>
      <c r="K457" s="76" t="s">
        <v>172</v>
      </c>
      <c r="L457" s="76" t="s">
        <v>172</v>
      </c>
      <c r="M457" s="76" t="s">
        <v>172</v>
      </c>
      <c r="N457" s="76" t="s">
        <v>172</v>
      </c>
      <c r="O457" s="76" t="s">
        <v>172</v>
      </c>
      <c r="P457" s="76" t="s">
        <v>172</v>
      </c>
      <c r="Q457" s="76" t="s">
        <v>172</v>
      </c>
      <c r="R457" s="76" t="s">
        <v>172</v>
      </c>
      <c r="S457" s="76" t="s">
        <v>172</v>
      </c>
      <c r="T457" s="76" t="s">
        <v>172</v>
      </c>
      <c r="U457" s="76" t="s">
        <v>172</v>
      </c>
      <c r="V457" s="76" t="s">
        <v>172</v>
      </c>
    </row>
    <row r="458" spans="1:22">
      <c r="A458" s="326" t="s">
        <v>79</v>
      </c>
      <c r="B458" s="159">
        <v>4763</v>
      </c>
      <c r="C458" s="76">
        <v>0.40100000000000002</v>
      </c>
      <c r="D458" s="76">
        <v>2.7930000000000001</v>
      </c>
      <c r="E458" s="76">
        <v>8.109</v>
      </c>
      <c r="F458" s="76">
        <v>9.3740000000000006</v>
      </c>
      <c r="G458" s="76">
        <v>10.198</v>
      </c>
      <c r="H458" s="76">
        <v>11.301</v>
      </c>
      <c r="I458" s="76">
        <v>12.173</v>
      </c>
      <c r="J458" s="76" t="s">
        <v>172</v>
      </c>
      <c r="K458" s="76" t="s">
        <v>172</v>
      </c>
      <c r="L458" s="76" t="s">
        <v>172</v>
      </c>
      <c r="M458" s="76" t="s">
        <v>172</v>
      </c>
      <c r="N458" s="76" t="s">
        <v>172</v>
      </c>
      <c r="O458" s="76" t="s">
        <v>172</v>
      </c>
      <c r="P458" s="76" t="s">
        <v>172</v>
      </c>
      <c r="Q458" s="76" t="s">
        <v>172</v>
      </c>
      <c r="R458" s="76" t="s">
        <v>172</v>
      </c>
      <c r="S458" s="76" t="s">
        <v>172</v>
      </c>
      <c r="T458" s="76" t="s">
        <v>172</v>
      </c>
      <c r="U458" s="76" t="s">
        <v>172</v>
      </c>
      <c r="V458" s="76" t="s">
        <v>172</v>
      </c>
    </row>
    <row r="459" spans="1:22">
      <c r="A459" s="326">
        <v>39448</v>
      </c>
      <c r="B459" s="327"/>
    </row>
    <row r="460" spans="1:22">
      <c r="A460" s="328" t="s">
        <v>0</v>
      </c>
      <c r="B460" s="329" t="s">
        <v>78</v>
      </c>
      <c r="C460" s="329">
        <v>1</v>
      </c>
      <c r="D460" s="329">
        <v>2</v>
      </c>
      <c r="E460" s="329">
        <v>3</v>
      </c>
      <c r="F460" s="329">
        <v>4</v>
      </c>
      <c r="G460" s="329">
        <v>5</v>
      </c>
      <c r="H460" s="329">
        <v>6</v>
      </c>
    </row>
    <row r="461" spans="1:22">
      <c r="A461" s="326" t="s">
        <v>1</v>
      </c>
      <c r="B461" s="159">
        <v>143</v>
      </c>
      <c r="C461" s="76">
        <v>0</v>
      </c>
      <c r="D461" s="76">
        <v>0</v>
      </c>
      <c r="E461" s="76">
        <v>0</v>
      </c>
      <c r="F461" s="76">
        <v>0</v>
      </c>
      <c r="G461" s="76">
        <v>0</v>
      </c>
      <c r="H461" s="76">
        <v>0</v>
      </c>
      <c r="I461" s="76" t="s">
        <v>172</v>
      </c>
      <c r="J461" s="76" t="s">
        <v>172</v>
      </c>
      <c r="K461" s="76" t="s">
        <v>172</v>
      </c>
      <c r="L461" s="76" t="s">
        <v>172</v>
      </c>
      <c r="M461" s="76" t="s">
        <v>172</v>
      </c>
      <c r="N461" s="76" t="s">
        <v>172</v>
      </c>
      <c r="O461" s="76" t="s">
        <v>172</v>
      </c>
      <c r="P461" s="76" t="s">
        <v>172</v>
      </c>
      <c r="Q461" s="76" t="s">
        <v>172</v>
      </c>
      <c r="R461" s="76" t="s">
        <v>172</v>
      </c>
      <c r="S461" s="76" t="s">
        <v>172</v>
      </c>
      <c r="T461" s="76" t="s">
        <v>172</v>
      </c>
      <c r="U461" s="76" t="s">
        <v>172</v>
      </c>
      <c r="V461" s="76" t="s">
        <v>172</v>
      </c>
    </row>
    <row r="462" spans="1:22">
      <c r="A462" s="326" t="s">
        <v>2</v>
      </c>
      <c r="B462" s="159">
        <v>588</v>
      </c>
      <c r="C462" s="76">
        <v>0.71499999999999997</v>
      </c>
      <c r="D462" s="76">
        <v>0.71499999999999997</v>
      </c>
      <c r="E462" s="76">
        <v>1.3660000000000001</v>
      </c>
      <c r="F462" s="76">
        <v>1.8160000000000001</v>
      </c>
      <c r="G462" s="76">
        <v>2.0569999999999999</v>
      </c>
      <c r="H462" s="76">
        <v>2.5670000000000002</v>
      </c>
      <c r="I462" s="76" t="s">
        <v>172</v>
      </c>
      <c r="J462" s="76" t="s">
        <v>172</v>
      </c>
      <c r="K462" s="76" t="s">
        <v>172</v>
      </c>
      <c r="L462" s="76" t="s">
        <v>172</v>
      </c>
      <c r="M462" s="76" t="s">
        <v>172</v>
      </c>
      <c r="N462" s="76" t="s">
        <v>172</v>
      </c>
      <c r="O462" s="76" t="s">
        <v>172</v>
      </c>
      <c r="P462" s="76" t="s">
        <v>172</v>
      </c>
      <c r="Q462" s="76" t="s">
        <v>172</v>
      </c>
      <c r="R462" s="76" t="s">
        <v>172</v>
      </c>
      <c r="S462" s="76" t="s">
        <v>172</v>
      </c>
      <c r="T462" s="76" t="s">
        <v>172</v>
      </c>
      <c r="U462" s="76" t="s">
        <v>172</v>
      </c>
      <c r="V462" s="76" t="s">
        <v>172</v>
      </c>
    </row>
    <row r="463" spans="1:22">
      <c r="A463" s="326" t="s">
        <v>3</v>
      </c>
      <c r="B463" s="159">
        <v>972</v>
      </c>
      <c r="C463" s="76">
        <v>0.54300000000000004</v>
      </c>
      <c r="D463" s="76">
        <v>1.236</v>
      </c>
      <c r="E463" s="76">
        <v>1.4870000000000001</v>
      </c>
      <c r="F463" s="76">
        <v>1.885</v>
      </c>
      <c r="G463" s="76">
        <v>2.6120000000000001</v>
      </c>
      <c r="H463" s="76">
        <v>3.8530000000000002</v>
      </c>
      <c r="I463" s="76" t="s">
        <v>172</v>
      </c>
      <c r="J463" s="76" t="s">
        <v>172</v>
      </c>
      <c r="K463" s="76" t="s">
        <v>172</v>
      </c>
      <c r="L463" s="76" t="s">
        <v>172</v>
      </c>
      <c r="M463" s="76" t="s">
        <v>172</v>
      </c>
      <c r="N463" s="76" t="s">
        <v>172</v>
      </c>
      <c r="O463" s="76" t="s">
        <v>172</v>
      </c>
      <c r="P463" s="76" t="s">
        <v>172</v>
      </c>
      <c r="Q463" s="76" t="s">
        <v>172</v>
      </c>
      <c r="R463" s="76" t="s">
        <v>172</v>
      </c>
      <c r="S463" s="76" t="s">
        <v>172</v>
      </c>
      <c r="T463" s="76" t="s">
        <v>172</v>
      </c>
      <c r="U463" s="76" t="s">
        <v>172</v>
      </c>
      <c r="V463" s="76" t="s">
        <v>172</v>
      </c>
    </row>
    <row r="464" spans="1:22">
      <c r="A464" s="326" t="s">
        <v>4</v>
      </c>
      <c r="B464" s="159">
        <v>1018</v>
      </c>
      <c r="C464" s="76">
        <v>0.52200000000000002</v>
      </c>
      <c r="D464" s="76">
        <v>1.1910000000000001</v>
      </c>
      <c r="E464" s="76">
        <v>1.1910000000000001</v>
      </c>
      <c r="F464" s="76">
        <v>1.1910000000000001</v>
      </c>
      <c r="G464" s="76">
        <v>1.4510000000000001</v>
      </c>
      <c r="H464" s="76">
        <v>1.4510000000000001</v>
      </c>
      <c r="I464" s="76" t="s">
        <v>172</v>
      </c>
      <c r="J464" s="76" t="s">
        <v>172</v>
      </c>
      <c r="K464" s="76" t="s">
        <v>172</v>
      </c>
      <c r="L464" s="76" t="s">
        <v>172</v>
      </c>
      <c r="M464" s="76" t="s">
        <v>172</v>
      </c>
      <c r="N464" s="76" t="s">
        <v>172</v>
      </c>
      <c r="O464" s="76" t="s">
        <v>172</v>
      </c>
      <c r="P464" s="76" t="s">
        <v>172</v>
      </c>
      <c r="Q464" s="76" t="s">
        <v>172</v>
      </c>
      <c r="R464" s="76" t="s">
        <v>172</v>
      </c>
      <c r="S464" s="76" t="s">
        <v>172</v>
      </c>
      <c r="T464" s="76" t="s">
        <v>172</v>
      </c>
      <c r="U464" s="76" t="s">
        <v>172</v>
      </c>
      <c r="V464" s="76" t="s">
        <v>172</v>
      </c>
    </row>
    <row r="465" spans="1:22">
      <c r="A465" s="326" t="s">
        <v>5</v>
      </c>
      <c r="B465" s="159">
        <v>529</v>
      </c>
      <c r="C465" s="76">
        <v>1.218</v>
      </c>
      <c r="D465" s="76">
        <v>7.3540000000000001</v>
      </c>
      <c r="E465" s="76">
        <v>7.6050000000000004</v>
      </c>
      <c r="F465" s="76">
        <v>7.8840000000000003</v>
      </c>
      <c r="G465" s="76">
        <v>9.3510000000000009</v>
      </c>
      <c r="H465" s="76">
        <v>10.254</v>
      </c>
      <c r="I465" s="76" t="s">
        <v>172</v>
      </c>
      <c r="J465" s="76" t="s">
        <v>172</v>
      </c>
      <c r="K465" s="76" t="s">
        <v>172</v>
      </c>
      <c r="L465" s="76" t="s">
        <v>172</v>
      </c>
      <c r="M465" s="76" t="s">
        <v>172</v>
      </c>
      <c r="N465" s="76" t="s">
        <v>172</v>
      </c>
      <c r="O465" s="76" t="s">
        <v>172</v>
      </c>
      <c r="P465" s="76" t="s">
        <v>172</v>
      </c>
      <c r="Q465" s="76" t="s">
        <v>172</v>
      </c>
      <c r="R465" s="76" t="s">
        <v>172</v>
      </c>
      <c r="S465" s="76" t="s">
        <v>172</v>
      </c>
      <c r="T465" s="76" t="s">
        <v>172</v>
      </c>
      <c r="U465" s="76" t="s">
        <v>172</v>
      </c>
      <c r="V465" s="76" t="s">
        <v>172</v>
      </c>
    </row>
    <row r="466" spans="1:22">
      <c r="A466" s="326" t="s">
        <v>6</v>
      </c>
      <c r="B466" s="159">
        <v>1151</v>
      </c>
      <c r="C466" s="76">
        <v>2.1440000000000001</v>
      </c>
      <c r="D466" s="76">
        <v>13.958</v>
      </c>
      <c r="E466" s="76">
        <v>17.373999999999999</v>
      </c>
      <c r="F466" s="76">
        <v>19.117000000000001</v>
      </c>
      <c r="G466" s="76">
        <v>22.143000000000001</v>
      </c>
      <c r="H466" s="76">
        <v>23.571000000000002</v>
      </c>
      <c r="I466" s="76" t="s">
        <v>172</v>
      </c>
      <c r="J466" s="76" t="s">
        <v>172</v>
      </c>
      <c r="K466" s="76" t="s">
        <v>172</v>
      </c>
      <c r="L466" s="76" t="s">
        <v>172</v>
      </c>
      <c r="M466" s="76" t="s">
        <v>172</v>
      </c>
      <c r="N466" s="76" t="s">
        <v>172</v>
      </c>
      <c r="O466" s="76" t="s">
        <v>172</v>
      </c>
      <c r="P466" s="76" t="s">
        <v>172</v>
      </c>
      <c r="Q466" s="76" t="s">
        <v>172</v>
      </c>
      <c r="R466" s="76" t="s">
        <v>172</v>
      </c>
      <c r="S466" s="76" t="s">
        <v>172</v>
      </c>
      <c r="T466" s="76" t="s">
        <v>172</v>
      </c>
      <c r="U466" s="76" t="s">
        <v>172</v>
      </c>
      <c r="V466" s="76" t="s">
        <v>172</v>
      </c>
    </row>
    <row r="467" spans="1:22">
      <c r="A467" s="326" t="s">
        <v>71</v>
      </c>
      <c r="B467" s="159">
        <v>418</v>
      </c>
      <c r="C467" s="76">
        <v>15.085000000000001</v>
      </c>
      <c r="D467" s="76">
        <v>39.100999999999999</v>
      </c>
      <c r="E467" s="76">
        <v>45.954999999999998</v>
      </c>
      <c r="F467" s="76">
        <v>50.945</v>
      </c>
      <c r="G467" s="76">
        <v>53.697000000000003</v>
      </c>
      <c r="H467" s="76">
        <v>56.856999999999999</v>
      </c>
      <c r="I467" s="76" t="s">
        <v>172</v>
      </c>
      <c r="J467" s="76" t="s">
        <v>172</v>
      </c>
      <c r="K467" s="76" t="s">
        <v>172</v>
      </c>
      <c r="L467" s="76" t="s">
        <v>172</v>
      </c>
      <c r="M467" s="76" t="s">
        <v>172</v>
      </c>
      <c r="N467" s="76" t="s">
        <v>172</v>
      </c>
      <c r="O467" s="76" t="s">
        <v>172</v>
      </c>
      <c r="P467" s="76" t="s">
        <v>172</v>
      </c>
      <c r="Q467" s="76" t="s">
        <v>172</v>
      </c>
      <c r="R467" s="76" t="s">
        <v>172</v>
      </c>
      <c r="S467" s="76" t="s">
        <v>172</v>
      </c>
      <c r="T467" s="76" t="s">
        <v>172</v>
      </c>
      <c r="U467" s="76" t="s">
        <v>172</v>
      </c>
      <c r="V467" s="76" t="s">
        <v>172</v>
      </c>
    </row>
    <row r="468" spans="1:22">
      <c r="A468" s="326" t="s">
        <v>8</v>
      </c>
      <c r="B468" s="159">
        <v>2721</v>
      </c>
      <c r="C468" s="76">
        <v>0.54400000000000004</v>
      </c>
      <c r="D468" s="76">
        <v>1.044</v>
      </c>
      <c r="E468" s="76">
        <v>1.2689999999999999</v>
      </c>
      <c r="F468" s="76">
        <v>1.504</v>
      </c>
      <c r="G468" s="76">
        <v>1.907</v>
      </c>
      <c r="H468" s="76">
        <v>2.44</v>
      </c>
      <c r="I468" s="76" t="s">
        <v>172</v>
      </c>
      <c r="J468" s="76" t="s">
        <v>172</v>
      </c>
      <c r="K468" s="76" t="s">
        <v>172</v>
      </c>
      <c r="L468" s="76" t="s">
        <v>172</v>
      </c>
      <c r="M468" s="76" t="s">
        <v>172</v>
      </c>
      <c r="N468" s="76" t="s">
        <v>172</v>
      </c>
      <c r="O468" s="76" t="s">
        <v>172</v>
      </c>
      <c r="P468" s="76" t="s">
        <v>172</v>
      </c>
      <c r="Q468" s="76" t="s">
        <v>172</v>
      </c>
      <c r="R468" s="76" t="s">
        <v>172</v>
      </c>
      <c r="S468" s="76" t="s">
        <v>172</v>
      </c>
      <c r="T468" s="76" t="s">
        <v>172</v>
      </c>
      <c r="U468" s="76" t="s">
        <v>172</v>
      </c>
      <c r="V468" s="76" t="s">
        <v>172</v>
      </c>
    </row>
    <row r="469" spans="1:22">
      <c r="A469" s="326" t="s">
        <v>9</v>
      </c>
      <c r="B469" s="159">
        <v>2098</v>
      </c>
      <c r="C469" s="76">
        <v>4.4930000000000003</v>
      </c>
      <c r="D469" s="76">
        <v>17.3</v>
      </c>
      <c r="E469" s="76">
        <v>20.599</v>
      </c>
      <c r="F469" s="76">
        <v>22.559000000000001</v>
      </c>
      <c r="G469" s="76">
        <v>25.052</v>
      </c>
      <c r="H469" s="76">
        <v>26.611000000000001</v>
      </c>
      <c r="I469" s="76" t="s">
        <v>172</v>
      </c>
      <c r="J469" s="76" t="s">
        <v>172</v>
      </c>
      <c r="K469" s="76" t="s">
        <v>172</v>
      </c>
      <c r="L469" s="76" t="s">
        <v>172</v>
      </c>
      <c r="M469" s="76" t="s">
        <v>172</v>
      </c>
      <c r="N469" s="76" t="s">
        <v>172</v>
      </c>
      <c r="O469" s="76" t="s">
        <v>172</v>
      </c>
      <c r="P469" s="76" t="s">
        <v>172</v>
      </c>
      <c r="Q469" s="76" t="s">
        <v>172</v>
      </c>
      <c r="R469" s="76" t="s">
        <v>172</v>
      </c>
      <c r="S469" s="76" t="s">
        <v>172</v>
      </c>
      <c r="T469" s="76" t="s">
        <v>172</v>
      </c>
      <c r="U469" s="76" t="s">
        <v>172</v>
      </c>
      <c r="V469" s="76" t="s">
        <v>172</v>
      </c>
    </row>
    <row r="470" spans="1:22">
      <c r="A470" s="326" t="s">
        <v>79</v>
      </c>
      <c r="B470" s="159">
        <v>4819</v>
      </c>
      <c r="C470" s="76">
        <v>2.2519999999999998</v>
      </c>
      <c r="D470" s="76">
        <v>8.0660000000000007</v>
      </c>
      <c r="E470" s="76">
        <v>9.5839999999999996</v>
      </c>
      <c r="F470" s="76">
        <v>10.48</v>
      </c>
      <c r="G470" s="76">
        <v>11.644</v>
      </c>
      <c r="H470" s="76">
        <v>12.523999999999999</v>
      </c>
      <c r="I470" s="76" t="s">
        <v>172</v>
      </c>
      <c r="J470" s="76" t="s">
        <v>172</v>
      </c>
      <c r="K470" s="76" t="s">
        <v>172</v>
      </c>
      <c r="L470" s="76" t="s">
        <v>172</v>
      </c>
      <c r="M470" s="76" t="s">
        <v>172</v>
      </c>
      <c r="N470" s="76" t="s">
        <v>172</v>
      </c>
      <c r="O470" s="76" t="s">
        <v>172</v>
      </c>
      <c r="P470" s="76" t="s">
        <v>172</v>
      </c>
      <c r="Q470" s="76" t="s">
        <v>172</v>
      </c>
      <c r="R470" s="76" t="s">
        <v>172</v>
      </c>
      <c r="S470" s="76" t="s">
        <v>172</v>
      </c>
      <c r="T470" s="76" t="s">
        <v>172</v>
      </c>
      <c r="U470" s="76" t="s">
        <v>172</v>
      </c>
      <c r="V470" s="76" t="s">
        <v>172</v>
      </c>
    </row>
    <row r="471" spans="1:22">
      <c r="A471" s="326">
        <v>39814</v>
      </c>
      <c r="B471" s="327"/>
    </row>
    <row r="472" spans="1:22">
      <c r="A472" s="328" t="s">
        <v>0</v>
      </c>
      <c r="B472" s="329" t="s">
        <v>78</v>
      </c>
      <c r="C472" s="329">
        <v>1</v>
      </c>
      <c r="D472" s="329">
        <v>2</v>
      </c>
      <c r="E472" s="329">
        <v>3</v>
      </c>
      <c r="F472" s="329">
        <v>4</v>
      </c>
      <c r="G472" s="329">
        <v>5</v>
      </c>
    </row>
    <row r="473" spans="1:22">
      <c r="A473" s="326" t="s">
        <v>1</v>
      </c>
      <c r="B473" s="159">
        <v>133</v>
      </c>
      <c r="C473" s="76">
        <v>0</v>
      </c>
      <c r="D473" s="76">
        <v>0</v>
      </c>
      <c r="E473" s="76">
        <v>0</v>
      </c>
      <c r="F473" s="76">
        <v>0</v>
      </c>
      <c r="G473" s="76">
        <v>0</v>
      </c>
      <c r="H473" s="76" t="s">
        <v>172</v>
      </c>
      <c r="I473" s="76" t="s">
        <v>172</v>
      </c>
      <c r="J473" s="76" t="s">
        <v>172</v>
      </c>
      <c r="K473" s="76" t="s">
        <v>172</v>
      </c>
      <c r="L473" s="76" t="s">
        <v>172</v>
      </c>
      <c r="M473" s="76" t="s">
        <v>172</v>
      </c>
      <c r="N473" s="76" t="s">
        <v>172</v>
      </c>
      <c r="O473" s="76" t="s">
        <v>172</v>
      </c>
      <c r="P473" s="76" t="s">
        <v>172</v>
      </c>
      <c r="Q473" s="76" t="s">
        <v>172</v>
      </c>
      <c r="R473" s="76" t="s">
        <v>172</v>
      </c>
      <c r="S473" s="76" t="s">
        <v>172</v>
      </c>
      <c r="T473" s="76" t="s">
        <v>172</v>
      </c>
      <c r="U473" s="76" t="s">
        <v>172</v>
      </c>
      <c r="V473" s="76" t="s">
        <v>172</v>
      </c>
    </row>
    <row r="474" spans="1:22">
      <c r="A474" s="326" t="s">
        <v>2</v>
      </c>
      <c r="B474" s="159">
        <v>520</v>
      </c>
      <c r="C474" s="76">
        <v>0</v>
      </c>
      <c r="D474" s="76">
        <v>0.22800000000000001</v>
      </c>
      <c r="E474" s="76">
        <v>0.69299999999999995</v>
      </c>
      <c r="F474" s="76">
        <v>0.94099999999999995</v>
      </c>
      <c r="G474" s="76">
        <v>1.468</v>
      </c>
      <c r="H474" s="76" t="s">
        <v>172</v>
      </c>
      <c r="I474" s="76" t="s">
        <v>172</v>
      </c>
      <c r="J474" s="76" t="s">
        <v>172</v>
      </c>
      <c r="K474" s="76" t="s">
        <v>172</v>
      </c>
      <c r="L474" s="76" t="s">
        <v>172</v>
      </c>
      <c r="M474" s="76" t="s">
        <v>172</v>
      </c>
      <c r="N474" s="76" t="s">
        <v>172</v>
      </c>
      <c r="O474" s="76" t="s">
        <v>172</v>
      </c>
      <c r="P474" s="76" t="s">
        <v>172</v>
      </c>
      <c r="Q474" s="76" t="s">
        <v>172</v>
      </c>
      <c r="R474" s="76" t="s">
        <v>172</v>
      </c>
      <c r="S474" s="76" t="s">
        <v>172</v>
      </c>
      <c r="T474" s="76" t="s">
        <v>172</v>
      </c>
      <c r="U474" s="76" t="s">
        <v>172</v>
      </c>
      <c r="V474" s="76" t="s">
        <v>172</v>
      </c>
    </row>
    <row r="475" spans="1:22">
      <c r="A475" s="326" t="s">
        <v>3</v>
      </c>
      <c r="B475" s="159">
        <v>957</v>
      </c>
      <c r="C475" s="76">
        <v>0.22</v>
      </c>
      <c r="D475" s="76">
        <v>0.45700000000000002</v>
      </c>
      <c r="E475" s="76">
        <v>0.57999999999999996</v>
      </c>
      <c r="F475" s="76">
        <v>1.133</v>
      </c>
      <c r="G475" s="76">
        <v>2.302</v>
      </c>
      <c r="H475" s="76" t="s">
        <v>172</v>
      </c>
      <c r="I475" s="76" t="s">
        <v>172</v>
      </c>
      <c r="J475" s="76" t="s">
        <v>172</v>
      </c>
      <c r="K475" s="76" t="s">
        <v>172</v>
      </c>
      <c r="L475" s="76" t="s">
        <v>172</v>
      </c>
      <c r="M475" s="76" t="s">
        <v>172</v>
      </c>
      <c r="N475" s="76" t="s">
        <v>172</v>
      </c>
      <c r="O475" s="76" t="s">
        <v>172</v>
      </c>
      <c r="P475" s="76" t="s">
        <v>172</v>
      </c>
      <c r="Q475" s="76" t="s">
        <v>172</v>
      </c>
      <c r="R475" s="76" t="s">
        <v>172</v>
      </c>
      <c r="S475" s="76" t="s">
        <v>172</v>
      </c>
      <c r="T475" s="76" t="s">
        <v>172</v>
      </c>
      <c r="U475" s="76" t="s">
        <v>172</v>
      </c>
      <c r="V475" s="76" t="s">
        <v>172</v>
      </c>
    </row>
    <row r="476" spans="1:22">
      <c r="A476" s="326" t="s">
        <v>4</v>
      </c>
      <c r="B476" s="159">
        <v>1006</v>
      </c>
      <c r="C476" s="76">
        <v>0.93700000000000006</v>
      </c>
      <c r="D476" s="76">
        <v>0.93700000000000006</v>
      </c>
      <c r="E476" s="76">
        <v>1.288</v>
      </c>
      <c r="F476" s="76">
        <v>1.411</v>
      </c>
      <c r="G476" s="76">
        <v>1.411</v>
      </c>
      <c r="H476" s="76" t="s">
        <v>172</v>
      </c>
      <c r="I476" s="76" t="s">
        <v>172</v>
      </c>
      <c r="J476" s="76" t="s">
        <v>172</v>
      </c>
      <c r="K476" s="76" t="s">
        <v>172</v>
      </c>
      <c r="L476" s="76" t="s">
        <v>172</v>
      </c>
      <c r="M476" s="76" t="s">
        <v>172</v>
      </c>
      <c r="N476" s="76" t="s">
        <v>172</v>
      </c>
      <c r="O476" s="76" t="s">
        <v>172</v>
      </c>
      <c r="P476" s="76" t="s">
        <v>172</v>
      </c>
      <c r="Q476" s="76" t="s">
        <v>172</v>
      </c>
      <c r="R476" s="76" t="s">
        <v>172</v>
      </c>
      <c r="S476" s="76" t="s">
        <v>172</v>
      </c>
      <c r="T476" s="76" t="s">
        <v>172</v>
      </c>
      <c r="U476" s="76" t="s">
        <v>172</v>
      </c>
      <c r="V476" s="76" t="s">
        <v>172</v>
      </c>
    </row>
    <row r="477" spans="1:22">
      <c r="A477" s="326" t="s">
        <v>5</v>
      </c>
      <c r="B477" s="159">
        <v>504</v>
      </c>
      <c r="C477" s="76">
        <v>2.3250000000000002</v>
      </c>
      <c r="D477" s="76">
        <v>2.8050000000000002</v>
      </c>
      <c r="E477" s="76">
        <v>3.073</v>
      </c>
      <c r="F477" s="76">
        <v>4.7590000000000003</v>
      </c>
      <c r="G477" s="76">
        <v>5.6420000000000003</v>
      </c>
      <c r="H477" s="76" t="s">
        <v>172</v>
      </c>
      <c r="I477" s="76" t="s">
        <v>172</v>
      </c>
      <c r="J477" s="76" t="s">
        <v>172</v>
      </c>
      <c r="K477" s="76" t="s">
        <v>172</v>
      </c>
      <c r="L477" s="76" t="s">
        <v>172</v>
      </c>
      <c r="M477" s="76" t="s">
        <v>172</v>
      </c>
      <c r="N477" s="76" t="s">
        <v>172</v>
      </c>
      <c r="O477" s="76" t="s">
        <v>172</v>
      </c>
      <c r="P477" s="76" t="s">
        <v>172</v>
      </c>
      <c r="Q477" s="76" t="s">
        <v>172</v>
      </c>
      <c r="R477" s="76" t="s">
        <v>172</v>
      </c>
      <c r="S477" s="76" t="s">
        <v>172</v>
      </c>
      <c r="T477" s="76" t="s">
        <v>172</v>
      </c>
      <c r="U477" s="76" t="s">
        <v>172</v>
      </c>
      <c r="V477" s="76" t="s">
        <v>172</v>
      </c>
    </row>
    <row r="478" spans="1:22">
      <c r="A478" s="326" t="s">
        <v>6</v>
      </c>
      <c r="B478" s="159">
        <v>961</v>
      </c>
      <c r="C478" s="76">
        <v>7.5289999999999999</v>
      </c>
      <c r="D478" s="76">
        <v>9.3610000000000007</v>
      </c>
      <c r="E478" s="76">
        <v>10.337999999999999</v>
      </c>
      <c r="F478" s="76">
        <v>13.244</v>
      </c>
      <c r="G478" s="76">
        <v>14.151999999999999</v>
      </c>
      <c r="H478" s="76" t="s">
        <v>172</v>
      </c>
      <c r="I478" s="76" t="s">
        <v>172</v>
      </c>
      <c r="J478" s="76" t="s">
        <v>172</v>
      </c>
      <c r="K478" s="76" t="s">
        <v>172</v>
      </c>
      <c r="L478" s="76" t="s">
        <v>172</v>
      </c>
      <c r="M478" s="76" t="s">
        <v>172</v>
      </c>
      <c r="N478" s="76" t="s">
        <v>172</v>
      </c>
      <c r="O478" s="76" t="s">
        <v>172</v>
      </c>
      <c r="P478" s="76" t="s">
        <v>172</v>
      </c>
      <c r="Q478" s="76" t="s">
        <v>172</v>
      </c>
      <c r="R478" s="76" t="s">
        <v>172</v>
      </c>
      <c r="S478" s="76" t="s">
        <v>172</v>
      </c>
      <c r="T478" s="76" t="s">
        <v>172</v>
      </c>
      <c r="U478" s="76" t="s">
        <v>172</v>
      </c>
      <c r="V478" s="76" t="s">
        <v>172</v>
      </c>
    </row>
    <row r="479" spans="1:22">
      <c r="A479" s="326" t="s">
        <v>71</v>
      </c>
      <c r="B479" s="159">
        <v>523</v>
      </c>
      <c r="C479" s="76">
        <v>34.770000000000003</v>
      </c>
      <c r="D479" s="76">
        <v>43.790999999999997</v>
      </c>
      <c r="E479" s="76">
        <v>48.918999999999997</v>
      </c>
      <c r="F479" s="76">
        <v>52.738999999999997</v>
      </c>
      <c r="G479" s="76">
        <v>55.999000000000002</v>
      </c>
      <c r="H479" s="76" t="s">
        <v>172</v>
      </c>
      <c r="I479" s="76" t="s">
        <v>172</v>
      </c>
      <c r="J479" s="76" t="s">
        <v>172</v>
      </c>
      <c r="K479" s="76" t="s">
        <v>172</v>
      </c>
      <c r="L479" s="76" t="s">
        <v>172</v>
      </c>
      <c r="M479" s="76" t="s">
        <v>172</v>
      </c>
      <c r="N479" s="76" t="s">
        <v>172</v>
      </c>
      <c r="O479" s="76" t="s">
        <v>172</v>
      </c>
      <c r="P479" s="76" t="s">
        <v>172</v>
      </c>
      <c r="Q479" s="76" t="s">
        <v>172</v>
      </c>
      <c r="R479" s="76" t="s">
        <v>172</v>
      </c>
      <c r="S479" s="76" t="s">
        <v>172</v>
      </c>
      <c r="T479" s="76" t="s">
        <v>172</v>
      </c>
      <c r="U479" s="76" t="s">
        <v>172</v>
      </c>
      <c r="V479" s="76" t="s">
        <v>172</v>
      </c>
    </row>
    <row r="480" spans="1:22">
      <c r="A480" s="326" t="s">
        <v>8</v>
      </c>
      <c r="B480" s="159">
        <v>2616</v>
      </c>
      <c r="C480" s="76">
        <v>0.442</v>
      </c>
      <c r="D480" s="76">
        <v>0.57299999999999995</v>
      </c>
      <c r="E480" s="76">
        <v>0.84599999999999997</v>
      </c>
      <c r="F480" s="76">
        <v>1.1379999999999999</v>
      </c>
      <c r="G480" s="76">
        <v>1.6519999999999999</v>
      </c>
      <c r="H480" s="76" t="s">
        <v>172</v>
      </c>
      <c r="I480" s="76" t="s">
        <v>172</v>
      </c>
      <c r="J480" s="76" t="s">
        <v>172</v>
      </c>
      <c r="K480" s="76" t="s">
        <v>172</v>
      </c>
      <c r="L480" s="76" t="s">
        <v>172</v>
      </c>
      <c r="M480" s="76" t="s">
        <v>172</v>
      </c>
      <c r="N480" s="76" t="s">
        <v>172</v>
      </c>
      <c r="O480" s="76" t="s">
        <v>172</v>
      </c>
      <c r="P480" s="76" t="s">
        <v>172</v>
      </c>
      <c r="Q480" s="76" t="s">
        <v>172</v>
      </c>
      <c r="R480" s="76" t="s">
        <v>172</v>
      </c>
      <c r="S480" s="76" t="s">
        <v>172</v>
      </c>
      <c r="T480" s="76" t="s">
        <v>172</v>
      </c>
      <c r="U480" s="76" t="s">
        <v>172</v>
      </c>
      <c r="V480" s="76" t="s">
        <v>172</v>
      </c>
    </row>
    <row r="481" spans="1:22">
      <c r="A481" s="326" t="s">
        <v>9</v>
      </c>
      <c r="B481" s="159">
        <v>1988</v>
      </c>
      <c r="C481" s="76">
        <v>13.32</v>
      </c>
      <c r="D481" s="76">
        <v>16.68</v>
      </c>
      <c r="E481" s="76">
        <v>18.558</v>
      </c>
      <c r="F481" s="76">
        <v>21.343</v>
      </c>
      <c r="G481" s="76">
        <v>22.84</v>
      </c>
      <c r="H481" s="76" t="s">
        <v>172</v>
      </c>
      <c r="I481" s="76" t="s">
        <v>172</v>
      </c>
      <c r="J481" s="76" t="s">
        <v>172</v>
      </c>
      <c r="K481" s="76" t="s">
        <v>172</v>
      </c>
      <c r="L481" s="76" t="s">
        <v>172</v>
      </c>
      <c r="M481" s="76" t="s">
        <v>172</v>
      </c>
      <c r="N481" s="76" t="s">
        <v>172</v>
      </c>
      <c r="O481" s="76" t="s">
        <v>172</v>
      </c>
      <c r="P481" s="76" t="s">
        <v>172</v>
      </c>
      <c r="Q481" s="76" t="s">
        <v>172</v>
      </c>
      <c r="R481" s="76" t="s">
        <v>172</v>
      </c>
      <c r="S481" s="76" t="s">
        <v>172</v>
      </c>
      <c r="T481" s="76" t="s">
        <v>172</v>
      </c>
      <c r="U481" s="76" t="s">
        <v>172</v>
      </c>
      <c r="V481" s="76" t="s">
        <v>172</v>
      </c>
    </row>
    <row r="482" spans="1:22">
      <c r="A482" s="326" t="s">
        <v>79</v>
      </c>
      <c r="B482" s="159">
        <v>4604</v>
      </c>
      <c r="C482" s="76">
        <v>6.0019999999999998</v>
      </c>
      <c r="D482" s="76">
        <v>7.4909999999999997</v>
      </c>
      <c r="E482" s="76">
        <v>8.3819999999999997</v>
      </c>
      <c r="F482" s="76">
        <v>9.593</v>
      </c>
      <c r="G482" s="76">
        <v>10.443</v>
      </c>
      <c r="H482" s="76" t="s">
        <v>172</v>
      </c>
      <c r="I482" s="76" t="s">
        <v>172</v>
      </c>
      <c r="J482" s="76" t="s">
        <v>172</v>
      </c>
      <c r="K482" s="76" t="s">
        <v>172</v>
      </c>
      <c r="L482" s="76" t="s">
        <v>172</v>
      </c>
      <c r="M482" s="76" t="s">
        <v>172</v>
      </c>
      <c r="N482" s="76" t="s">
        <v>172</v>
      </c>
      <c r="O482" s="76" t="s">
        <v>172</v>
      </c>
      <c r="P482" s="76" t="s">
        <v>172</v>
      </c>
      <c r="Q482" s="76" t="s">
        <v>172</v>
      </c>
      <c r="R482" s="76" t="s">
        <v>172</v>
      </c>
      <c r="S482" s="76" t="s">
        <v>172</v>
      </c>
      <c r="T482" s="76" t="s">
        <v>172</v>
      </c>
      <c r="U482" s="76" t="s">
        <v>172</v>
      </c>
      <c r="V482" s="76" t="s">
        <v>172</v>
      </c>
    </row>
    <row r="483" spans="1:22">
      <c r="A483" s="326">
        <v>40179</v>
      </c>
      <c r="B483" s="327"/>
    </row>
    <row r="484" spans="1:22">
      <c r="A484" s="328" t="s">
        <v>0</v>
      </c>
      <c r="B484" s="329" t="s">
        <v>78</v>
      </c>
      <c r="C484" s="329">
        <v>1</v>
      </c>
      <c r="D484" s="329">
        <v>2</v>
      </c>
      <c r="E484" s="329">
        <v>3</v>
      </c>
      <c r="F484" s="329">
        <v>4</v>
      </c>
    </row>
    <row r="485" spans="1:22">
      <c r="A485" s="326" t="s">
        <v>1</v>
      </c>
      <c r="B485" s="159">
        <v>88</v>
      </c>
      <c r="C485" s="76">
        <v>0</v>
      </c>
      <c r="D485" s="76">
        <v>0</v>
      </c>
      <c r="E485" s="76">
        <v>0</v>
      </c>
      <c r="F485" s="76">
        <v>0</v>
      </c>
      <c r="G485" s="76" t="s">
        <v>172</v>
      </c>
      <c r="H485" s="76" t="s">
        <v>172</v>
      </c>
      <c r="I485" s="76" t="s">
        <v>172</v>
      </c>
      <c r="J485" s="76" t="s">
        <v>172</v>
      </c>
      <c r="K485" s="76" t="s">
        <v>172</v>
      </c>
      <c r="L485" s="76" t="s">
        <v>172</v>
      </c>
      <c r="M485" s="76" t="s">
        <v>172</v>
      </c>
      <c r="N485" s="76" t="s">
        <v>172</v>
      </c>
      <c r="O485" s="76" t="s">
        <v>172</v>
      </c>
      <c r="P485" s="76" t="s">
        <v>172</v>
      </c>
      <c r="Q485" s="76" t="s">
        <v>172</v>
      </c>
      <c r="R485" s="76" t="s">
        <v>172</v>
      </c>
      <c r="S485" s="76" t="s">
        <v>172</v>
      </c>
      <c r="T485" s="76" t="s">
        <v>172</v>
      </c>
      <c r="U485" s="76" t="s">
        <v>172</v>
      </c>
      <c r="V485" s="76" t="s">
        <v>172</v>
      </c>
    </row>
    <row r="486" spans="1:22">
      <c r="A486" s="326" t="s">
        <v>2</v>
      </c>
      <c r="B486" s="159">
        <v>402</v>
      </c>
      <c r="C486" s="76">
        <v>0</v>
      </c>
      <c r="D486" s="76">
        <v>0</v>
      </c>
      <c r="E486" s="76">
        <v>0</v>
      </c>
      <c r="F486" s="76">
        <v>0</v>
      </c>
      <c r="G486" s="76" t="s">
        <v>172</v>
      </c>
      <c r="H486" s="76" t="s">
        <v>172</v>
      </c>
      <c r="I486" s="76" t="s">
        <v>172</v>
      </c>
      <c r="J486" s="76" t="s">
        <v>172</v>
      </c>
      <c r="K486" s="76" t="s">
        <v>172</v>
      </c>
      <c r="L486" s="76" t="s">
        <v>172</v>
      </c>
      <c r="M486" s="76" t="s">
        <v>172</v>
      </c>
      <c r="N486" s="76" t="s">
        <v>172</v>
      </c>
      <c r="O486" s="76" t="s">
        <v>172</v>
      </c>
      <c r="P486" s="76" t="s">
        <v>172</v>
      </c>
      <c r="Q486" s="76" t="s">
        <v>172</v>
      </c>
      <c r="R486" s="76" t="s">
        <v>172</v>
      </c>
      <c r="S486" s="76" t="s">
        <v>172</v>
      </c>
      <c r="T486" s="76" t="s">
        <v>172</v>
      </c>
      <c r="U486" s="76" t="s">
        <v>172</v>
      </c>
      <c r="V486" s="76" t="s">
        <v>172</v>
      </c>
    </row>
    <row r="487" spans="1:22">
      <c r="A487" s="326" t="s">
        <v>3</v>
      </c>
      <c r="B487" s="159">
        <v>928</v>
      </c>
      <c r="C487" s="76">
        <v>0.22800000000000001</v>
      </c>
      <c r="D487" s="76">
        <v>0.57799999999999996</v>
      </c>
      <c r="E487" s="76">
        <v>1.218</v>
      </c>
      <c r="F487" s="76">
        <v>2.2989999999999999</v>
      </c>
      <c r="G487" s="76" t="s">
        <v>172</v>
      </c>
      <c r="H487" s="76" t="s">
        <v>172</v>
      </c>
      <c r="I487" s="76" t="s">
        <v>172</v>
      </c>
      <c r="J487" s="76" t="s">
        <v>172</v>
      </c>
      <c r="K487" s="76" t="s">
        <v>172</v>
      </c>
      <c r="L487" s="76" t="s">
        <v>172</v>
      </c>
      <c r="M487" s="76" t="s">
        <v>172</v>
      </c>
      <c r="N487" s="76" t="s">
        <v>172</v>
      </c>
      <c r="O487" s="76" t="s">
        <v>172</v>
      </c>
      <c r="P487" s="76" t="s">
        <v>172</v>
      </c>
      <c r="Q487" s="76" t="s">
        <v>172</v>
      </c>
      <c r="R487" s="76" t="s">
        <v>172</v>
      </c>
      <c r="S487" s="76" t="s">
        <v>172</v>
      </c>
      <c r="T487" s="76" t="s">
        <v>172</v>
      </c>
      <c r="U487" s="76" t="s">
        <v>172</v>
      </c>
      <c r="V487" s="76" t="s">
        <v>172</v>
      </c>
    </row>
    <row r="488" spans="1:22">
      <c r="A488" s="326" t="s">
        <v>4</v>
      </c>
      <c r="B488" s="159">
        <v>1078</v>
      </c>
      <c r="C488" s="76">
        <v>0</v>
      </c>
      <c r="D488" s="76">
        <v>0.20100000000000001</v>
      </c>
      <c r="E488" s="76">
        <v>0.307</v>
      </c>
      <c r="F488" s="76">
        <v>0.53</v>
      </c>
      <c r="G488" s="76" t="s">
        <v>172</v>
      </c>
      <c r="H488" s="76" t="s">
        <v>172</v>
      </c>
      <c r="I488" s="76" t="s">
        <v>172</v>
      </c>
      <c r="J488" s="76" t="s">
        <v>172</v>
      </c>
      <c r="K488" s="76" t="s">
        <v>172</v>
      </c>
      <c r="L488" s="76" t="s">
        <v>172</v>
      </c>
      <c r="M488" s="76" t="s">
        <v>172</v>
      </c>
      <c r="N488" s="76" t="s">
        <v>172</v>
      </c>
      <c r="O488" s="76" t="s">
        <v>172</v>
      </c>
      <c r="P488" s="76" t="s">
        <v>172</v>
      </c>
      <c r="Q488" s="76" t="s">
        <v>172</v>
      </c>
      <c r="R488" s="76" t="s">
        <v>172</v>
      </c>
      <c r="S488" s="76" t="s">
        <v>172</v>
      </c>
      <c r="T488" s="76" t="s">
        <v>172</v>
      </c>
      <c r="U488" s="76" t="s">
        <v>172</v>
      </c>
      <c r="V488" s="76" t="s">
        <v>172</v>
      </c>
    </row>
    <row r="489" spans="1:22">
      <c r="A489" s="326" t="s">
        <v>5</v>
      </c>
      <c r="B489" s="159">
        <v>479</v>
      </c>
      <c r="C489" s="76">
        <v>0</v>
      </c>
      <c r="D489" s="76">
        <v>0</v>
      </c>
      <c r="E489" s="76">
        <v>1.0629999999999999</v>
      </c>
      <c r="F489" s="76">
        <v>2.1680000000000001</v>
      </c>
      <c r="G489" s="76" t="s">
        <v>172</v>
      </c>
      <c r="H489" s="76" t="s">
        <v>172</v>
      </c>
      <c r="I489" s="76" t="s">
        <v>172</v>
      </c>
      <c r="J489" s="76" t="s">
        <v>172</v>
      </c>
      <c r="K489" s="76" t="s">
        <v>172</v>
      </c>
      <c r="L489" s="76" t="s">
        <v>172</v>
      </c>
      <c r="M489" s="76" t="s">
        <v>172</v>
      </c>
      <c r="N489" s="76" t="s">
        <v>172</v>
      </c>
      <c r="O489" s="76" t="s">
        <v>172</v>
      </c>
      <c r="P489" s="76" t="s">
        <v>172</v>
      </c>
      <c r="Q489" s="76" t="s">
        <v>172</v>
      </c>
      <c r="R489" s="76" t="s">
        <v>172</v>
      </c>
      <c r="S489" s="76" t="s">
        <v>172</v>
      </c>
      <c r="T489" s="76" t="s">
        <v>172</v>
      </c>
      <c r="U489" s="76" t="s">
        <v>172</v>
      </c>
      <c r="V489" s="76" t="s">
        <v>172</v>
      </c>
    </row>
    <row r="490" spans="1:22">
      <c r="A490" s="326" t="s">
        <v>6</v>
      </c>
      <c r="B490" s="159">
        <v>866</v>
      </c>
      <c r="C490" s="76">
        <v>0.50900000000000001</v>
      </c>
      <c r="D490" s="76">
        <v>1.498</v>
      </c>
      <c r="E490" s="76">
        <v>3.9609999999999999</v>
      </c>
      <c r="F490" s="76">
        <v>5.0330000000000004</v>
      </c>
      <c r="G490" s="76" t="s">
        <v>172</v>
      </c>
      <c r="H490" s="76" t="s">
        <v>172</v>
      </c>
      <c r="I490" s="76" t="s">
        <v>172</v>
      </c>
      <c r="J490" s="76" t="s">
        <v>172</v>
      </c>
      <c r="K490" s="76" t="s">
        <v>172</v>
      </c>
      <c r="L490" s="76" t="s">
        <v>172</v>
      </c>
      <c r="M490" s="76" t="s">
        <v>172</v>
      </c>
      <c r="N490" s="76" t="s">
        <v>172</v>
      </c>
      <c r="O490" s="76" t="s">
        <v>172</v>
      </c>
      <c r="P490" s="76" t="s">
        <v>172</v>
      </c>
      <c r="Q490" s="76" t="s">
        <v>172</v>
      </c>
      <c r="R490" s="76" t="s">
        <v>172</v>
      </c>
      <c r="S490" s="76" t="s">
        <v>172</v>
      </c>
      <c r="T490" s="76" t="s">
        <v>172</v>
      </c>
      <c r="U490" s="76" t="s">
        <v>172</v>
      </c>
      <c r="V490" s="76" t="s">
        <v>172</v>
      </c>
    </row>
    <row r="491" spans="1:22">
      <c r="A491" s="326" t="s">
        <v>71</v>
      </c>
      <c r="B491" s="159">
        <v>456</v>
      </c>
      <c r="C491" s="76">
        <v>11.971</v>
      </c>
      <c r="D491" s="76">
        <v>18.518000000000001</v>
      </c>
      <c r="E491" s="76">
        <v>25.853000000000002</v>
      </c>
      <c r="F491" s="76">
        <v>31.57</v>
      </c>
      <c r="G491" s="76" t="s">
        <v>172</v>
      </c>
      <c r="H491" s="76" t="s">
        <v>172</v>
      </c>
      <c r="I491" s="76" t="s">
        <v>172</v>
      </c>
      <c r="J491" s="76" t="s">
        <v>172</v>
      </c>
      <c r="K491" s="76" t="s">
        <v>172</v>
      </c>
      <c r="L491" s="76" t="s">
        <v>172</v>
      </c>
      <c r="M491" s="76" t="s">
        <v>172</v>
      </c>
      <c r="N491" s="76" t="s">
        <v>172</v>
      </c>
      <c r="O491" s="76" t="s">
        <v>172</v>
      </c>
      <c r="P491" s="76" t="s">
        <v>172</v>
      </c>
      <c r="Q491" s="76" t="s">
        <v>172</v>
      </c>
      <c r="R491" s="76" t="s">
        <v>172</v>
      </c>
      <c r="S491" s="76" t="s">
        <v>172</v>
      </c>
      <c r="T491" s="76" t="s">
        <v>172</v>
      </c>
      <c r="U491" s="76" t="s">
        <v>172</v>
      </c>
      <c r="V491" s="76" t="s">
        <v>172</v>
      </c>
    </row>
    <row r="492" spans="1:22">
      <c r="A492" s="326" t="s">
        <v>8</v>
      </c>
      <c r="B492" s="159">
        <v>2496</v>
      </c>
      <c r="C492" s="76">
        <v>8.4000000000000005E-2</v>
      </c>
      <c r="D492" s="76">
        <v>0.30099999999999999</v>
      </c>
      <c r="E492" s="76">
        <v>0.58099999999999996</v>
      </c>
      <c r="F492" s="76">
        <v>1.07</v>
      </c>
      <c r="G492" s="76" t="s">
        <v>172</v>
      </c>
      <c r="H492" s="76" t="s">
        <v>172</v>
      </c>
      <c r="I492" s="76" t="s">
        <v>172</v>
      </c>
      <c r="J492" s="76" t="s">
        <v>172</v>
      </c>
      <c r="K492" s="76" t="s">
        <v>172</v>
      </c>
      <c r="L492" s="76" t="s">
        <v>172</v>
      </c>
      <c r="M492" s="76" t="s">
        <v>172</v>
      </c>
      <c r="N492" s="76" t="s">
        <v>172</v>
      </c>
      <c r="O492" s="76" t="s">
        <v>172</v>
      </c>
      <c r="P492" s="76" t="s">
        <v>172</v>
      </c>
      <c r="Q492" s="76" t="s">
        <v>172</v>
      </c>
      <c r="R492" s="76" t="s">
        <v>172</v>
      </c>
      <c r="S492" s="76" t="s">
        <v>172</v>
      </c>
      <c r="T492" s="76" t="s">
        <v>172</v>
      </c>
      <c r="U492" s="76" t="s">
        <v>172</v>
      </c>
      <c r="V492" s="76" t="s">
        <v>172</v>
      </c>
    </row>
    <row r="493" spans="1:22">
      <c r="A493" s="326" t="s">
        <v>9</v>
      </c>
      <c r="B493" s="159">
        <v>1801</v>
      </c>
      <c r="C493" s="76">
        <v>3.3050000000000002</v>
      </c>
      <c r="D493" s="76">
        <v>5.4370000000000003</v>
      </c>
      <c r="E493" s="76">
        <v>8.702</v>
      </c>
      <c r="F493" s="76">
        <v>10.89</v>
      </c>
      <c r="G493" s="76" t="s">
        <v>172</v>
      </c>
      <c r="H493" s="76" t="s">
        <v>172</v>
      </c>
      <c r="I493" s="76" t="s">
        <v>172</v>
      </c>
      <c r="J493" s="76" t="s">
        <v>172</v>
      </c>
      <c r="K493" s="76" t="s">
        <v>172</v>
      </c>
      <c r="L493" s="76" t="s">
        <v>172</v>
      </c>
      <c r="M493" s="76" t="s">
        <v>172</v>
      </c>
      <c r="N493" s="76" t="s">
        <v>172</v>
      </c>
      <c r="O493" s="76" t="s">
        <v>172</v>
      </c>
      <c r="P493" s="76" t="s">
        <v>172</v>
      </c>
      <c r="Q493" s="76" t="s">
        <v>172</v>
      </c>
      <c r="R493" s="76" t="s">
        <v>172</v>
      </c>
      <c r="S493" s="76" t="s">
        <v>172</v>
      </c>
      <c r="T493" s="76" t="s">
        <v>172</v>
      </c>
      <c r="U493" s="76" t="s">
        <v>172</v>
      </c>
      <c r="V493" s="76" t="s">
        <v>172</v>
      </c>
    </row>
    <row r="494" spans="1:22">
      <c r="A494" s="326" t="s">
        <v>79</v>
      </c>
      <c r="B494" s="159">
        <v>4297</v>
      </c>
      <c r="C494" s="76">
        <v>1.4079999999999999</v>
      </c>
      <c r="D494" s="76">
        <v>2.3570000000000002</v>
      </c>
      <c r="E494" s="76">
        <v>3.7360000000000002</v>
      </c>
      <c r="F494" s="76">
        <v>4.8159999999999998</v>
      </c>
      <c r="G494" s="76" t="s">
        <v>172</v>
      </c>
      <c r="H494" s="76" t="s">
        <v>172</v>
      </c>
      <c r="I494" s="76" t="s">
        <v>172</v>
      </c>
      <c r="J494" s="76" t="s">
        <v>172</v>
      </c>
      <c r="K494" s="76" t="s">
        <v>172</v>
      </c>
      <c r="L494" s="76" t="s">
        <v>172</v>
      </c>
      <c r="M494" s="76" t="s">
        <v>172</v>
      </c>
      <c r="N494" s="76" t="s">
        <v>172</v>
      </c>
      <c r="O494" s="76" t="s">
        <v>172</v>
      </c>
      <c r="P494" s="76" t="s">
        <v>172</v>
      </c>
      <c r="Q494" s="76" t="s">
        <v>172</v>
      </c>
      <c r="R494" s="76" t="s">
        <v>172</v>
      </c>
      <c r="S494" s="76" t="s">
        <v>172</v>
      </c>
      <c r="T494" s="76" t="s">
        <v>172</v>
      </c>
      <c r="U494" s="76" t="s">
        <v>172</v>
      </c>
      <c r="V494" s="76" t="s">
        <v>172</v>
      </c>
    </row>
    <row r="495" spans="1:22">
      <c r="A495" s="326">
        <v>40544</v>
      </c>
      <c r="B495" s="327"/>
    </row>
    <row r="496" spans="1:22">
      <c r="A496" s="328" t="s">
        <v>0</v>
      </c>
      <c r="B496" s="329" t="s">
        <v>78</v>
      </c>
      <c r="C496" s="329">
        <v>1</v>
      </c>
      <c r="D496" s="329">
        <v>2</v>
      </c>
      <c r="E496" s="329">
        <v>3</v>
      </c>
    </row>
    <row r="497" spans="1:22">
      <c r="A497" s="326" t="s">
        <v>1</v>
      </c>
      <c r="B497" s="159">
        <v>76</v>
      </c>
      <c r="C497" s="76">
        <v>0</v>
      </c>
      <c r="D497" s="76">
        <v>0</v>
      </c>
      <c r="E497" s="76">
        <v>0</v>
      </c>
      <c r="F497" s="76" t="s">
        <v>172</v>
      </c>
      <c r="G497" s="76" t="s">
        <v>172</v>
      </c>
      <c r="H497" s="76" t="s">
        <v>172</v>
      </c>
      <c r="I497" s="76" t="s">
        <v>172</v>
      </c>
      <c r="J497" s="76" t="s">
        <v>172</v>
      </c>
      <c r="K497" s="76" t="s">
        <v>172</v>
      </c>
      <c r="L497" s="76" t="s">
        <v>172</v>
      </c>
      <c r="M497" s="76" t="s">
        <v>172</v>
      </c>
      <c r="N497" s="76" t="s">
        <v>172</v>
      </c>
      <c r="O497" s="76" t="s">
        <v>172</v>
      </c>
      <c r="P497" s="76" t="s">
        <v>172</v>
      </c>
      <c r="Q497" s="76" t="s">
        <v>172</v>
      </c>
      <c r="R497" s="76" t="s">
        <v>172</v>
      </c>
      <c r="S497" s="76" t="s">
        <v>172</v>
      </c>
      <c r="T497" s="76" t="s">
        <v>172</v>
      </c>
      <c r="U497" s="76" t="s">
        <v>172</v>
      </c>
      <c r="V497" s="76" t="s">
        <v>172</v>
      </c>
    </row>
    <row r="498" spans="1:22">
      <c r="A498" s="326" t="s">
        <v>2</v>
      </c>
      <c r="B498" s="159">
        <v>375</v>
      </c>
      <c r="C498" s="76">
        <v>0</v>
      </c>
      <c r="D498" s="76">
        <v>0</v>
      </c>
      <c r="E498" s="76">
        <v>0</v>
      </c>
      <c r="F498" s="76" t="s">
        <v>172</v>
      </c>
      <c r="G498" s="76" t="s">
        <v>172</v>
      </c>
      <c r="H498" s="76" t="s">
        <v>172</v>
      </c>
      <c r="I498" s="76" t="s">
        <v>172</v>
      </c>
      <c r="J498" s="76" t="s">
        <v>172</v>
      </c>
      <c r="K498" s="76" t="s">
        <v>172</v>
      </c>
      <c r="L498" s="76" t="s">
        <v>172</v>
      </c>
      <c r="M498" s="76" t="s">
        <v>172</v>
      </c>
      <c r="N498" s="76" t="s">
        <v>172</v>
      </c>
      <c r="O498" s="76" t="s">
        <v>172</v>
      </c>
      <c r="P498" s="76" t="s">
        <v>172</v>
      </c>
      <c r="Q498" s="76" t="s">
        <v>172</v>
      </c>
      <c r="R498" s="76" t="s">
        <v>172</v>
      </c>
      <c r="S498" s="76" t="s">
        <v>172</v>
      </c>
      <c r="T498" s="76" t="s">
        <v>172</v>
      </c>
      <c r="U498" s="76" t="s">
        <v>172</v>
      </c>
      <c r="V498" s="76" t="s">
        <v>172</v>
      </c>
    </row>
    <row r="499" spans="1:22">
      <c r="A499" s="326" t="s">
        <v>3</v>
      </c>
      <c r="B499" s="159">
        <v>913</v>
      </c>
      <c r="C499" s="76">
        <v>0</v>
      </c>
      <c r="D499" s="76">
        <v>0.125</v>
      </c>
      <c r="E499" s="76">
        <v>0.89700000000000002</v>
      </c>
      <c r="F499" s="76" t="s">
        <v>172</v>
      </c>
      <c r="G499" s="76" t="s">
        <v>172</v>
      </c>
      <c r="H499" s="76" t="s">
        <v>172</v>
      </c>
      <c r="I499" s="76" t="s">
        <v>172</v>
      </c>
      <c r="J499" s="76" t="s">
        <v>172</v>
      </c>
      <c r="K499" s="76" t="s">
        <v>172</v>
      </c>
      <c r="L499" s="76" t="s">
        <v>172</v>
      </c>
      <c r="M499" s="76" t="s">
        <v>172</v>
      </c>
      <c r="N499" s="76" t="s">
        <v>172</v>
      </c>
      <c r="O499" s="76" t="s">
        <v>172</v>
      </c>
      <c r="P499" s="76" t="s">
        <v>172</v>
      </c>
      <c r="Q499" s="76" t="s">
        <v>172</v>
      </c>
      <c r="R499" s="76" t="s">
        <v>172</v>
      </c>
      <c r="S499" s="76" t="s">
        <v>172</v>
      </c>
      <c r="T499" s="76" t="s">
        <v>172</v>
      </c>
      <c r="U499" s="76" t="s">
        <v>172</v>
      </c>
      <c r="V499" s="76" t="s">
        <v>172</v>
      </c>
    </row>
    <row r="500" spans="1:22">
      <c r="A500" s="326" t="s">
        <v>4</v>
      </c>
      <c r="B500" s="159">
        <v>1168</v>
      </c>
      <c r="C500" s="76">
        <v>0.09</v>
      </c>
      <c r="D500" s="76">
        <v>0.183</v>
      </c>
      <c r="E500" s="76">
        <v>0.57199999999999995</v>
      </c>
      <c r="F500" s="76" t="s">
        <v>172</v>
      </c>
      <c r="G500" s="76" t="s">
        <v>172</v>
      </c>
      <c r="H500" s="76" t="s">
        <v>172</v>
      </c>
      <c r="I500" s="76" t="s">
        <v>172</v>
      </c>
      <c r="J500" s="76" t="s">
        <v>172</v>
      </c>
      <c r="K500" s="76" t="s">
        <v>172</v>
      </c>
      <c r="L500" s="76" t="s">
        <v>172</v>
      </c>
      <c r="M500" s="76" t="s">
        <v>172</v>
      </c>
      <c r="N500" s="76" t="s">
        <v>172</v>
      </c>
      <c r="O500" s="76" t="s">
        <v>172</v>
      </c>
      <c r="P500" s="76" t="s">
        <v>172</v>
      </c>
      <c r="Q500" s="76" t="s">
        <v>172</v>
      </c>
      <c r="R500" s="76" t="s">
        <v>172</v>
      </c>
      <c r="S500" s="76" t="s">
        <v>172</v>
      </c>
      <c r="T500" s="76" t="s">
        <v>172</v>
      </c>
      <c r="U500" s="76" t="s">
        <v>172</v>
      </c>
      <c r="V500" s="76" t="s">
        <v>172</v>
      </c>
    </row>
    <row r="501" spans="1:22">
      <c r="A501" s="326" t="s">
        <v>5</v>
      </c>
      <c r="B501" s="159">
        <v>542</v>
      </c>
      <c r="C501" s="76">
        <v>0.19700000000000001</v>
      </c>
      <c r="D501" s="76">
        <v>1.677</v>
      </c>
      <c r="E501" s="76">
        <v>2.351</v>
      </c>
      <c r="F501" s="76" t="s">
        <v>172</v>
      </c>
      <c r="G501" s="76" t="s">
        <v>172</v>
      </c>
      <c r="H501" s="76" t="s">
        <v>172</v>
      </c>
      <c r="I501" s="76" t="s">
        <v>172</v>
      </c>
      <c r="J501" s="76" t="s">
        <v>172</v>
      </c>
      <c r="K501" s="76" t="s">
        <v>172</v>
      </c>
      <c r="L501" s="76" t="s">
        <v>172</v>
      </c>
      <c r="M501" s="76" t="s">
        <v>172</v>
      </c>
      <c r="N501" s="76" t="s">
        <v>172</v>
      </c>
      <c r="O501" s="76" t="s">
        <v>172</v>
      </c>
      <c r="P501" s="76" t="s">
        <v>172</v>
      </c>
      <c r="Q501" s="76" t="s">
        <v>172</v>
      </c>
      <c r="R501" s="76" t="s">
        <v>172</v>
      </c>
      <c r="S501" s="76" t="s">
        <v>172</v>
      </c>
      <c r="T501" s="76" t="s">
        <v>172</v>
      </c>
      <c r="U501" s="76" t="s">
        <v>172</v>
      </c>
      <c r="V501" s="76" t="s">
        <v>172</v>
      </c>
    </row>
    <row r="502" spans="1:22">
      <c r="A502" s="326" t="s">
        <v>6</v>
      </c>
      <c r="B502" s="159">
        <v>1054</v>
      </c>
      <c r="C502" s="76">
        <v>0.112</v>
      </c>
      <c r="D502" s="76">
        <v>1.8149999999999999</v>
      </c>
      <c r="E502" s="76">
        <v>3.2370000000000001</v>
      </c>
      <c r="F502" s="76" t="s">
        <v>172</v>
      </c>
      <c r="G502" s="76" t="s">
        <v>172</v>
      </c>
      <c r="H502" s="76" t="s">
        <v>172</v>
      </c>
      <c r="I502" s="76" t="s">
        <v>172</v>
      </c>
      <c r="J502" s="76" t="s">
        <v>172</v>
      </c>
      <c r="K502" s="76" t="s">
        <v>172</v>
      </c>
      <c r="L502" s="76" t="s">
        <v>172</v>
      </c>
      <c r="M502" s="76" t="s">
        <v>172</v>
      </c>
      <c r="N502" s="76" t="s">
        <v>172</v>
      </c>
      <c r="O502" s="76" t="s">
        <v>172</v>
      </c>
      <c r="P502" s="76" t="s">
        <v>172</v>
      </c>
      <c r="Q502" s="76" t="s">
        <v>172</v>
      </c>
      <c r="R502" s="76" t="s">
        <v>172</v>
      </c>
      <c r="S502" s="76" t="s">
        <v>172</v>
      </c>
      <c r="T502" s="76" t="s">
        <v>172</v>
      </c>
      <c r="U502" s="76" t="s">
        <v>172</v>
      </c>
      <c r="V502" s="76" t="s">
        <v>172</v>
      </c>
    </row>
    <row r="503" spans="1:22">
      <c r="A503" s="326" t="s">
        <v>71</v>
      </c>
      <c r="B503" s="159">
        <v>449</v>
      </c>
      <c r="C503" s="76">
        <v>8.6280000000000001</v>
      </c>
      <c r="D503" s="76">
        <v>18.687000000000001</v>
      </c>
      <c r="E503" s="76">
        <v>25.36</v>
      </c>
      <c r="F503" s="76" t="s">
        <v>172</v>
      </c>
      <c r="G503" s="76" t="s">
        <v>172</v>
      </c>
      <c r="H503" s="76" t="s">
        <v>172</v>
      </c>
      <c r="I503" s="76" t="s">
        <v>172</v>
      </c>
      <c r="J503" s="76" t="s">
        <v>172</v>
      </c>
      <c r="K503" s="76" t="s">
        <v>172</v>
      </c>
      <c r="L503" s="76" t="s">
        <v>172</v>
      </c>
      <c r="M503" s="76" t="s">
        <v>172</v>
      </c>
      <c r="N503" s="76" t="s">
        <v>172</v>
      </c>
      <c r="O503" s="76" t="s">
        <v>172</v>
      </c>
      <c r="P503" s="76" t="s">
        <v>172</v>
      </c>
      <c r="Q503" s="76" t="s">
        <v>172</v>
      </c>
      <c r="R503" s="76" t="s">
        <v>172</v>
      </c>
      <c r="S503" s="76" t="s">
        <v>172</v>
      </c>
      <c r="T503" s="76" t="s">
        <v>172</v>
      </c>
      <c r="U503" s="76" t="s">
        <v>172</v>
      </c>
      <c r="V503" s="76" t="s">
        <v>172</v>
      </c>
    </row>
    <row r="504" spans="1:22">
      <c r="A504" s="326" t="s">
        <v>8</v>
      </c>
      <c r="B504" s="159">
        <v>2532</v>
      </c>
      <c r="C504" s="76">
        <v>4.2000000000000003E-2</v>
      </c>
      <c r="D504" s="76">
        <v>0.129</v>
      </c>
      <c r="E504" s="76">
        <v>0.58399999999999996</v>
      </c>
      <c r="F504" s="76" t="s">
        <v>172</v>
      </c>
      <c r="G504" s="76" t="s">
        <v>172</v>
      </c>
      <c r="H504" s="76" t="s">
        <v>172</v>
      </c>
      <c r="I504" s="76" t="s">
        <v>172</v>
      </c>
      <c r="J504" s="76" t="s">
        <v>172</v>
      </c>
      <c r="K504" s="76" t="s">
        <v>172</v>
      </c>
      <c r="L504" s="76" t="s">
        <v>172</v>
      </c>
      <c r="M504" s="76" t="s">
        <v>172</v>
      </c>
      <c r="N504" s="76" t="s">
        <v>172</v>
      </c>
      <c r="O504" s="76" t="s">
        <v>172</v>
      </c>
      <c r="P504" s="76" t="s">
        <v>172</v>
      </c>
      <c r="Q504" s="76" t="s">
        <v>172</v>
      </c>
      <c r="R504" s="76" t="s">
        <v>172</v>
      </c>
      <c r="S504" s="76" t="s">
        <v>172</v>
      </c>
      <c r="T504" s="76" t="s">
        <v>172</v>
      </c>
      <c r="U504" s="76" t="s">
        <v>172</v>
      </c>
      <c r="V504" s="76" t="s">
        <v>172</v>
      </c>
    </row>
    <row r="505" spans="1:22">
      <c r="A505" s="326" t="s">
        <v>9</v>
      </c>
      <c r="B505" s="159">
        <v>2045</v>
      </c>
      <c r="C505" s="76">
        <v>2.0110000000000001</v>
      </c>
      <c r="D505" s="76">
        <v>5.4619999999999997</v>
      </c>
      <c r="E505" s="76">
        <v>7.742</v>
      </c>
      <c r="F505" s="76" t="s">
        <v>172</v>
      </c>
      <c r="G505" s="76" t="s">
        <v>172</v>
      </c>
      <c r="H505" s="76" t="s">
        <v>172</v>
      </c>
      <c r="I505" s="76" t="s">
        <v>172</v>
      </c>
      <c r="J505" s="76" t="s">
        <v>172</v>
      </c>
      <c r="K505" s="76" t="s">
        <v>172</v>
      </c>
      <c r="L505" s="76" t="s">
        <v>172</v>
      </c>
      <c r="M505" s="76" t="s">
        <v>172</v>
      </c>
      <c r="N505" s="76" t="s">
        <v>172</v>
      </c>
      <c r="O505" s="76" t="s">
        <v>172</v>
      </c>
      <c r="P505" s="76" t="s">
        <v>172</v>
      </c>
      <c r="Q505" s="76" t="s">
        <v>172</v>
      </c>
      <c r="R505" s="76" t="s">
        <v>172</v>
      </c>
      <c r="S505" s="76" t="s">
        <v>172</v>
      </c>
      <c r="T505" s="76" t="s">
        <v>172</v>
      </c>
      <c r="U505" s="76" t="s">
        <v>172</v>
      </c>
      <c r="V505" s="76" t="s">
        <v>172</v>
      </c>
    </row>
    <row r="506" spans="1:22">
      <c r="A506" s="326" t="s">
        <v>79</v>
      </c>
      <c r="B506" s="159">
        <v>4577</v>
      </c>
      <c r="C506" s="76">
        <v>0.89</v>
      </c>
      <c r="D506" s="76">
        <v>2.3809999999999998</v>
      </c>
      <c r="E506" s="76">
        <v>3.5579999999999998</v>
      </c>
      <c r="F506" s="76" t="s">
        <v>172</v>
      </c>
      <c r="G506" s="76" t="s">
        <v>172</v>
      </c>
      <c r="H506" s="76" t="s">
        <v>172</v>
      </c>
      <c r="I506" s="76" t="s">
        <v>172</v>
      </c>
      <c r="J506" s="76" t="s">
        <v>172</v>
      </c>
      <c r="K506" s="76" t="s">
        <v>172</v>
      </c>
      <c r="L506" s="76" t="s">
        <v>172</v>
      </c>
      <c r="M506" s="76" t="s">
        <v>172</v>
      </c>
      <c r="N506" s="76" t="s">
        <v>172</v>
      </c>
      <c r="O506" s="76" t="s">
        <v>172</v>
      </c>
      <c r="P506" s="76" t="s">
        <v>172</v>
      </c>
      <c r="Q506" s="76" t="s">
        <v>172</v>
      </c>
      <c r="R506" s="76" t="s">
        <v>172</v>
      </c>
      <c r="S506" s="76" t="s">
        <v>172</v>
      </c>
      <c r="T506" s="76" t="s">
        <v>172</v>
      </c>
      <c r="U506" s="76" t="s">
        <v>172</v>
      </c>
      <c r="V506" s="76" t="s">
        <v>172</v>
      </c>
    </row>
    <row r="507" spans="1:22">
      <c r="A507" s="326">
        <v>40909</v>
      </c>
      <c r="B507" s="327"/>
    </row>
    <row r="508" spans="1:22">
      <c r="A508" s="328" t="s">
        <v>0</v>
      </c>
      <c r="B508" s="329" t="s">
        <v>78</v>
      </c>
      <c r="C508" s="329">
        <v>1</v>
      </c>
      <c r="D508" s="329">
        <v>2</v>
      </c>
    </row>
    <row r="509" spans="1:22">
      <c r="A509" s="326" t="s">
        <v>1</v>
      </c>
      <c r="B509" s="159">
        <v>72</v>
      </c>
      <c r="C509" s="76">
        <v>0</v>
      </c>
      <c r="D509" s="76">
        <v>0</v>
      </c>
      <c r="E509" s="76" t="s">
        <v>172</v>
      </c>
      <c r="F509" s="76" t="s">
        <v>172</v>
      </c>
      <c r="G509" s="76" t="s">
        <v>172</v>
      </c>
      <c r="H509" s="76" t="s">
        <v>172</v>
      </c>
      <c r="I509" s="76" t="s">
        <v>172</v>
      </c>
      <c r="J509" s="76" t="s">
        <v>172</v>
      </c>
      <c r="K509" s="76" t="s">
        <v>172</v>
      </c>
      <c r="L509" s="76" t="s">
        <v>172</v>
      </c>
      <c r="M509" s="76" t="s">
        <v>172</v>
      </c>
      <c r="N509" s="76" t="s">
        <v>172</v>
      </c>
      <c r="O509" s="76" t="s">
        <v>172</v>
      </c>
      <c r="P509" s="76" t="s">
        <v>172</v>
      </c>
      <c r="Q509" s="76" t="s">
        <v>172</v>
      </c>
      <c r="R509" s="76" t="s">
        <v>172</v>
      </c>
      <c r="S509" s="76" t="s">
        <v>172</v>
      </c>
      <c r="T509" s="76" t="s">
        <v>172</v>
      </c>
      <c r="U509" s="76" t="s">
        <v>172</v>
      </c>
      <c r="V509" s="76" t="s">
        <v>172</v>
      </c>
    </row>
    <row r="510" spans="1:22">
      <c r="A510" s="326" t="s">
        <v>2</v>
      </c>
      <c r="B510" s="159">
        <v>294</v>
      </c>
      <c r="C510" s="76">
        <v>0</v>
      </c>
      <c r="D510" s="76">
        <v>0</v>
      </c>
      <c r="E510" s="76" t="s">
        <v>172</v>
      </c>
      <c r="F510" s="76" t="s">
        <v>172</v>
      </c>
      <c r="G510" s="76" t="s">
        <v>172</v>
      </c>
      <c r="H510" s="76" t="s">
        <v>172</v>
      </c>
      <c r="I510" s="76" t="s">
        <v>172</v>
      </c>
      <c r="J510" s="76" t="s">
        <v>172</v>
      </c>
      <c r="K510" s="76" t="s">
        <v>172</v>
      </c>
      <c r="L510" s="76" t="s">
        <v>172</v>
      </c>
      <c r="M510" s="76" t="s">
        <v>172</v>
      </c>
      <c r="N510" s="76" t="s">
        <v>172</v>
      </c>
      <c r="O510" s="76" t="s">
        <v>172</v>
      </c>
      <c r="P510" s="76" t="s">
        <v>172</v>
      </c>
      <c r="Q510" s="76" t="s">
        <v>172</v>
      </c>
      <c r="R510" s="76" t="s">
        <v>172</v>
      </c>
      <c r="S510" s="76" t="s">
        <v>172</v>
      </c>
      <c r="T510" s="76" t="s">
        <v>172</v>
      </c>
      <c r="U510" s="76" t="s">
        <v>172</v>
      </c>
      <c r="V510" s="76" t="s">
        <v>172</v>
      </c>
    </row>
    <row r="511" spans="1:22">
      <c r="A511" s="326" t="s">
        <v>3</v>
      </c>
      <c r="B511" s="159">
        <v>902</v>
      </c>
      <c r="C511" s="76">
        <v>0</v>
      </c>
      <c r="D511" s="76">
        <v>0</v>
      </c>
      <c r="E511" s="76" t="s">
        <v>172</v>
      </c>
      <c r="F511" s="76" t="s">
        <v>172</v>
      </c>
      <c r="G511" s="76" t="s">
        <v>172</v>
      </c>
      <c r="H511" s="76" t="s">
        <v>172</v>
      </c>
      <c r="I511" s="76" t="s">
        <v>172</v>
      </c>
      <c r="J511" s="76" t="s">
        <v>172</v>
      </c>
      <c r="K511" s="76" t="s">
        <v>172</v>
      </c>
      <c r="L511" s="76" t="s">
        <v>172</v>
      </c>
      <c r="M511" s="76" t="s">
        <v>172</v>
      </c>
      <c r="N511" s="76" t="s">
        <v>172</v>
      </c>
      <c r="O511" s="76" t="s">
        <v>172</v>
      </c>
      <c r="P511" s="76" t="s">
        <v>172</v>
      </c>
      <c r="Q511" s="76" t="s">
        <v>172</v>
      </c>
      <c r="R511" s="76" t="s">
        <v>172</v>
      </c>
      <c r="S511" s="76" t="s">
        <v>172</v>
      </c>
      <c r="T511" s="76" t="s">
        <v>172</v>
      </c>
      <c r="U511" s="76" t="s">
        <v>172</v>
      </c>
      <c r="V511" s="76" t="s">
        <v>172</v>
      </c>
    </row>
    <row r="512" spans="1:22">
      <c r="A512" s="326" t="s">
        <v>4</v>
      </c>
      <c r="B512" s="159">
        <v>1242</v>
      </c>
      <c r="C512" s="76">
        <v>8.4000000000000005E-2</v>
      </c>
      <c r="D512" s="76">
        <v>0.42799999999999999</v>
      </c>
      <c r="E512" s="76" t="s">
        <v>172</v>
      </c>
      <c r="F512" s="76" t="s">
        <v>172</v>
      </c>
      <c r="G512" s="76" t="s">
        <v>172</v>
      </c>
      <c r="H512" s="76" t="s">
        <v>172</v>
      </c>
      <c r="I512" s="76" t="s">
        <v>172</v>
      </c>
      <c r="J512" s="76" t="s">
        <v>172</v>
      </c>
      <c r="K512" s="76" t="s">
        <v>172</v>
      </c>
      <c r="L512" s="76" t="s">
        <v>172</v>
      </c>
      <c r="M512" s="76" t="s">
        <v>172</v>
      </c>
      <c r="N512" s="76" t="s">
        <v>172</v>
      </c>
      <c r="O512" s="76" t="s">
        <v>172</v>
      </c>
      <c r="P512" s="76" t="s">
        <v>172</v>
      </c>
      <c r="Q512" s="76" t="s">
        <v>172</v>
      </c>
      <c r="R512" s="76" t="s">
        <v>172</v>
      </c>
      <c r="S512" s="76" t="s">
        <v>172</v>
      </c>
      <c r="T512" s="76" t="s">
        <v>172</v>
      </c>
      <c r="U512" s="76" t="s">
        <v>172</v>
      </c>
      <c r="V512" s="76" t="s">
        <v>172</v>
      </c>
    </row>
    <row r="513" spans="1:22">
      <c r="A513" s="326" t="s">
        <v>5</v>
      </c>
      <c r="B513" s="159">
        <v>614</v>
      </c>
      <c r="C513" s="76">
        <v>0.17</v>
      </c>
      <c r="D513" s="76">
        <v>1.621</v>
      </c>
      <c r="E513" s="76" t="s">
        <v>172</v>
      </c>
      <c r="F513" s="76" t="s">
        <v>172</v>
      </c>
      <c r="G513" s="76" t="s">
        <v>172</v>
      </c>
      <c r="H513" s="76" t="s">
        <v>172</v>
      </c>
      <c r="I513" s="76" t="s">
        <v>172</v>
      </c>
      <c r="J513" s="76" t="s">
        <v>172</v>
      </c>
      <c r="K513" s="76" t="s">
        <v>172</v>
      </c>
      <c r="L513" s="76" t="s">
        <v>172</v>
      </c>
      <c r="M513" s="76" t="s">
        <v>172</v>
      </c>
      <c r="N513" s="76" t="s">
        <v>172</v>
      </c>
      <c r="O513" s="76" t="s">
        <v>172</v>
      </c>
      <c r="P513" s="76" t="s">
        <v>172</v>
      </c>
      <c r="Q513" s="76" t="s">
        <v>172</v>
      </c>
      <c r="R513" s="76" t="s">
        <v>172</v>
      </c>
      <c r="S513" s="76" t="s">
        <v>172</v>
      </c>
      <c r="T513" s="76" t="s">
        <v>172</v>
      </c>
      <c r="U513" s="76" t="s">
        <v>172</v>
      </c>
      <c r="V513" s="76" t="s">
        <v>172</v>
      </c>
    </row>
    <row r="514" spans="1:22">
      <c r="A514" s="326" t="s">
        <v>6</v>
      </c>
      <c r="B514" s="159">
        <v>1136</v>
      </c>
      <c r="C514" s="76">
        <v>0.48599999999999999</v>
      </c>
      <c r="D514" s="76">
        <v>1.5149999999999999</v>
      </c>
      <c r="E514" s="76" t="s">
        <v>172</v>
      </c>
      <c r="F514" s="76" t="s">
        <v>172</v>
      </c>
      <c r="G514" s="76" t="s">
        <v>172</v>
      </c>
      <c r="H514" s="76" t="s">
        <v>172</v>
      </c>
      <c r="I514" s="76" t="s">
        <v>172</v>
      </c>
      <c r="J514" s="76" t="s">
        <v>172</v>
      </c>
      <c r="K514" s="76" t="s">
        <v>172</v>
      </c>
      <c r="L514" s="76" t="s">
        <v>172</v>
      </c>
      <c r="M514" s="76" t="s">
        <v>172</v>
      </c>
      <c r="N514" s="76" t="s">
        <v>172</v>
      </c>
      <c r="O514" s="76" t="s">
        <v>172</v>
      </c>
      <c r="P514" s="76" t="s">
        <v>172</v>
      </c>
      <c r="Q514" s="76" t="s">
        <v>172</v>
      </c>
      <c r="R514" s="76" t="s">
        <v>172</v>
      </c>
      <c r="S514" s="76" t="s">
        <v>172</v>
      </c>
      <c r="T514" s="76" t="s">
        <v>172</v>
      </c>
      <c r="U514" s="76" t="s">
        <v>172</v>
      </c>
      <c r="V514" s="76" t="s">
        <v>172</v>
      </c>
    </row>
    <row r="515" spans="1:22">
      <c r="A515" s="326" t="s">
        <v>71</v>
      </c>
      <c r="B515" s="159">
        <v>508</v>
      </c>
      <c r="C515" s="76">
        <v>11.654</v>
      </c>
      <c r="D515" s="76">
        <v>19.536999999999999</v>
      </c>
      <c r="E515" s="76" t="s">
        <v>172</v>
      </c>
      <c r="F515" s="76" t="s">
        <v>172</v>
      </c>
      <c r="G515" s="76" t="s">
        <v>172</v>
      </c>
      <c r="H515" s="76" t="s">
        <v>172</v>
      </c>
      <c r="I515" s="76" t="s">
        <v>172</v>
      </c>
      <c r="J515" s="76" t="s">
        <v>172</v>
      </c>
      <c r="K515" s="76" t="s">
        <v>172</v>
      </c>
      <c r="L515" s="76" t="s">
        <v>172</v>
      </c>
      <c r="M515" s="76" t="s">
        <v>172</v>
      </c>
      <c r="N515" s="76" t="s">
        <v>172</v>
      </c>
      <c r="O515" s="76" t="s">
        <v>172</v>
      </c>
      <c r="P515" s="76" t="s">
        <v>172</v>
      </c>
      <c r="Q515" s="76" t="s">
        <v>172</v>
      </c>
      <c r="R515" s="76" t="s">
        <v>172</v>
      </c>
      <c r="S515" s="76" t="s">
        <v>172</v>
      </c>
      <c r="T515" s="76" t="s">
        <v>172</v>
      </c>
      <c r="U515" s="76" t="s">
        <v>172</v>
      </c>
      <c r="V515" s="76" t="s">
        <v>172</v>
      </c>
    </row>
    <row r="516" spans="1:22">
      <c r="A516" s="326" t="s">
        <v>8</v>
      </c>
      <c r="B516" s="159">
        <v>2510</v>
      </c>
      <c r="C516" s="76">
        <v>4.2000000000000003E-2</v>
      </c>
      <c r="D516" s="76">
        <v>0.21299999999999999</v>
      </c>
      <c r="E516" s="76" t="s">
        <v>172</v>
      </c>
      <c r="F516" s="76" t="s">
        <v>172</v>
      </c>
      <c r="G516" s="76" t="s">
        <v>172</v>
      </c>
      <c r="H516" s="76" t="s">
        <v>172</v>
      </c>
      <c r="I516" s="76" t="s">
        <v>172</v>
      </c>
      <c r="J516" s="76" t="s">
        <v>172</v>
      </c>
      <c r="K516" s="76" t="s">
        <v>172</v>
      </c>
      <c r="L516" s="76" t="s">
        <v>172</v>
      </c>
      <c r="M516" s="76" t="s">
        <v>172</v>
      </c>
      <c r="N516" s="76" t="s">
        <v>172</v>
      </c>
      <c r="O516" s="76" t="s">
        <v>172</v>
      </c>
      <c r="P516" s="76" t="s">
        <v>172</v>
      </c>
      <c r="Q516" s="76" t="s">
        <v>172</v>
      </c>
      <c r="R516" s="76" t="s">
        <v>172</v>
      </c>
      <c r="S516" s="76" t="s">
        <v>172</v>
      </c>
      <c r="T516" s="76" t="s">
        <v>172</v>
      </c>
      <c r="U516" s="76" t="s">
        <v>172</v>
      </c>
      <c r="V516" s="76" t="s">
        <v>172</v>
      </c>
    </row>
    <row r="517" spans="1:22">
      <c r="A517" s="326" t="s">
        <v>9</v>
      </c>
      <c r="B517" s="159">
        <v>2258</v>
      </c>
      <c r="C517" s="76">
        <v>2.915</v>
      </c>
      <c r="D517" s="76">
        <v>5.6070000000000002</v>
      </c>
      <c r="E517" s="76" t="s">
        <v>172</v>
      </c>
      <c r="F517" s="76" t="s">
        <v>172</v>
      </c>
      <c r="G517" s="76" t="s">
        <v>172</v>
      </c>
      <c r="H517" s="76" t="s">
        <v>172</v>
      </c>
      <c r="I517" s="76" t="s">
        <v>172</v>
      </c>
      <c r="J517" s="76" t="s">
        <v>172</v>
      </c>
      <c r="K517" s="76" t="s">
        <v>172</v>
      </c>
      <c r="L517" s="76" t="s">
        <v>172</v>
      </c>
      <c r="M517" s="76" t="s">
        <v>172</v>
      </c>
      <c r="N517" s="76" t="s">
        <v>172</v>
      </c>
      <c r="O517" s="76" t="s">
        <v>172</v>
      </c>
      <c r="P517" s="76" t="s">
        <v>172</v>
      </c>
      <c r="Q517" s="76" t="s">
        <v>172</v>
      </c>
      <c r="R517" s="76" t="s">
        <v>172</v>
      </c>
      <c r="S517" s="76" t="s">
        <v>172</v>
      </c>
      <c r="T517" s="76" t="s">
        <v>172</v>
      </c>
      <c r="U517" s="76" t="s">
        <v>172</v>
      </c>
      <c r="V517" s="76" t="s">
        <v>172</v>
      </c>
    </row>
    <row r="518" spans="1:22">
      <c r="A518" s="326" t="s">
        <v>79</v>
      </c>
      <c r="B518" s="159">
        <v>4768</v>
      </c>
      <c r="C518" s="76">
        <v>1.381</v>
      </c>
      <c r="D518" s="76">
        <v>2.669</v>
      </c>
      <c r="E518" s="76" t="s">
        <v>172</v>
      </c>
      <c r="F518" s="76" t="s">
        <v>172</v>
      </c>
      <c r="G518" s="76" t="s">
        <v>172</v>
      </c>
      <c r="H518" s="76" t="s">
        <v>172</v>
      </c>
      <c r="I518" s="76" t="s">
        <v>172</v>
      </c>
      <c r="J518" s="76" t="s">
        <v>172</v>
      </c>
      <c r="K518" s="76" t="s">
        <v>172</v>
      </c>
      <c r="L518" s="76" t="s">
        <v>172</v>
      </c>
      <c r="M518" s="76" t="s">
        <v>172</v>
      </c>
      <c r="N518" s="76" t="s">
        <v>172</v>
      </c>
      <c r="O518" s="76" t="s">
        <v>172</v>
      </c>
      <c r="P518" s="76" t="s">
        <v>172</v>
      </c>
      <c r="Q518" s="76" t="s">
        <v>172</v>
      </c>
      <c r="R518" s="76" t="s">
        <v>172</v>
      </c>
      <c r="S518" s="76" t="s">
        <v>172</v>
      </c>
      <c r="T518" s="76" t="s">
        <v>172</v>
      </c>
      <c r="U518" s="76" t="s">
        <v>172</v>
      </c>
      <c r="V518" s="76" t="s">
        <v>172</v>
      </c>
    </row>
    <row r="519" spans="1:22">
      <c r="A519" s="326">
        <v>41275</v>
      </c>
      <c r="B519" s="327"/>
    </row>
    <row r="520" spans="1:22">
      <c r="A520" s="328" t="s">
        <v>0</v>
      </c>
      <c r="B520" s="329" t="s">
        <v>78</v>
      </c>
      <c r="C520" s="329">
        <v>1</v>
      </c>
      <c r="E520" s="76"/>
      <c r="F520" s="76"/>
      <c r="G520" s="76"/>
      <c r="H520" s="76"/>
      <c r="I520" s="76"/>
      <c r="J520" s="76"/>
      <c r="K520" s="76"/>
      <c r="L520" s="76"/>
      <c r="M520" s="76"/>
      <c r="N520" s="76"/>
      <c r="O520" s="76"/>
      <c r="P520" s="76"/>
      <c r="Q520" s="76"/>
      <c r="R520" s="76"/>
      <c r="S520" s="76"/>
      <c r="T520" s="76"/>
      <c r="U520" s="76"/>
      <c r="V520" s="76"/>
    </row>
    <row r="521" spans="1:22">
      <c r="A521" s="326" t="s">
        <v>1</v>
      </c>
      <c r="B521" s="159">
        <v>51</v>
      </c>
      <c r="C521" s="76">
        <v>0</v>
      </c>
      <c r="D521" s="76" t="s">
        <v>172</v>
      </c>
      <c r="E521" s="76" t="s">
        <v>172</v>
      </c>
      <c r="F521" s="76" t="s">
        <v>172</v>
      </c>
      <c r="G521" s="76" t="s">
        <v>172</v>
      </c>
      <c r="H521" s="76" t="s">
        <v>172</v>
      </c>
      <c r="I521" s="76" t="s">
        <v>172</v>
      </c>
      <c r="J521" s="76" t="s">
        <v>172</v>
      </c>
      <c r="K521" s="76" t="s">
        <v>172</v>
      </c>
      <c r="L521" s="76" t="s">
        <v>172</v>
      </c>
      <c r="M521" s="76" t="s">
        <v>172</v>
      </c>
      <c r="N521" s="76" t="s">
        <v>172</v>
      </c>
      <c r="O521" s="76" t="s">
        <v>172</v>
      </c>
      <c r="P521" s="76" t="s">
        <v>172</v>
      </c>
      <c r="Q521" s="76" t="s">
        <v>172</v>
      </c>
      <c r="R521" s="76" t="s">
        <v>172</v>
      </c>
      <c r="S521" s="76" t="s">
        <v>172</v>
      </c>
      <c r="T521" s="76" t="s">
        <v>172</v>
      </c>
      <c r="U521" s="76" t="s">
        <v>172</v>
      </c>
      <c r="V521" s="76" t="s">
        <v>172</v>
      </c>
    </row>
    <row r="522" spans="1:22">
      <c r="A522" s="326" t="s">
        <v>2</v>
      </c>
      <c r="B522" s="159">
        <v>239</v>
      </c>
      <c r="C522" s="76">
        <v>0</v>
      </c>
      <c r="D522" s="76" t="s">
        <v>172</v>
      </c>
      <c r="E522" s="76" t="s">
        <v>172</v>
      </c>
      <c r="F522" s="76" t="s">
        <v>172</v>
      </c>
      <c r="G522" s="76" t="s">
        <v>172</v>
      </c>
      <c r="H522" s="76" t="s">
        <v>172</v>
      </c>
      <c r="I522" s="76" t="s">
        <v>172</v>
      </c>
      <c r="J522" s="76" t="s">
        <v>172</v>
      </c>
      <c r="K522" s="76" t="s">
        <v>172</v>
      </c>
      <c r="L522" s="76" t="s">
        <v>172</v>
      </c>
      <c r="M522" s="76" t="s">
        <v>172</v>
      </c>
      <c r="N522" s="76" t="s">
        <v>172</v>
      </c>
      <c r="O522" s="76" t="s">
        <v>172</v>
      </c>
      <c r="P522" s="76" t="s">
        <v>172</v>
      </c>
      <c r="Q522" s="76" t="s">
        <v>172</v>
      </c>
      <c r="R522" s="76" t="s">
        <v>172</v>
      </c>
      <c r="S522" s="76" t="s">
        <v>172</v>
      </c>
      <c r="T522" s="76" t="s">
        <v>172</v>
      </c>
      <c r="U522" s="76" t="s">
        <v>172</v>
      </c>
      <c r="V522" s="76" t="s">
        <v>172</v>
      </c>
    </row>
    <row r="523" spans="1:22">
      <c r="A523" s="326" t="s">
        <v>3</v>
      </c>
      <c r="B523" s="159">
        <v>849</v>
      </c>
      <c r="C523" s="76">
        <v>0</v>
      </c>
      <c r="D523" s="76" t="s">
        <v>172</v>
      </c>
      <c r="E523" s="76" t="s">
        <v>172</v>
      </c>
      <c r="F523" s="76" t="s">
        <v>172</v>
      </c>
      <c r="G523" s="76" t="s">
        <v>172</v>
      </c>
      <c r="H523" s="76" t="s">
        <v>172</v>
      </c>
      <c r="I523" s="76" t="s">
        <v>172</v>
      </c>
      <c r="J523" s="76" t="s">
        <v>172</v>
      </c>
      <c r="K523" s="76" t="s">
        <v>172</v>
      </c>
      <c r="L523" s="76" t="s">
        <v>172</v>
      </c>
      <c r="M523" s="76" t="s">
        <v>172</v>
      </c>
      <c r="N523" s="76" t="s">
        <v>172</v>
      </c>
      <c r="O523" s="76" t="s">
        <v>172</v>
      </c>
      <c r="P523" s="76" t="s">
        <v>172</v>
      </c>
      <c r="Q523" s="76" t="s">
        <v>172</v>
      </c>
      <c r="R523" s="76" t="s">
        <v>172</v>
      </c>
      <c r="S523" s="76" t="s">
        <v>172</v>
      </c>
      <c r="T523" s="76" t="s">
        <v>172</v>
      </c>
      <c r="U523" s="76" t="s">
        <v>172</v>
      </c>
      <c r="V523" s="76" t="s">
        <v>172</v>
      </c>
    </row>
    <row r="524" spans="1:22">
      <c r="A524" s="326" t="s">
        <v>4</v>
      </c>
      <c r="B524" s="159">
        <v>1431</v>
      </c>
      <c r="C524" s="76">
        <v>7.1999999999999995E-2</v>
      </c>
      <c r="D524" s="76" t="s">
        <v>172</v>
      </c>
      <c r="E524" s="10" t="s">
        <v>172</v>
      </c>
      <c r="F524" s="10" t="s">
        <v>172</v>
      </c>
      <c r="G524" s="10" t="s">
        <v>172</v>
      </c>
      <c r="H524" s="10" t="s">
        <v>172</v>
      </c>
      <c r="I524" s="10" t="s">
        <v>172</v>
      </c>
      <c r="J524" s="10" t="s">
        <v>172</v>
      </c>
      <c r="K524" s="10" t="s">
        <v>172</v>
      </c>
      <c r="L524" s="10" t="s">
        <v>172</v>
      </c>
      <c r="M524" s="10" t="s">
        <v>172</v>
      </c>
      <c r="N524" s="10" t="s">
        <v>172</v>
      </c>
      <c r="O524" s="10" t="s">
        <v>172</v>
      </c>
      <c r="P524" s="10" t="s">
        <v>172</v>
      </c>
      <c r="Q524" s="10" t="s">
        <v>172</v>
      </c>
      <c r="R524" s="10" t="s">
        <v>172</v>
      </c>
      <c r="S524" s="10" t="s">
        <v>172</v>
      </c>
      <c r="T524" s="10" t="s">
        <v>172</v>
      </c>
      <c r="U524" s="10" t="s">
        <v>172</v>
      </c>
      <c r="V524" s="10" t="s">
        <v>172</v>
      </c>
    </row>
    <row r="525" spans="1:22">
      <c r="A525" s="326" t="s">
        <v>5</v>
      </c>
      <c r="B525" s="159">
        <v>604</v>
      </c>
      <c r="C525" s="76">
        <v>0.52</v>
      </c>
      <c r="D525" s="76" t="s">
        <v>172</v>
      </c>
      <c r="E525" s="10" t="s">
        <v>172</v>
      </c>
      <c r="F525" s="10" t="s">
        <v>172</v>
      </c>
      <c r="G525" s="10" t="s">
        <v>172</v>
      </c>
      <c r="H525" s="10" t="s">
        <v>172</v>
      </c>
      <c r="I525" s="10" t="s">
        <v>172</v>
      </c>
      <c r="J525" s="10" t="s">
        <v>172</v>
      </c>
      <c r="K525" s="10" t="s">
        <v>172</v>
      </c>
      <c r="L525" s="10" t="s">
        <v>172</v>
      </c>
      <c r="M525" s="10" t="s">
        <v>172</v>
      </c>
      <c r="N525" s="10" t="s">
        <v>172</v>
      </c>
      <c r="O525" s="10" t="s">
        <v>172</v>
      </c>
      <c r="P525" s="10" t="s">
        <v>172</v>
      </c>
      <c r="Q525" s="10" t="s">
        <v>172</v>
      </c>
      <c r="R525" s="10" t="s">
        <v>172</v>
      </c>
      <c r="S525" s="10" t="s">
        <v>172</v>
      </c>
      <c r="T525" s="10" t="s">
        <v>172</v>
      </c>
      <c r="U525" s="10" t="s">
        <v>172</v>
      </c>
      <c r="V525" s="10" t="s">
        <v>172</v>
      </c>
    </row>
    <row r="526" spans="1:22">
      <c r="A526" s="326" t="s">
        <v>6</v>
      </c>
      <c r="B526" s="159">
        <v>1211</v>
      </c>
      <c r="C526" s="76">
        <v>0.89200000000000002</v>
      </c>
      <c r="D526" s="76" t="s">
        <v>172</v>
      </c>
      <c r="E526" s="10" t="s">
        <v>172</v>
      </c>
      <c r="F526" s="10" t="s">
        <v>172</v>
      </c>
      <c r="G526" s="10" t="s">
        <v>172</v>
      </c>
      <c r="H526" s="10" t="s">
        <v>172</v>
      </c>
      <c r="I526" s="10" t="s">
        <v>172</v>
      </c>
      <c r="J526" s="10" t="s">
        <v>172</v>
      </c>
      <c r="K526" s="10" t="s">
        <v>172</v>
      </c>
      <c r="L526" s="10" t="s">
        <v>172</v>
      </c>
      <c r="M526" s="10" t="s">
        <v>172</v>
      </c>
      <c r="N526" s="10" t="s">
        <v>172</v>
      </c>
      <c r="O526" s="10" t="s">
        <v>172</v>
      </c>
      <c r="P526" s="10" t="s">
        <v>172</v>
      </c>
      <c r="Q526" s="10" t="s">
        <v>172</v>
      </c>
      <c r="R526" s="10" t="s">
        <v>172</v>
      </c>
      <c r="S526" s="10" t="s">
        <v>172</v>
      </c>
      <c r="T526" s="10" t="s">
        <v>172</v>
      </c>
      <c r="U526" s="10" t="s">
        <v>172</v>
      </c>
      <c r="V526" s="10" t="s">
        <v>172</v>
      </c>
    </row>
    <row r="527" spans="1:22">
      <c r="A527" s="326" t="s">
        <v>71</v>
      </c>
      <c r="B527" s="159">
        <v>584</v>
      </c>
      <c r="C527" s="76">
        <v>9.5259999999999998</v>
      </c>
      <c r="D527" s="76" t="s">
        <v>172</v>
      </c>
      <c r="E527" s="10" t="s">
        <v>172</v>
      </c>
      <c r="F527" s="10" t="s">
        <v>172</v>
      </c>
      <c r="G527" s="10" t="s">
        <v>172</v>
      </c>
      <c r="H527" s="10" t="s">
        <v>172</v>
      </c>
      <c r="I527" s="10" t="s">
        <v>172</v>
      </c>
      <c r="J527" s="10" t="s">
        <v>172</v>
      </c>
      <c r="K527" s="10" t="s">
        <v>172</v>
      </c>
      <c r="L527" s="10" t="s">
        <v>172</v>
      </c>
      <c r="M527" s="10" t="s">
        <v>172</v>
      </c>
      <c r="N527" s="10" t="s">
        <v>172</v>
      </c>
      <c r="O527" s="10" t="s">
        <v>172</v>
      </c>
      <c r="P527" s="10" t="s">
        <v>172</v>
      </c>
      <c r="Q527" s="10" t="s">
        <v>172</v>
      </c>
      <c r="R527" s="10" t="s">
        <v>172</v>
      </c>
      <c r="S527" s="10" t="s">
        <v>172</v>
      </c>
      <c r="T527" s="10" t="s">
        <v>172</v>
      </c>
      <c r="U527" s="10" t="s">
        <v>172</v>
      </c>
      <c r="V527" s="10" t="s">
        <v>172</v>
      </c>
    </row>
    <row r="528" spans="1:22">
      <c r="A528" s="326" t="s">
        <v>8</v>
      </c>
      <c r="B528" s="159">
        <v>2570</v>
      </c>
      <c r="C528" s="76">
        <v>0.04</v>
      </c>
      <c r="D528" s="76" t="s">
        <v>172</v>
      </c>
      <c r="E528" s="10" t="s">
        <v>172</v>
      </c>
      <c r="F528" s="10" t="s">
        <v>172</v>
      </c>
      <c r="G528" s="10" t="s">
        <v>172</v>
      </c>
      <c r="H528" s="10" t="s">
        <v>172</v>
      </c>
      <c r="I528" s="10" t="s">
        <v>172</v>
      </c>
      <c r="J528" s="10" t="s">
        <v>172</v>
      </c>
      <c r="K528" s="10" t="s">
        <v>172</v>
      </c>
      <c r="L528" s="10" t="s">
        <v>172</v>
      </c>
      <c r="M528" s="10" t="s">
        <v>172</v>
      </c>
      <c r="N528" s="10" t="s">
        <v>172</v>
      </c>
      <c r="O528" s="10" t="s">
        <v>172</v>
      </c>
      <c r="P528" s="10" t="s">
        <v>172</v>
      </c>
      <c r="Q528" s="10" t="s">
        <v>172</v>
      </c>
      <c r="R528" s="10" t="s">
        <v>172</v>
      </c>
      <c r="S528" s="10" t="s">
        <v>172</v>
      </c>
      <c r="T528" s="10" t="s">
        <v>172</v>
      </c>
      <c r="U528" s="10" t="s">
        <v>172</v>
      </c>
      <c r="V528" s="10" t="s">
        <v>172</v>
      </c>
    </row>
    <row r="529" spans="1:22">
      <c r="A529" s="326" t="s">
        <v>9</v>
      </c>
      <c r="B529" s="159">
        <v>2399</v>
      </c>
      <c r="C529" s="76">
        <v>2.883</v>
      </c>
      <c r="D529" s="76" t="s">
        <v>172</v>
      </c>
      <c r="E529" s="10" t="s">
        <v>172</v>
      </c>
      <c r="F529" s="10" t="s">
        <v>172</v>
      </c>
      <c r="G529" s="10" t="s">
        <v>172</v>
      </c>
      <c r="H529" s="10" t="s">
        <v>172</v>
      </c>
      <c r="I529" s="10" t="s">
        <v>172</v>
      </c>
      <c r="J529" s="10" t="s">
        <v>172</v>
      </c>
      <c r="K529" s="10" t="s">
        <v>172</v>
      </c>
      <c r="L529" s="10" t="s">
        <v>172</v>
      </c>
      <c r="M529" s="10" t="s">
        <v>172</v>
      </c>
      <c r="N529" s="10" t="s">
        <v>172</v>
      </c>
      <c r="O529" s="10" t="s">
        <v>172</v>
      </c>
      <c r="P529" s="10" t="s">
        <v>172</v>
      </c>
      <c r="Q529" s="10" t="s">
        <v>172</v>
      </c>
      <c r="R529" s="10" t="s">
        <v>172</v>
      </c>
      <c r="S529" s="10" t="s">
        <v>172</v>
      </c>
      <c r="T529" s="10" t="s">
        <v>172</v>
      </c>
      <c r="U529" s="10" t="s">
        <v>172</v>
      </c>
      <c r="V529" s="10" t="s">
        <v>172</v>
      </c>
    </row>
    <row r="530" spans="1:22">
      <c r="A530" s="326" t="s">
        <v>79</v>
      </c>
      <c r="B530" s="159">
        <v>4969</v>
      </c>
      <c r="C530" s="76">
        <v>1.381</v>
      </c>
      <c r="D530" s="76" t="s">
        <v>172</v>
      </c>
      <c r="E530" s="10" t="s">
        <v>172</v>
      </c>
      <c r="F530" s="10" t="s">
        <v>172</v>
      </c>
      <c r="G530" s="10" t="s">
        <v>172</v>
      </c>
      <c r="H530" s="10" t="s">
        <v>172</v>
      </c>
      <c r="I530" s="10" t="s">
        <v>172</v>
      </c>
      <c r="J530" s="10" t="s">
        <v>172</v>
      </c>
      <c r="K530" s="10" t="s">
        <v>172</v>
      </c>
      <c r="L530" s="10" t="s">
        <v>172</v>
      </c>
      <c r="M530" s="10" t="s">
        <v>172</v>
      </c>
      <c r="N530" s="10" t="s">
        <v>172</v>
      </c>
      <c r="O530" s="10" t="s">
        <v>172</v>
      </c>
      <c r="P530" s="10" t="s">
        <v>172</v>
      </c>
      <c r="Q530" s="10" t="s">
        <v>172</v>
      </c>
      <c r="R530" s="10" t="s">
        <v>172</v>
      </c>
      <c r="S530" s="10" t="s">
        <v>172</v>
      </c>
      <c r="T530" s="10" t="s">
        <v>172</v>
      </c>
      <c r="U530" s="10" t="s">
        <v>172</v>
      </c>
      <c r="V530" s="10" t="s">
        <v>172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BF8D5F1F843544B3F7B68C076D6642" ma:contentTypeVersion="37" ma:contentTypeDescription="Create a new document." ma:contentTypeScope="" ma:versionID="6dc5e75517d527f16947ee6f9c24c8ba">
  <xsd:schema xmlns:xsd="http://www.w3.org/2001/XMLSchema" xmlns:xs="http://www.w3.org/2001/XMLSchema" xmlns:p="http://schemas.microsoft.com/office/2006/metadata/properties" xmlns:ns2="86bb3a02-7913-44b4-a699-a8906bc2a5d1" xmlns:ns3="1d73e120-e5e7-48c7-b055-d7ca56954a79" xmlns:ns4="5c105871-be5f-4da2-84ea-3e580d786b8b" xmlns:ns5="87f56a7c-8b61-4024-a01d-97c48fc86f3b" xmlns:ns6="4850caf7-898d-41a6-b7d2-efc9527a590d" targetNamespace="http://schemas.microsoft.com/office/2006/metadata/properties" ma:root="true" ma:fieldsID="81694f96069bd0f5298f6fb8fd4d174c" ns2:_="" ns3:_="" ns4:_="" ns5:_="" ns6:_="">
    <xsd:import namespace="86bb3a02-7913-44b4-a699-a8906bc2a5d1"/>
    <xsd:import namespace="1d73e120-e5e7-48c7-b055-d7ca56954a79"/>
    <xsd:import namespace="5c105871-be5f-4da2-84ea-3e580d786b8b"/>
    <xsd:import namespace="87f56a7c-8b61-4024-a01d-97c48fc86f3b"/>
    <xsd:import namespace="4850caf7-898d-41a6-b7d2-efc9527a590d"/>
    <xsd:element name="properties">
      <xsd:complexType>
        <xsd:sequence>
          <xsd:element name="documentManagement">
            <xsd:complexType>
              <xsd:all>
                <xsd:element ref="ns2:Identifier"/>
                <xsd:element ref="ns2:DocumentType" minOccurs="0"/>
                <xsd:element ref="ns2:DisplayDate" minOccurs="0"/>
                <xsd:element ref="ns2:OrgID" minOccurs="0"/>
                <xsd:element ref="ns3:Muid" minOccurs="0"/>
                <xsd:element ref="ns2:Coverage" minOccurs="0"/>
                <xsd:element ref="ns2:AnalystCity1" minOccurs="0"/>
                <xsd:element ref="ns2:AnalystCity2" minOccurs="0"/>
                <xsd:element ref="ns2:AnalystGroup1" minOccurs="0"/>
                <xsd:element ref="ns2:AnalystGroup2" minOccurs="0"/>
                <xsd:element ref="ns2:Creator" minOccurs="0"/>
                <xsd:element ref="ns2:Contributor" minOccurs="0"/>
                <xsd:element ref="ns2:AnalystTitle1" minOccurs="0"/>
                <xsd:element ref="ns2:AnalystTitle2" minOccurs="0"/>
                <xsd:element ref="ns2:AssetType" minOccurs="0"/>
                <xsd:element ref="ns2:BroadIndustry" minOccurs="0"/>
                <xsd:element ref="ns2:SpecificIndustry" minOccurs="0"/>
                <xsd:element ref="ns2:ByLineCity" minOccurs="0"/>
                <xsd:element ref="ns2:ResourceType" minOccurs="0"/>
                <xsd:element ref="ns2:Language" minOccurs="0"/>
                <xsd:element ref="ns2:Sector" minOccurs="0"/>
                <xsd:element ref="ns2:State" minOccurs="0"/>
                <xsd:element ref="ns2:Domicile" minOccurs="0"/>
                <xsd:element ref="ns3:Description0" minOccurs="0"/>
                <xsd:element ref="ns4:RelativePath" minOccurs="0"/>
                <xsd:element ref="ns4:IsIndexed" minOccurs="0"/>
                <xsd:element ref="ns5:SpecificBusinessLineCode" minOccurs="0"/>
                <xsd:element ref="ns5:PeerIndustryNumber" minOccurs="0"/>
                <xsd:element ref="ns6:TranslationOf" minOccurs="0"/>
                <xsd:element ref="ns6:OfficeID" minOccurs="0"/>
                <xsd:element ref="ns6:IsArchived" minOccurs="0"/>
                <xsd:element ref="ns6:ActionID" minOccurs="0"/>
                <xsd:element ref="ns6:DocumentOffice" minOccurs="0"/>
                <xsd:element ref="ns6:Related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bb3a02-7913-44b4-a699-a8906bc2a5d1" elementFormDefault="qualified">
    <xsd:import namespace="http://schemas.microsoft.com/office/2006/documentManagement/types"/>
    <xsd:import namespace="http://schemas.microsoft.com/office/infopath/2007/PartnerControls"/>
    <xsd:element name="Identifier" ma:index="2" ma:displayName="Identifier" ma:default="" ma:indexed="true" ma:internalName="Identifier">
      <xsd:simpleType>
        <xsd:restriction base="dms:Text">
          <xsd:maxLength value="255"/>
        </xsd:restriction>
      </xsd:simpleType>
    </xsd:element>
    <xsd:element name="DocumentType" ma:index="3" nillable="true" ma:displayName="DocumentType" ma:internalName="DocumentType">
      <xsd:simpleType>
        <xsd:restriction base="dms:Text">
          <xsd:maxLength value="255"/>
        </xsd:restriction>
      </xsd:simpleType>
    </xsd:element>
    <xsd:element name="DisplayDate" ma:index="4" nillable="true" ma:displayName="DisplayDate" ma:default="" ma:format="DateTime" ma:internalName="DisplayDate">
      <xsd:simpleType>
        <xsd:restriction base="dms:DateTime"/>
      </xsd:simpleType>
    </xsd:element>
    <xsd:element name="OrgID" ma:index="5" nillable="true" ma:displayName="OrgID" ma:internalName="OrgID">
      <xsd:simpleType>
        <xsd:restriction base="dms:Note">
          <xsd:maxLength value="255"/>
        </xsd:restriction>
      </xsd:simpleType>
    </xsd:element>
    <xsd:element name="Coverage" ma:index="7" nillable="true" ma:displayName="Coverage" ma:internalName="Coverage">
      <xsd:simpleType>
        <xsd:restriction base="dms:Text">
          <xsd:maxLength value="255"/>
        </xsd:restriction>
      </xsd:simpleType>
    </xsd:element>
    <xsd:element name="AnalystCity1" ma:index="8" nillable="true" ma:displayName="AnalystCity1" ma:internalName="AnalystCity1">
      <xsd:simpleType>
        <xsd:restriction base="dms:Text">
          <xsd:maxLength value="255"/>
        </xsd:restriction>
      </xsd:simpleType>
    </xsd:element>
    <xsd:element name="AnalystCity2" ma:index="9" nillable="true" ma:displayName="AnalystCity2" ma:internalName="AnalystCity2">
      <xsd:simpleType>
        <xsd:restriction base="dms:Text">
          <xsd:maxLength value="255"/>
        </xsd:restriction>
      </xsd:simpleType>
    </xsd:element>
    <xsd:element name="AnalystGroup1" ma:index="10" nillable="true" ma:displayName="AnalystGroup1" ma:internalName="AnalystGroup1">
      <xsd:simpleType>
        <xsd:restriction base="dms:Text">
          <xsd:maxLength value="255"/>
        </xsd:restriction>
      </xsd:simpleType>
    </xsd:element>
    <xsd:element name="AnalystGroup2" ma:index="11" nillable="true" ma:displayName="AnalystGroup2" ma:internalName="AnalystGroup2">
      <xsd:simpleType>
        <xsd:restriction base="dms:Text">
          <xsd:maxLength value="255"/>
        </xsd:restriction>
      </xsd:simpleType>
    </xsd:element>
    <xsd:element name="Creator" ma:index="12" nillable="true" ma:displayName="Creator" ma:internalName="Creator">
      <xsd:simpleType>
        <xsd:restriction base="dms:Text">
          <xsd:maxLength value="255"/>
        </xsd:restriction>
      </xsd:simpleType>
    </xsd:element>
    <xsd:element name="Contributor" ma:index="13" nillable="true" ma:displayName="Contributor" ma:internalName="Contributor">
      <xsd:simpleType>
        <xsd:restriction base="dms:Note">
          <xsd:maxLength value="255"/>
        </xsd:restriction>
      </xsd:simpleType>
    </xsd:element>
    <xsd:element name="AnalystTitle1" ma:index="14" nillable="true" ma:displayName="AnalystTitle1" ma:internalName="AnalystTitle1">
      <xsd:simpleType>
        <xsd:restriction base="dms:Text">
          <xsd:maxLength value="255"/>
        </xsd:restriction>
      </xsd:simpleType>
    </xsd:element>
    <xsd:element name="AnalystTitle2" ma:index="15" nillable="true" ma:displayName="AnalystTitle2" ma:internalName="AnalystTitle2">
      <xsd:simpleType>
        <xsd:restriction base="dms:Text">
          <xsd:maxLength value="255"/>
        </xsd:restriction>
      </xsd:simpleType>
    </xsd:element>
    <xsd:element name="AssetType" ma:index="16" nillable="true" ma:displayName="AssetType" ma:internalName="AssetType">
      <xsd:simpleType>
        <xsd:restriction base="dms:Note">
          <xsd:maxLength value="255"/>
        </xsd:restriction>
      </xsd:simpleType>
    </xsd:element>
    <xsd:element name="BroadIndustry" ma:index="17" nillable="true" ma:displayName="BroadIndustry" ma:internalName="BroadIndustry">
      <xsd:simpleType>
        <xsd:restriction base="dms:Note">
          <xsd:maxLength value="255"/>
        </xsd:restriction>
      </xsd:simpleType>
    </xsd:element>
    <xsd:element name="SpecificIndustry" ma:index="18" nillable="true" ma:displayName="SpecificIndustry" ma:internalName="SpecificIndustry">
      <xsd:simpleType>
        <xsd:restriction base="dms:Note">
          <xsd:maxLength value="255"/>
        </xsd:restriction>
      </xsd:simpleType>
    </xsd:element>
    <xsd:element name="ByLineCity" ma:index="19" nillable="true" ma:displayName="ByLineCity" ma:internalName="ByLineCity">
      <xsd:simpleType>
        <xsd:restriction base="dms:Text">
          <xsd:maxLength value="255"/>
        </xsd:restriction>
      </xsd:simpleType>
    </xsd:element>
    <xsd:element name="ResourceType" ma:index="20" nillable="true" ma:displayName="ResourceType" ma:internalName="ResourceType">
      <xsd:simpleType>
        <xsd:restriction base="dms:Text">
          <xsd:maxLength value="255"/>
        </xsd:restriction>
      </xsd:simpleType>
    </xsd:element>
    <xsd:element name="Language" ma:index="21" nillable="true" ma:displayName="Language" ma:internalName="Language">
      <xsd:simpleType>
        <xsd:restriction base="dms:Text">
          <xsd:maxLength value="255"/>
        </xsd:restriction>
      </xsd:simpleType>
    </xsd:element>
    <xsd:element name="Sector" ma:index="22" nillable="true" ma:displayName="Sector" ma:internalName="Sector">
      <xsd:simpleType>
        <xsd:restriction base="dms:Note">
          <xsd:maxLength value="255"/>
        </xsd:restriction>
      </xsd:simpleType>
    </xsd:element>
    <xsd:element name="State" ma:index="23" nillable="true" ma:displayName="State" ma:internalName="State">
      <xsd:simpleType>
        <xsd:restriction base="dms:Note">
          <xsd:maxLength value="255"/>
        </xsd:restriction>
      </xsd:simpleType>
    </xsd:element>
    <xsd:element name="Domicile" ma:index="24" nillable="true" ma:displayName="Domicile" ma:internalName="Domicil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d73e120-e5e7-48c7-b055-d7ca56954a79" elementFormDefault="qualified">
    <xsd:import namespace="http://schemas.microsoft.com/office/2006/documentManagement/types"/>
    <xsd:import namespace="http://schemas.microsoft.com/office/infopath/2007/PartnerControls"/>
    <xsd:element name="Muid" ma:index="6" nillable="true" ma:displayName="Muid" ma:internalName="Muid">
      <xsd:simpleType>
        <xsd:restriction base="dms:Note">
          <xsd:maxLength value="255"/>
        </xsd:restriction>
      </xsd:simpleType>
    </xsd:element>
    <xsd:element name="Description0" ma:index="26" nillable="true" ma:displayName="Description" ma:internalName="Description0">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105871-be5f-4da2-84ea-3e580d786b8b" elementFormDefault="qualified">
    <xsd:import namespace="http://schemas.microsoft.com/office/2006/documentManagement/types"/>
    <xsd:import namespace="http://schemas.microsoft.com/office/infopath/2007/PartnerControls"/>
    <xsd:element name="RelativePath" ma:index="27" nillable="true" ma:displayName="RelativePath" ma:description="Relative Path of individual research document in the doc library" ma:internalName="RelativePath">
      <xsd:simpleType>
        <xsd:restriction base="dms:Text">
          <xsd:maxLength value="255"/>
        </xsd:restriction>
      </xsd:simpleType>
    </xsd:element>
    <xsd:element name="IsIndexed" ma:index="28" nillable="true" ma:displayName="IsIndexed" ma:default="0" ma:description="Identifies whether the document is indexed by Endeca." ma:indexed="true" ma:internalName="IsIndex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7f56a7c-8b61-4024-a01d-97c48fc86f3b" elementFormDefault="qualified">
    <xsd:import namespace="http://schemas.microsoft.com/office/2006/documentManagement/types"/>
    <xsd:import namespace="http://schemas.microsoft.com/office/infopath/2007/PartnerControls"/>
    <xsd:element name="SpecificBusinessLineCode" ma:index="35" nillable="true" ma:displayName="SpecificBusinessLineCode" ma:internalName="SpecificBusinessLineCode">
      <xsd:simpleType>
        <xsd:restriction base="dms:Note">
          <xsd:maxLength value="255"/>
        </xsd:restriction>
      </xsd:simpleType>
    </xsd:element>
    <xsd:element name="PeerIndustryNumber" ma:index="36" nillable="true" ma:displayName="PeerIndustryNumber" ma:internalName="PeerIndustryNumber">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50caf7-898d-41a6-b7d2-efc9527a590d" elementFormDefault="qualified">
    <xsd:import namespace="http://schemas.microsoft.com/office/2006/documentManagement/types"/>
    <xsd:import namespace="http://schemas.microsoft.com/office/infopath/2007/PartnerControls"/>
    <xsd:element name="TranslationOf" ma:index="37" nillable="true" ma:displayName="TranslationOf" ma:internalName="TranslationOf">
      <xsd:simpleType>
        <xsd:restriction base="dms:Text">
          <xsd:maxLength value="255"/>
        </xsd:restriction>
      </xsd:simpleType>
    </xsd:element>
    <xsd:element name="OfficeID" ma:index="38" nillable="true" ma:displayName="OfficeID" ma:description="Identifies Rating Office ID" ma:internalName="OfficeID">
      <xsd:simpleType>
        <xsd:restriction base="dms:Text">
          <xsd:maxLength value="255"/>
        </xsd:restriction>
      </xsd:simpleType>
    </xsd:element>
    <xsd:element name="IsArchived" ma:index="39" nillable="true" ma:displayName="IsArchived" ma:default="0" ma:description="Archived Record" ma:internalName="IsArchived">
      <xsd:simpleType>
        <xsd:restriction base="dms:Boolean"/>
      </xsd:simpleType>
    </xsd:element>
    <xsd:element name="ActionID" ma:index="40" nillable="true" ma:displayName="ActionID" ma:internalName="ActionID">
      <xsd:simpleType>
        <xsd:restriction base="dms:Text">
          <xsd:maxLength value="255"/>
        </xsd:restriction>
      </xsd:simpleType>
    </xsd:element>
    <xsd:element name="DocumentOffice" ma:index="41" nillable="true" ma:displayName="DocumentOffice" ma:internalName="DocumentOffice">
      <xsd:simpleType>
        <xsd:restriction base="dms:Note">
          <xsd:maxLength value="255"/>
        </xsd:restriction>
      </xsd:simpleType>
    </xsd:element>
    <xsd:element name="RelatedData" ma:index="42" nillable="true" ma:displayName="RelatedData" ma:internalName="RelatedData">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2" ma:displayName="Content Type"/>
        <xsd:element ref="dc:title" minOccurs="0" maxOccurs="1" ma:index="1" ma:displayName="Title"/>
        <xsd:element ref="dc:subject" minOccurs="0" maxOccurs="1" ma:index="25" ma:displayName="Subject"/>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nalystCity1 xmlns="86bb3a02-7913-44b4-a699-a8906bc2a5d1" xsi:nil="true"/>
    <AnalystTitle1 xmlns="86bb3a02-7913-44b4-a699-a8906bc2a5d1" xsi:nil="true"/>
    <SpecificBusinessLineCode xmlns="87f56a7c-8b61-4024-a01d-97c48fc86f3b" xsi:nil="true"/>
    <Coverage xmlns="86bb3a02-7913-44b4-a699-a8906bc2a5d1" xsi:nil="true"/>
    <AnalystGroup2 xmlns="86bb3a02-7913-44b4-a699-a8906bc2a5d1" xsi:nil="true"/>
    <Language xmlns="86bb3a02-7913-44b4-a699-a8906bc2a5d1">eng</Language>
    <OfficeID xmlns="4850caf7-898d-41a6-b7d2-efc9527a590d" xsi:nil="true"/>
    <AnalystGroup1 xmlns="86bb3a02-7913-44b4-a699-a8906bc2a5d1" xsi:nil="true"/>
    <Contributor xmlns="86bb3a02-7913-44b4-a699-a8906bc2a5d1">Metz, Albert</Contributor>
    <BroadIndustry xmlns="86bb3a02-7913-44b4-a699-a8906bc2a5d1">FINANCE</BroadIndustry>
    <Muid xmlns="1d73e120-e5e7-48c7-b055-d7ca56954a79">PBC_166292</Muid>
    <AnalystTitle2 xmlns="86bb3a02-7913-44b4-a699-a8906bc2a5d1" xsi:nil="true"/>
    <TranslationOf xmlns="4850caf7-898d-41a6-b7d2-efc9527a590d" xsi:nil="true"/>
    <Creator xmlns="86bb3a02-7913-44b4-a699-a8906bc2a5d1">Ou, Sharon</Creator>
    <Sector xmlns="86bb3a02-7913-44b4-a699-a8906bc2a5d1" xsi:nil="true"/>
    <DisplayDate xmlns="86bb3a02-7913-44b4-a699-a8906bc2a5d1">2014-03-31T04:00:00+00:00</DisplayDate>
    <SpecificIndustry xmlns="86bb3a02-7913-44b4-a699-a8906bc2a5d1">MOODY'S GENERAL</SpecificIndustry>
    <IsIndexed xmlns="5c105871-be5f-4da2-84ea-3e580d786b8b">false</IsIndexed>
    <ByLineCity xmlns="86bb3a02-7913-44b4-a699-a8906bc2a5d1" xsi:nil="true"/>
    <AnalystCity2 xmlns="86bb3a02-7913-44b4-a699-a8906bc2a5d1" xsi:nil="true"/>
    <OrgID xmlns="86bb3a02-7913-44b4-a699-a8906bc2a5d1" xsi:nil="true"/>
    <Description0 xmlns="1d73e120-e5e7-48c7-b055-d7ca56954a79" xsi:nil="true"/>
    <IsArchived xmlns="4850caf7-898d-41a6-b7d2-efc9527a590d">false</IsArchived>
    <ResourceType xmlns="86bb3a02-7913-44b4-a699-a8906bc2a5d1">C</ResourceType>
    <AssetType xmlns="86bb3a02-7913-44b4-a699-a8906bc2a5d1" xsi:nil="true"/>
    <Domicile xmlns="86bb3a02-7913-44b4-a699-a8906bc2a5d1">Asia Pacific|Europe, Middle East &amp; Africa|Latin America &amp; Caribbean|North America|Emerging Markets</Domicile>
    <RelativePath xmlns="5c105871-be5f-4da2-84ea-3e580d786b8b">/2014/03/31/PBC_166292.xlsx</RelativePath>
    <PeerIndustryNumber xmlns="87f56a7c-8b61-4024-a01d-97c48fc86f3b" xsi:nil="true"/>
    <DocumentType xmlns="86bb3a02-7913-44b4-a699-a8906bc2a5d1">Default Report</DocumentType>
    <Identifier xmlns="86bb3a02-7913-44b4-a699-a8906bc2a5d1">PBC_166292</Identifier>
    <State xmlns="86bb3a02-7913-44b4-a699-a8906bc2a5d1" xsi:nil="true"/>
    <ActionID xmlns="4850caf7-898d-41a6-b7d2-efc9527a590d" xsi:nil="true"/>
    <DocumentOffice xmlns="4850caf7-898d-41a6-b7d2-efc9527a590d" xsi:nil="true"/>
    <RelatedData xmlns="4850caf7-898d-41a6-b7d2-efc9527a590d">PBC_165331</RelatedData>
  </documentManagement>
</p:properties>
</file>

<file path=customXml/itemProps1.xml><?xml version="1.0" encoding="utf-8"?>
<ds:datastoreItem xmlns:ds="http://schemas.openxmlformats.org/officeDocument/2006/customXml" ds:itemID="{F35DD437-A5FC-4FA9-BAD6-C87077CFEB89}">
  <ds:schemaRefs>
    <ds:schemaRef ds:uri="http://schemas.microsoft.com/sharepoint/v3/contenttype/forms"/>
  </ds:schemaRefs>
</ds:datastoreItem>
</file>

<file path=customXml/itemProps2.xml><?xml version="1.0" encoding="utf-8"?>
<ds:datastoreItem xmlns:ds="http://schemas.openxmlformats.org/officeDocument/2006/customXml" ds:itemID="{4C3F1B1D-3C08-4A96-A244-7BF37DF9B0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bb3a02-7913-44b4-a699-a8906bc2a5d1"/>
    <ds:schemaRef ds:uri="1d73e120-e5e7-48c7-b055-d7ca56954a79"/>
    <ds:schemaRef ds:uri="5c105871-be5f-4da2-84ea-3e580d786b8b"/>
    <ds:schemaRef ds:uri="87f56a7c-8b61-4024-a01d-97c48fc86f3b"/>
    <ds:schemaRef ds:uri="4850caf7-898d-41a6-b7d2-efc9527a59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C152AA-384D-4FD3-A717-094CD26FD6B2}">
  <ds:schemaRefs>
    <ds:schemaRef ds:uri="http://purl.org/dc/elements/1.1/"/>
    <ds:schemaRef ds:uri="87f56a7c-8b61-4024-a01d-97c48fc86f3b"/>
    <ds:schemaRef ds:uri="http://purl.org/dc/terms/"/>
    <ds:schemaRef ds:uri="http://schemas.microsoft.com/office/2006/documentManagement/types"/>
    <ds:schemaRef ds:uri="http://schemas.microsoft.com/office/infopath/2007/PartnerControls"/>
    <ds:schemaRef ds:uri="86bb3a02-7913-44b4-a699-a8906bc2a5d1"/>
    <ds:schemaRef ds:uri="1d73e120-e5e7-48c7-b055-d7ca56954a79"/>
    <ds:schemaRef ds:uri="http://www.w3.org/XML/1998/namespace"/>
    <ds:schemaRef ds:uri="http://schemas.openxmlformats.org/package/2006/metadata/core-properties"/>
    <ds:schemaRef ds:uri="http://purl.org/dc/dcmitype/"/>
    <ds:schemaRef ds:uri="4850caf7-898d-41a6-b7d2-efc9527a590d"/>
    <ds:schemaRef ds:uri="5c105871-be5f-4da2-84ea-3e580d786b8b"/>
    <ds:schemaRef ds:uri="http://schemas.microsoft.com/office/2006/metadata/properties"/>
  </ds:schemaRefs>
</ds:datastoreItem>
</file>

<file path=docProps/CustomMKOP.xml><?xml version="1.0" encoding="utf-8"?>
<Properties xmlns="http://schemas.openxmlformats.org/officeDocument/2006/custom-properties" xmlns:vt="http://schemas.openxmlformats.org/officeDocument/2006/docPropsVTypes">
  <property fmtid="{D5CDD505-2E9C-101B-9397-08002B2CF9AE}" pid="2" name="MKProdID">
    <vt:lpwstr>ZMOutlook</vt:lpwstr>
  </property>
  <property fmtid="{D5CDD505-2E9C-101B-9397-08002B2CF9AE}" pid="3" name="SizeBefore">
    <vt:lpwstr>375929</vt:lpwstr>
  </property>
  <property fmtid="{D5CDD505-2E9C-101B-9397-08002B2CF9AE}" pid="4" name="OptimizationTime">
    <vt:lpwstr>20170716_1451</vt:lpwstr>
  </property>
</Properties>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Title Page</vt:lpstr>
      <vt:lpstr>Table of 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'4'!_FilterDatabase</vt:lpstr>
    </vt:vector>
  </TitlesOfParts>
  <Company>Moody's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Default Study: Corporate Default and Recovery Rates, 1920-2013 - Excel data</dc:title>
  <dc:creator>chiud</dc:creator>
  <cp:lastModifiedBy>Yu Chiang Hu</cp:lastModifiedBy>
  <dcterms:created xsi:type="dcterms:W3CDTF">2013-01-15T22:53:24Z</dcterms:created>
  <dcterms:modified xsi:type="dcterms:W3CDTF">2014-07-01T06:04:36Z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0x010100C8BF8D5F1F843544B3F7B68C076D6642</vt:lpwstr>
  </property>
</Properties>
</file>