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rendra.sahu\Documents\"/>
    </mc:Choice>
  </mc:AlternateContent>
  <bookViews>
    <workbookView xWindow="0" yWindow="0" windowWidth="20496" windowHeight="7428" activeTab="1"/>
  </bookViews>
  <sheets>
    <sheet name="VARIABLES" sheetId="2" r:id="rId1"/>
    <sheet name="BASE" sheetId="1" r:id="rId2"/>
    <sheet name="ShortListing" sheetId="3" r:id="rId3"/>
    <sheet name="Reg_Machine" sheetId="5" r:id="rId4"/>
    <sheet name="Final_Models" sheetId="11" r:id="rId5"/>
    <sheet name="Combo_prep" sheetId="7" state="hidden" r:id="rId6"/>
    <sheet name="reg" sheetId="6" r:id="rId7"/>
  </sheets>
  <externalReferences>
    <externalReference r:id="rId8"/>
  </externalReferences>
  <definedNames>
    <definedName name="alpha">[1]TrendAnalysis!$H$10</definedName>
    <definedName name="Avg_Scaler">[1]FinalModel!$M$13</definedName>
    <definedName name="ct">[1]TrendAnalysis!$H$6</definedName>
    <definedName name="D_1">BASE!$B$4:$B$42</definedName>
    <definedName name="dr">[1]TrendAnalysis!$H$5</definedName>
    <definedName name="intercpt">[1]Calibration!$M$8</definedName>
    <definedName name="Scale">[1]RatingScale!$B$4:$D$24</definedName>
    <definedName name="slope">[1]Calibration!$M$9</definedName>
    <definedName name="V_1">BASE!$C$8:$C$42</definedName>
    <definedName name="V_10">BASE!$L$8:$L$42</definedName>
    <definedName name="V_11">BASE!$M$8:$M$42</definedName>
    <definedName name="V_12">BASE!$N$8:$N$42</definedName>
    <definedName name="V_13">BASE!$O$8:$O$42</definedName>
    <definedName name="V_14">BASE!$P$8:$P$42</definedName>
    <definedName name="V_15">BASE!$Q$8:$Q$42</definedName>
    <definedName name="V_16">BASE!$R$8:$R$42</definedName>
    <definedName name="V_17">BASE!$S$8:$S$42</definedName>
    <definedName name="V_18">BASE!$T$8:$T$42</definedName>
    <definedName name="V_19">BASE!$U$8:$U$42</definedName>
    <definedName name="V_2">BASE!$D$8:$D$42</definedName>
    <definedName name="V_20">BASE!$V$8:$V$42</definedName>
    <definedName name="V_21">BASE!$W$8:$W$42</definedName>
    <definedName name="V_22">BASE!$X$8:$X$42</definedName>
    <definedName name="V_23">BASE!$Y$8:$Y$42</definedName>
    <definedName name="V_24">BASE!$Z$8:$Z$42</definedName>
    <definedName name="V_25">BASE!$AA$8:$AA$42</definedName>
    <definedName name="V_26">BASE!$AB$8:$AB$42</definedName>
    <definedName name="V_27">BASE!$AC$8:$AC$42</definedName>
    <definedName name="V_28">BASE!$AD$8:$AD$42</definedName>
    <definedName name="V_29">BASE!$AE$8:$AE$42</definedName>
    <definedName name="V_3">BASE!$E$8:$E$42</definedName>
    <definedName name="V_30">BASE!$AF$8:$AF$42</definedName>
    <definedName name="V_31">BASE!$AG$8:$AG$42</definedName>
    <definedName name="V_32">BASE!$AH$8:$AH$42</definedName>
    <definedName name="V_33">BASE!$AI$8:$AI$42</definedName>
    <definedName name="V_34">BASE!$AJ$8:$AJ$42</definedName>
    <definedName name="V_35">BASE!$AK$8:$AK$42</definedName>
    <definedName name="V_36">BASE!$AL$8:$AL$42</definedName>
    <definedName name="V_37">BASE!$AM$8:$AM$42</definedName>
    <definedName name="V_38">BASE!$AN$8:$AN$42</definedName>
    <definedName name="V_39">BASE!$AO$8:$AO$42</definedName>
    <definedName name="V_4">BASE!$F$8:$F$42</definedName>
    <definedName name="V_40">BASE!$AP$8:$AP$42</definedName>
    <definedName name="V_41">BASE!$AQ$8:$AQ$42</definedName>
    <definedName name="V_42">BASE!$AR$8:$AR$42</definedName>
    <definedName name="V_43">BASE!$AS$8:$AS$42</definedName>
    <definedName name="V_5">BASE!$G$8:$G$42</definedName>
    <definedName name="V_6">BASE!$H$8:$H$42</definedName>
    <definedName name="V_7">BASE!$I$8:$I$42</definedName>
    <definedName name="V_8">BASE!$J$8:$J$42</definedName>
    <definedName name="V_9">BASE!$K$8:$K$42</definedName>
    <definedName name="Y1_Scaler">[1]FinalModel!$M$8</definedName>
    <definedName name="Y2_Scaler">[1]FinalModel!$M$9</definedName>
    <definedName name="Y3_Scaler">[1]FinalModel!$M$10</definedName>
    <definedName name="Y4_Scaler">[1]FinalModel!$M$11</definedName>
    <definedName name="Y5_Scaler">[1]FinalModel!$M$12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7" i="1" l="1"/>
  <c r="L6" i="1"/>
  <c r="L5" i="1"/>
  <c r="L4" i="1"/>
  <c r="C4" i="3"/>
  <c r="C6" i="3"/>
  <c r="C3" i="3"/>
  <c r="B5" i="5" l="1"/>
  <c r="E6" i="5" l="1"/>
  <c r="B6" i="5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P19" i="5" l="1"/>
  <c r="I19" i="5"/>
  <c r="D6" i="5"/>
  <c r="D7" i="5" s="1"/>
  <c r="D8" i="5" s="1"/>
  <c r="D9" i="5" s="1"/>
  <c r="D10" i="5" s="1"/>
  <c r="D11" i="5" s="1"/>
  <c r="D12" i="5" s="1"/>
  <c r="D13" i="5" s="1"/>
  <c r="D14" i="5" s="1"/>
  <c r="D15" i="5" s="1"/>
  <c r="D16" i="5" s="1"/>
  <c r="D17" i="5" s="1"/>
  <c r="D18" i="5" s="1"/>
  <c r="D19" i="5" s="1"/>
  <c r="D20" i="5" s="1"/>
  <c r="D21" i="5" s="1"/>
  <c r="D22" i="5" s="1"/>
  <c r="D23" i="5" s="1"/>
  <c r="D24" i="5" s="1"/>
  <c r="D25" i="5" s="1"/>
  <c r="D26" i="5" s="1"/>
  <c r="D27" i="5" s="1"/>
  <c r="D28" i="5" s="1"/>
  <c r="D29" i="5" s="1"/>
  <c r="D30" i="5" s="1"/>
  <c r="D31" i="5" s="1"/>
  <c r="D32" i="5" s="1"/>
  <c r="D33" i="5" s="1"/>
  <c r="D34" i="5" s="1"/>
  <c r="D35" i="5" s="1"/>
  <c r="D36" i="5" s="1"/>
  <c r="D37" i="5" s="1"/>
  <c r="D38" i="5" s="1"/>
  <c r="D39" i="5" s="1"/>
  <c r="D40" i="5" s="1"/>
  <c r="D41" i="5" s="1"/>
  <c r="D42" i="5" s="1"/>
  <c r="D43" i="5" s="1"/>
  <c r="D44" i="5" s="1"/>
  <c r="E7" i="5"/>
  <c r="E8" i="5" s="1"/>
  <c r="E9" i="5" s="1"/>
  <c r="E10" i="5" s="1"/>
  <c r="E11" i="5" s="1"/>
  <c r="E12" i="5" s="1"/>
  <c r="E13" i="5" s="1"/>
  <c r="E14" i="5" s="1"/>
  <c r="E15" i="5" s="1"/>
  <c r="E16" i="5" s="1"/>
  <c r="E17" i="5" s="1"/>
  <c r="E18" i="5" s="1"/>
  <c r="E19" i="5" s="1"/>
  <c r="E20" i="5" s="1"/>
  <c r="E21" i="5" s="1"/>
  <c r="E22" i="5" s="1"/>
  <c r="E23" i="5" s="1"/>
  <c r="E24" i="5" s="1"/>
  <c r="E25" i="5" s="1"/>
  <c r="E26" i="5" s="1"/>
  <c r="E27" i="5" s="1"/>
  <c r="E28" i="5" s="1"/>
  <c r="E29" i="5" s="1"/>
  <c r="E30" i="5" s="1"/>
  <c r="E31" i="5" s="1"/>
  <c r="E32" i="5" s="1"/>
  <c r="E33" i="5" s="1"/>
  <c r="E34" i="5" s="1"/>
  <c r="E35" i="5" s="1"/>
  <c r="E36" i="5" s="1"/>
  <c r="E37" i="5" s="1"/>
  <c r="E38" i="5" s="1"/>
  <c r="E39" i="5" s="1"/>
  <c r="E40" i="5" s="1"/>
  <c r="E41" i="5" s="1"/>
  <c r="E42" i="5" s="1"/>
  <c r="E43" i="5" s="1"/>
  <c r="E44" i="5" s="1"/>
  <c r="F6" i="5"/>
  <c r="F7" i="5" s="1"/>
  <c r="F8" i="5" s="1"/>
  <c r="F9" i="5" s="1"/>
  <c r="F10" i="5" s="1"/>
  <c r="F11" i="5" s="1"/>
  <c r="F12" i="5" s="1"/>
  <c r="F13" i="5" s="1"/>
  <c r="F14" i="5" s="1"/>
  <c r="F15" i="5" s="1"/>
  <c r="F16" i="5" s="1"/>
  <c r="F17" i="5" s="1"/>
  <c r="F18" i="5" s="1"/>
  <c r="F19" i="5" s="1"/>
  <c r="F20" i="5" s="1"/>
  <c r="F21" i="5" s="1"/>
  <c r="F22" i="5" s="1"/>
  <c r="F23" i="5" s="1"/>
  <c r="F24" i="5" s="1"/>
  <c r="F25" i="5" s="1"/>
  <c r="F26" i="5" s="1"/>
  <c r="F27" i="5" s="1"/>
  <c r="F28" i="5" s="1"/>
  <c r="F29" i="5" s="1"/>
  <c r="F30" i="5" s="1"/>
  <c r="F31" i="5" s="1"/>
  <c r="F32" i="5" s="1"/>
  <c r="F33" i="5" s="1"/>
  <c r="F34" i="5" s="1"/>
  <c r="F35" i="5" s="1"/>
  <c r="F36" i="5" s="1"/>
  <c r="F37" i="5" s="1"/>
  <c r="F38" i="5" s="1"/>
  <c r="F39" i="5" s="1"/>
  <c r="F40" i="5" s="1"/>
  <c r="F41" i="5" s="1"/>
  <c r="F42" i="5" s="1"/>
  <c r="F43" i="5" s="1"/>
  <c r="F44" i="5" s="1"/>
  <c r="C6" i="5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P6" i="5" l="1"/>
  <c r="R6" i="5" s="1"/>
  <c r="P7" i="5"/>
  <c r="R7" i="5" s="1"/>
  <c r="P8" i="5"/>
  <c r="R8" i="5" s="1"/>
  <c r="P9" i="5"/>
  <c r="R9" i="5" s="1"/>
  <c r="P10" i="5"/>
  <c r="R10" i="5" s="1"/>
  <c r="P11" i="5"/>
  <c r="R11" i="5" s="1"/>
  <c r="P12" i="5"/>
  <c r="R12" i="5" s="1"/>
  <c r="P13" i="5"/>
  <c r="R13" i="5" s="1"/>
  <c r="P14" i="5"/>
  <c r="R14" i="5" s="1"/>
  <c r="P15" i="5"/>
  <c r="R15" i="5" s="1"/>
  <c r="P16" i="5"/>
  <c r="R16" i="5" s="1"/>
  <c r="P17" i="5"/>
  <c r="R17" i="5" s="1"/>
  <c r="P18" i="5"/>
  <c r="R18" i="5" s="1"/>
  <c r="R19" i="5"/>
  <c r="I21" i="5" l="1"/>
  <c r="O7" i="5" l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C40" i="3"/>
  <c r="C8" i="3"/>
  <c r="C25" i="3"/>
  <c r="C2" i="3"/>
  <c r="C7" i="3"/>
  <c r="C11" i="3"/>
  <c r="C33" i="3"/>
  <c r="C5" i="3"/>
  <c r="C35" i="3"/>
  <c r="C34" i="3"/>
  <c r="C36" i="3"/>
  <c r="C39" i="3"/>
  <c r="C43" i="3"/>
  <c r="C42" i="3"/>
  <c r="C38" i="3"/>
  <c r="C12" i="3"/>
  <c r="C23" i="3"/>
  <c r="C45" i="3"/>
  <c r="C41" i="3"/>
  <c r="C16" i="3"/>
  <c r="C31" i="3"/>
  <c r="C30" i="3"/>
  <c r="C21" i="3"/>
  <c r="C24" i="3"/>
  <c r="C22" i="3"/>
  <c r="C19" i="3"/>
  <c r="C32" i="3"/>
  <c r="C15" i="3"/>
  <c r="C9" i="3"/>
  <c r="C17" i="3"/>
  <c r="C28" i="3"/>
  <c r="C26" i="3"/>
  <c r="C20" i="3"/>
  <c r="C37" i="3"/>
  <c r="C18" i="3"/>
  <c r="C13" i="3"/>
  <c r="C29" i="3"/>
  <c r="C10" i="3"/>
  <c r="C27" i="3"/>
  <c r="C14" i="3"/>
  <c r="C44" i="3"/>
  <c r="D34" i="3" l="1"/>
  <c r="D29" i="3"/>
  <c r="D36" i="3"/>
  <c r="D28" i="3"/>
  <c r="D15" i="3"/>
  <c r="D7" i="3"/>
  <c r="D37" i="3"/>
  <c r="D18" i="3"/>
  <c r="D41" i="3"/>
  <c r="D13" i="3"/>
  <c r="D6" i="3"/>
  <c r="D21" i="3"/>
  <c r="D39" i="3"/>
  <c r="D11" i="3"/>
  <c r="D4" i="3"/>
  <c r="D38" i="3"/>
  <c r="D45" i="3"/>
  <c r="D10" i="3"/>
  <c r="D30" i="3"/>
  <c r="D25" i="3"/>
  <c r="D42" i="3"/>
  <c r="D9" i="3"/>
  <c r="D17" i="3"/>
  <c r="D20" i="3"/>
  <c r="D3" i="3"/>
  <c r="D32" i="3"/>
  <c r="D14" i="3"/>
  <c r="D31" i="3"/>
  <c r="D35" i="3"/>
  <c r="D8" i="3"/>
  <c r="D19" i="3"/>
  <c r="D16" i="3"/>
  <c r="D23" i="3"/>
  <c r="D44" i="3"/>
  <c r="D40" i="3"/>
  <c r="D5" i="3"/>
  <c r="D27" i="3"/>
  <c r="D26" i="3"/>
  <c r="D24" i="3"/>
  <c r="D22" i="3"/>
  <c r="D43" i="3"/>
  <c r="D33" i="3"/>
  <c r="D12" i="3"/>
  <c r="D2" i="3"/>
</calcChain>
</file>

<file path=xl/sharedStrings.xml><?xml version="1.0" encoding="utf-8"?>
<sst xmlns="http://schemas.openxmlformats.org/spreadsheetml/2006/main" count="695" uniqueCount="277">
  <si>
    <t>Qtr</t>
  </si>
  <si>
    <t>WPI BASE</t>
  </si>
  <si>
    <t>Bank Credit_Non-Food</t>
  </si>
  <si>
    <t>Bank Credit_Tourism, Hotels, Restaurants</t>
  </si>
  <si>
    <t>Bank Credit_Retail</t>
  </si>
  <si>
    <t>Bank Credit_Consumer Durables</t>
  </si>
  <si>
    <t>Repo Rate</t>
  </si>
  <si>
    <t>Total Exports (USD mm)</t>
  </si>
  <si>
    <t>Total Imports(USD mm)</t>
  </si>
  <si>
    <t>Forex Reserve (USD mm)</t>
  </si>
  <si>
    <t>Import Cover</t>
  </si>
  <si>
    <t>Real GDP Growth rate</t>
  </si>
  <si>
    <t xml:space="preserve">Real GDP growth (US) </t>
  </si>
  <si>
    <t>Nominal GDP growth (US)</t>
  </si>
  <si>
    <t>Euro area real GDP growth (% change)</t>
  </si>
  <si>
    <t>U.K. real GDP growth</t>
  </si>
  <si>
    <t>Gross Fiscal Deficit to GDP Ratio (Centre)</t>
  </si>
  <si>
    <t>Gross Fiscal Deficit to GDP Ratio (Centre + State)</t>
  </si>
  <si>
    <t>Revenue Deficit as % of GDP (Centre)</t>
  </si>
  <si>
    <t>Revenue Deficit as % of GDP (Centre + State)</t>
  </si>
  <si>
    <t>Trade Deficit (Rs. Bn)</t>
  </si>
  <si>
    <t>Banking System-Gross NPA</t>
  </si>
  <si>
    <t>NPA as Percentage of Gross Advances</t>
  </si>
  <si>
    <t>Banking System-Net NPA</t>
  </si>
  <si>
    <t>Net NPA as percentrage of net advances</t>
  </si>
  <si>
    <t>Merchandise Export to GDP Ratio</t>
  </si>
  <si>
    <t>Non-Oil Imports</t>
  </si>
  <si>
    <t>GDP Per Capita in USD</t>
  </si>
  <si>
    <t>Current account balance (BoP, current US$)</t>
  </si>
  <si>
    <t>Current account balance (% of GDP)</t>
  </si>
  <si>
    <t>Merchandise exports (current US$)</t>
  </si>
  <si>
    <t>Gross domestic Product (at current market Price)</t>
  </si>
  <si>
    <t>Merchandise Exports as a % of Exports</t>
  </si>
  <si>
    <t>Gross capital formation (current US$)</t>
  </si>
  <si>
    <t>Gross capital formation (annual % growth)</t>
  </si>
  <si>
    <t>Gross capital formation (% of GDP)</t>
  </si>
  <si>
    <t>Household final consumption expenditure, etc. (current US$)</t>
  </si>
  <si>
    <t>Household final consumption expenditure, etc. (annual % growth)</t>
  </si>
  <si>
    <t>Household final consumption expenditure, etc. (% of GDP)</t>
  </si>
  <si>
    <t>DJIA (Closing Price</t>
  </si>
  <si>
    <t>NIFTY</t>
  </si>
  <si>
    <t>INR/USD</t>
  </si>
  <si>
    <t>INR/GBP</t>
  </si>
  <si>
    <t>INR/EUR</t>
  </si>
  <si>
    <t>Q22007</t>
  </si>
  <si>
    <t>Q32007</t>
  </si>
  <si>
    <t>Q42007</t>
  </si>
  <si>
    <t>Q12008</t>
  </si>
  <si>
    <t>Q22008</t>
  </si>
  <si>
    <t>Q32008</t>
  </si>
  <si>
    <t>Q42008</t>
  </si>
  <si>
    <t>Q12009</t>
  </si>
  <si>
    <t>Q22009</t>
  </si>
  <si>
    <t>Q32009</t>
  </si>
  <si>
    <t>Q42009</t>
  </si>
  <si>
    <t>Q12010</t>
  </si>
  <si>
    <t>Q22010</t>
  </si>
  <si>
    <t>Q32010</t>
  </si>
  <si>
    <t>Q42010</t>
  </si>
  <si>
    <t>Q12011</t>
  </si>
  <si>
    <t>Q22011</t>
  </si>
  <si>
    <t>Q32011</t>
  </si>
  <si>
    <t>Q42011</t>
  </si>
  <si>
    <t>Q12012</t>
  </si>
  <si>
    <t>Q22012</t>
  </si>
  <si>
    <t>Q32012</t>
  </si>
  <si>
    <t>Q42012</t>
  </si>
  <si>
    <t>Q12013</t>
  </si>
  <si>
    <t>Q22013</t>
  </si>
  <si>
    <t>Q32013</t>
  </si>
  <si>
    <t>Q42013</t>
  </si>
  <si>
    <t>Q12014</t>
  </si>
  <si>
    <t>Q22014</t>
  </si>
  <si>
    <t>Q32014</t>
  </si>
  <si>
    <t>Q42014</t>
  </si>
  <si>
    <t>Q12015</t>
  </si>
  <si>
    <t>Q22015</t>
  </si>
  <si>
    <t>Q32015</t>
  </si>
  <si>
    <t>Q42015</t>
  </si>
  <si>
    <t>Q12016</t>
  </si>
  <si>
    <t>Q22016</t>
  </si>
  <si>
    <t>Q32016</t>
  </si>
  <si>
    <t>Q42016</t>
  </si>
  <si>
    <t>WPI</t>
  </si>
  <si>
    <t>BC_NONFOOD</t>
  </si>
  <si>
    <t>BC_CONSUMERDURABLES</t>
  </si>
  <si>
    <t>BC_TOURISM</t>
  </si>
  <si>
    <t>BC_RETAIL</t>
  </si>
  <si>
    <t>DJIA</t>
  </si>
  <si>
    <t>REPO</t>
  </si>
  <si>
    <t>EXPORTS</t>
  </si>
  <si>
    <t>IMPORTS</t>
  </si>
  <si>
    <t>IMPORT_COVER</t>
  </si>
  <si>
    <t>REAL_GDP_GROWTH</t>
  </si>
  <si>
    <t>NGDP_GRATE</t>
  </si>
  <si>
    <t>REAL_GDP_GRRATE</t>
  </si>
  <si>
    <t>EURO_GDP_GROWTH</t>
  </si>
  <si>
    <t>UK_GDP_GROWTH</t>
  </si>
  <si>
    <t>FD_CENTRE_TO_GDP</t>
  </si>
  <si>
    <t>FD_C_STATE_TO_GDP</t>
  </si>
  <si>
    <t>RD_CERNTRE_TO_GDP</t>
  </si>
  <si>
    <t>RD_C_STATE_TO_GDP</t>
  </si>
  <si>
    <t>TRADE_DEFICIT</t>
  </si>
  <si>
    <t>GROSS_BANKING_NPA</t>
  </si>
  <si>
    <t>NPA_TO_G_ADVANCES</t>
  </si>
  <si>
    <t>NET_BANKING_NPA</t>
  </si>
  <si>
    <t>NPA_TO_N_ADVANCES</t>
  </si>
  <si>
    <t>M_EXPORTS_TO_GDP</t>
  </si>
  <si>
    <t>NON_OIL_IMPORTS</t>
  </si>
  <si>
    <t>GDP_PER_CAPITA</t>
  </si>
  <si>
    <t>CACCOUNT_BAL</t>
  </si>
  <si>
    <t>CACCOUNT_BAL_TO_GDP</t>
  </si>
  <si>
    <t>M_EXPORTS</t>
  </si>
  <si>
    <t>GDP_MP</t>
  </si>
  <si>
    <t>M_EXPORTS_TO_EXPORTS</t>
  </si>
  <si>
    <t>CAP_FORMATION</t>
  </si>
  <si>
    <t>CAP_FORMATION_GRATE</t>
  </si>
  <si>
    <t>CAP_FORMATION_TO_GDP</t>
  </si>
  <si>
    <t>CONSUMPTION_EXP</t>
  </si>
  <si>
    <t>CONSUMPTION_EXP_GRATE</t>
  </si>
  <si>
    <t>CONSUMPTION_EXP_TO_GDP</t>
  </si>
  <si>
    <t>FOREX_USD</t>
  </si>
  <si>
    <t>FOREX_RESERVES</t>
  </si>
  <si>
    <t>FOREX_GBP</t>
  </si>
  <si>
    <t>FOREX_EUR</t>
  </si>
  <si>
    <t>QTR</t>
  </si>
  <si>
    <t>VARIABLE NAME</t>
  </si>
  <si>
    <t>ALIAS</t>
  </si>
  <si>
    <t>TYPE</t>
  </si>
  <si>
    <t>DEPENDENT</t>
  </si>
  <si>
    <t>INDEPENDENT</t>
  </si>
  <si>
    <t>ABBV.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</si>
  <si>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</si>
  <si>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</si>
  <si>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</si>
  <si>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</si>
  <si>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</si>
  <si>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</si>
  <si>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</si>
  <si>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</si>
  <si>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</si>
  <si>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</si>
  <si>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</si>
  <si>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</si>
  <si>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</si>
  <si>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</si>
  <si>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</si>
  <si>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</si>
  <si>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</si>
  <si>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</si>
  <si>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</si>
  <si>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</si>
  <si>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</si>
  <si>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</si>
  <si>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</si>
  <si>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</si>
  <si>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</si>
  <si>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</si>
  <si>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</si>
  <si>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</si>
  <si>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</si>
  <si>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</si>
  <si>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</si>
  <si>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</si>
  <si>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</si>
  <si>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</si>
  <si>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</si>
  <si>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</si>
  <si>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</si>
  <si>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</si>
  <si>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</si>
  <si>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</si>
  <si>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</si>
  <si>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</si>
  <si>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</si>
  <si>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V_1</t>
  </si>
  <si>
    <t>V_2</t>
  </si>
  <si>
    <t>V_3</t>
  </si>
  <si>
    <t>V_4</t>
  </si>
  <si>
    <t>V_5</t>
  </si>
  <si>
    <t>V_6</t>
  </si>
  <si>
    <t>V_7</t>
  </si>
  <si>
    <t>V_8</t>
  </si>
  <si>
    <t>V_9</t>
  </si>
  <si>
    <t>V_10</t>
  </si>
  <si>
    <t>V_11</t>
  </si>
  <si>
    <t>V_12</t>
  </si>
  <si>
    <t>V_13</t>
  </si>
  <si>
    <t>V_14</t>
  </si>
  <si>
    <t>V_15</t>
  </si>
  <si>
    <t>V_16</t>
  </si>
  <si>
    <t>V_17</t>
  </si>
  <si>
    <t>V_18</t>
  </si>
  <si>
    <t>V_19</t>
  </si>
  <si>
    <t>V_20</t>
  </si>
  <si>
    <t>V_21</t>
  </si>
  <si>
    <t>V_22</t>
  </si>
  <si>
    <t>V_23</t>
  </si>
  <si>
    <t>V_24</t>
  </si>
  <si>
    <t>V_25</t>
  </si>
  <si>
    <t>V_26</t>
  </si>
  <si>
    <t>V_27</t>
  </si>
  <si>
    <t>V_28</t>
  </si>
  <si>
    <t>V_29</t>
  </si>
  <si>
    <t>V_30</t>
  </si>
  <si>
    <t>V_31</t>
  </si>
  <si>
    <t>V_32</t>
  </si>
  <si>
    <t>V_33</t>
  </si>
  <si>
    <t>V_34</t>
  </si>
  <si>
    <t>V_35</t>
  </si>
  <si>
    <t>V_36</t>
  </si>
  <si>
    <t>V_37</t>
  </si>
  <si>
    <t>V_38</t>
  </si>
  <si>
    <t>V_39</t>
  </si>
  <si>
    <t>V_40</t>
  </si>
  <si>
    <t>V_41</t>
  </si>
  <si>
    <t>V_42</t>
  </si>
  <si>
    <t>V_43</t>
  </si>
  <si>
    <t>D_1</t>
  </si>
  <si>
    <t>VARIABLE</t>
  </si>
  <si>
    <t xml:space="preserve">&lt;== Click here to run all the combinations (of 3 factors max) </t>
  </si>
  <si>
    <t>#</t>
  </si>
  <si>
    <t>cnt</t>
  </si>
  <si>
    <t>Variable1</t>
  </si>
  <si>
    <t>Variable2</t>
  </si>
  <si>
    <t>Variable3</t>
  </si>
  <si>
    <t>Intercept</t>
  </si>
  <si>
    <t>Coef1</t>
  </si>
  <si>
    <t>Coef2</t>
  </si>
  <si>
    <t>Coef3</t>
  </si>
  <si>
    <t>p-intercept</t>
  </si>
  <si>
    <t>p-1</t>
  </si>
  <si>
    <t>p-2</t>
  </si>
  <si>
    <t>p-3</t>
  </si>
  <si>
    <t>R-SQR</t>
  </si>
  <si>
    <t>Adj-RSQR</t>
  </si>
  <si>
    <t>Eligible Combinations</t>
  </si>
  <si>
    <t>QUARTER</t>
  </si>
  <si>
    <t>Dependent</t>
  </si>
  <si>
    <t>Independent</t>
  </si>
  <si>
    <t>$B6:$B44</t>
  </si>
  <si>
    <t xml:space="preserve">CUT OFFS </t>
  </si>
  <si>
    <t>Max acceptable value for p</t>
  </si>
  <si>
    <t>Inclusion Flag</t>
  </si>
  <si>
    <t>Combinations Complete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</si>
  <si>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</si>
  <si>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</si>
  <si>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</si>
  <si>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</si>
  <si>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</si>
  <si>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</si>
  <si>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</si>
  <si>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</si>
  <si>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</si>
  <si>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</si>
  <si>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</si>
  <si>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</si>
  <si>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</si>
  <si>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</si>
  <si>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</si>
  <si>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</si>
  <si>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</si>
  <si>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</si>
  <si>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</si>
  <si>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</si>
  <si>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</si>
  <si>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Variable4</t>
  </si>
  <si>
    <t>DUMMY</t>
  </si>
  <si>
    <t>V44</t>
  </si>
  <si>
    <t>Coef4</t>
  </si>
  <si>
    <t>p-4</t>
  </si>
  <si>
    <t>Total Combinations</t>
  </si>
  <si>
    <t>14 of 14</t>
  </si>
  <si>
    <t>Min acceptable value for Adj RSQ</t>
  </si>
  <si>
    <t>GNPA</t>
  </si>
  <si>
    <t>R-SQUARE TO GNPA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</si>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</sst>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00"/>
    <numFmt numFmtId="167" formatCode="\(0.00%\)"/>
    <numFmt numFmtId="168" formatCode="0.0"/>
  </numFmts>
  <fonts count="9" x14ac:knownFonts="1">
    <font>
      <sz val="11"/>
      <color theme="1"/>
      <name val="Calibri"/>
      <family val="2"/>
      <scheme val="minor"/>
    </font>
    <font>
      <sz val="10"/>
      <color theme="1"/>
      <name val="EYInterstate Light"/>
    </font>
    <font>
      <sz val="10"/>
      <color theme="0"/>
      <name val="EYInterstate Light"/>
    </font>
    <font>
      <b/>
      <sz val="10"/>
      <color theme="1"/>
      <name val="EYInterstate Light"/>
    </font>
    <font>
      <sz val="10"/>
      <name val="EYInterstate Light"/>
    </font>
    <font>
      <b/>
      <sz val="10"/>
      <color theme="0"/>
      <name val="EYInterstate Light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theme="1"/>
      </patternFill>
    </fill>
    <fill>
      <patternFill patternType="solid">
        <fgColor theme="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theme="7" tint="0.59999389629810485"/>
      </left>
      <right/>
      <top style="thin">
        <color theme="7" tint="0.59999389629810485"/>
      </top>
      <bottom style="thin">
        <color theme="7" tint="0.59999389629810485"/>
      </bottom>
      <diagonal/>
    </border>
    <border>
      <left/>
      <right/>
      <top style="thin">
        <color theme="7" tint="0.59999389629810485"/>
      </top>
      <bottom style="thin">
        <color theme="7" tint="0.59999389629810485"/>
      </bottom>
      <diagonal/>
    </border>
    <border>
      <left/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7" tint="0.59999389629810485"/>
      </left>
      <right/>
      <top style="thin">
        <color theme="7" tint="0.59999389629810485"/>
      </top>
      <bottom/>
      <diagonal/>
    </border>
    <border>
      <left/>
      <right/>
      <top style="thin">
        <color theme="7" tint="0.59999389629810485"/>
      </top>
      <bottom/>
      <diagonal/>
    </border>
    <border>
      <left/>
      <right style="thin">
        <color theme="7" tint="0.59999389629810485"/>
      </right>
      <top style="thin">
        <color theme="7" tint="0.59999389629810485"/>
      </top>
      <bottom/>
      <diagonal/>
    </border>
    <border>
      <left style="thin">
        <color theme="7" tint="0.59999389629810485"/>
      </left>
      <right/>
      <top/>
      <bottom/>
      <diagonal/>
    </border>
    <border>
      <left/>
      <right style="thin">
        <color theme="7" tint="0.59999389629810485"/>
      </right>
      <top/>
      <bottom/>
      <diagonal/>
    </border>
    <border>
      <left style="thin">
        <color theme="7" tint="0.59999389629810485"/>
      </left>
      <right/>
      <top/>
      <bottom style="thin">
        <color theme="7" tint="0.59999389629810485"/>
      </bottom>
      <diagonal/>
    </border>
    <border>
      <left/>
      <right/>
      <top/>
      <bottom style="thin">
        <color theme="7" tint="0.59999389629810485"/>
      </bottom>
      <diagonal/>
    </border>
    <border>
      <left/>
      <right style="thin">
        <color theme="7" tint="0.59999389629810485"/>
      </right>
      <top/>
      <bottom style="thin">
        <color theme="7" tint="0.5999938962981048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7" fillId="0" borderId="0" applyFont="0" applyFill="0" applyBorder="0" applyAlignment="0" applyProtection="0"/>
    <xf numFmtId="0" fontId="8" fillId="0" borderId="0"/>
  </cellStyleXfs>
  <cellXfs count="84">
    <xf numFmtId="0" fontId="0" fillId="0" borderId="0" xfId="0"/>
    <xf numFmtId="1" fontId="0" fillId="0" borderId="0" xfId="0" applyNumberFormat="1"/>
    <xf numFmtId="0" fontId="0" fillId="0" borderId="1" xfId="0" applyBorder="1"/>
    <xf numFmtId="0" fontId="1" fillId="4" borderId="0" xfId="0" applyFont="1" applyFill="1" applyAlignment="1">
      <alignment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vertical="center"/>
    </xf>
    <xf numFmtId="0" fontId="1" fillId="0" borderId="2" xfId="0" applyNumberFormat="1" applyFont="1" applyFill="1" applyBorder="1" applyAlignment="1">
      <alignment horizontal="center" vertical="center"/>
    </xf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165" fontId="1" fillId="3" borderId="7" xfId="0" applyNumberFormat="1" applyFont="1" applyFill="1" applyBorder="1" applyAlignment="1">
      <alignment vertical="center"/>
    </xf>
    <xf numFmtId="0" fontId="1" fillId="3" borderId="7" xfId="0" applyFont="1" applyFill="1" applyBorder="1" applyAlignment="1">
      <alignment vertical="center"/>
    </xf>
    <xf numFmtId="165" fontId="1" fillId="3" borderId="6" xfId="0" applyNumberFormat="1" applyFont="1" applyFill="1" applyBorder="1" applyAlignment="1">
      <alignment vertical="center"/>
    </xf>
    <xf numFmtId="1" fontId="1" fillId="3" borderId="7" xfId="0" applyNumberFormat="1" applyFont="1" applyFill="1" applyBorder="1" applyAlignment="1">
      <alignment vertical="center"/>
    </xf>
    <xf numFmtId="0" fontId="2" fillId="7" borderId="1" xfId="0" applyFont="1" applyFill="1" applyBorder="1" applyAlignment="1">
      <alignment vertical="center"/>
    </xf>
    <xf numFmtId="165" fontId="1" fillId="0" borderId="1" xfId="0" applyNumberFormat="1" applyFont="1" applyFill="1" applyBorder="1" applyAlignment="1">
      <alignment vertical="center"/>
    </xf>
    <xf numFmtId="165" fontId="1" fillId="8" borderId="1" xfId="0" applyNumberFormat="1" applyFont="1" applyFill="1" applyBorder="1" applyAlignment="1">
      <alignment vertical="center"/>
    </xf>
    <xf numFmtId="165" fontId="1" fillId="8" borderId="8" xfId="0" applyNumberFormat="1" applyFont="1" applyFill="1" applyBorder="1" applyAlignment="1">
      <alignment vertical="center"/>
    </xf>
    <xf numFmtId="1" fontId="1" fillId="8" borderId="7" xfId="0" applyNumberFormat="1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164" fontId="1" fillId="0" borderId="2" xfId="0" applyNumberFormat="1" applyFont="1" applyFill="1" applyBorder="1" applyAlignment="1">
      <alignment vertical="center"/>
    </xf>
    <xf numFmtId="0" fontId="2" fillId="5" borderId="3" xfId="0" applyFont="1" applyFill="1" applyBorder="1"/>
    <xf numFmtId="0" fontId="2" fillId="5" borderId="5" xfId="0" applyFont="1" applyFill="1" applyBorder="1"/>
    <xf numFmtId="0" fontId="1" fillId="6" borderId="9" xfId="0" applyFont="1" applyFill="1" applyBorder="1" applyAlignment="1">
      <alignment vertical="center"/>
    </xf>
    <xf numFmtId="0" fontId="1" fillId="6" borderId="10" xfId="0" applyFont="1" applyFill="1" applyBorder="1" applyAlignment="1">
      <alignment vertical="center"/>
    </xf>
    <xf numFmtId="0" fontId="1" fillId="6" borderId="12" xfId="0" applyFont="1" applyFill="1" applyBorder="1" applyAlignment="1">
      <alignment vertical="center"/>
    </xf>
    <xf numFmtId="0" fontId="1" fillId="6" borderId="0" xfId="0" applyFont="1" applyFill="1" applyBorder="1" applyAlignment="1">
      <alignment vertical="center"/>
    </xf>
    <xf numFmtId="0" fontId="1" fillId="6" borderId="14" xfId="0" applyFont="1" applyFill="1" applyBorder="1" applyAlignment="1">
      <alignment vertical="center"/>
    </xf>
    <xf numFmtId="0" fontId="1" fillId="6" borderId="15" xfId="0" applyFont="1" applyFill="1" applyBorder="1" applyAlignment="1">
      <alignment vertical="center"/>
    </xf>
    <xf numFmtId="0" fontId="1" fillId="8" borderId="0" xfId="0" applyFont="1" applyFill="1" applyBorder="1" applyAlignment="1">
      <alignment vertical="center"/>
    </xf>
    <xf numFmtId="0" fontId="1" fillId="8" borderId="0" xfId="0" applyNumberFormat="1" applyFont="1" applyFill="1" applyBorder="1"/>
    <xf numFmtId="1" fontId="4" fillId="8" borderId="7" xfId="0" applyNumberFormat="1" applyFont="1" applyFill="1" applyBorder="1" applyAlignment="1">
      <alignment vertical="center"/>
    </xf>
    <xf numFmtId="1" fontId="4" fillId="8" borderId="1" xfId="0" applyNumberFormat="1" applyFont="1" applyFill="1" applyBorder="1" applyAlignment="1">
      <alignment vertical="center"/>
    </xf>
    <xf numFmtId="0" fontId="2" fillId="5" borderId="3" xfId="0" applyFont="1" applyFill="1" applyBorder="1" applyAlignment="1">
      <alignment horizontal="centerContinuous"/>
    </xf>
    <xf numFmtId="0" fontId="2" fillId="5" borderId="4" xfId="0" applyFont="1" applyFill="1" applyBorder="1" applyAlignment="1">
      <alignment horizontal="centerContinuous"/>
    </xf>
    <xf numFmtId="167" fontId="5" fillId="9" borderId="3" xfId="0" applyNumberFormat="1" applyFont="1" applyFill="1" applyBorder="1"/>
    <xf numFmtId="0" fontId="0" fillId="0" borderId="0" xfId="0" applyFill="1" applyBorder="1" applyAlignment="1"/>
    <xf numFmtId="0" fontId="0" fillId="0" borderId="18" xfId="0" applyFill="1" applyBorder="1" applyAlignment="1"/>
    <xf numFmtId="0" fontId="6" fillId="0" borderId="19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Continuous"/>
    </xf>
    <xf numFmtId="0" fontId="1" fillId="8" borderId="0" xfId="0" applyFont="1" applyFill="1" applyAlignment="1">
      <alignment horizontal="center" vertical="center"/>
    </xf>
    <xf numFmtId="2" fontId="1" fillId="0" borderId="2" xfId="0" applyNumberFormat="1" applyFont="1" applyFill="1" applyBorder="1" applyAlignment="1">
      <alignment horizontal="center" vertical="center"/>
    </xf>
    <xf numFmtId="0" fontId="3" fillId="3" borderId="1" xfId="0" applyFont="1" applyFill="1" applyBorder="1"/>
    <xf numFmtId="0" fontId="1" fillId="2" borderId="1" xfId="0" applyFont="1" applyFill="1" applyBorder="1"/>
    <xf numFmtId="0" fontId="1" fillId="0" borderId="1" xfId="0" applyFont="1" applyBorder="1"/>
    <xf numFmtId="0" fontId="1" fillId="0" borderId="0" xfId="0" applyFont="1"/>
    <xf numFmtId="1" fontId="1" fillId="0" borderId="1" xfId="0" applyNumberFormat="1" applyFont="1" applyBorder="1"/>
    <xf numFmtId="11" fontId="1" fillId="0" borderId="1" xfId="0" applyNumberFormat="1" applyFont="1" applyBorder="1"/>
    <xf numFmtId="0" fontId="1" fillId="3" borderId="1" xfId="0" applyFont="1" applyFill="1" applyBorder="1"/>
    <xf numFmtId="1" fontId="1" fillId="3" borderId="1" xfId="0" applyNumberFormat="1" applyFont="1" applyFill="1" applyBorder="1"/>
    <xf numFmtId="0" fontId="3" fillId="3" borderId="17" xfId="0" applyFont="1" applyFill="1" applyBorder="1"/>
    <xf numFmtId="10" fontId="1" fillId="0" borderId="1" xfId="0" applyNumberFormat="1" applyFont="1" applyBorder="1"/>
    <xf numFmtId="0" fontId="1" fillId="0" borderId="1" xfId="0" applyFont="1" applyFill="1" applyBorder="1"/>
    <xf numFmtId="0" fontId="5" fillId="10" borderId="1" xfId="0" applyFont="1" applyFill="1" applyBorder="1"/>
    <xf numFmtId="1" fontId="5" fillId="10" borderId="1" xfId="0" applyNumberFormat="1" applyFont="1" applyFill="1" applyBorder="1"/>
    <xf numFmtId="0" fontId="3" fillId="0" borderId="3" xfId="0" applyNumberFormat="1" applyFont="1" applyFill="1" applyBorder="1"/>
    <xf numFmtId="0" fontId="5" fillId="9" borderId="5" xfId="0" applyFont="1" applyFill="1" applyBorder="1" applyAlignment="1">
      <alignment horizontal="right"/>
    </xf>
    <xf numFmtId="0" fontId="5" fillId="5" borderId="3" xfId="0" applyFont="1" applyFill="1" applyBorder="1"/>
    <xf numFmtId="0" fontId="5" fillId="5" borderId="5" xfId="0" applyFont="1" applyFill="1" applyBorder="1"/>
    <xf numFmtId="165" fontId="1" fillId="3" borderId="7" xfId="0" applyNumberFormat="1" applyFont="1" applyFill="1" applyBorder="1" applyAlignment="1">
      <alignment horizontal="center" vertical="center"/>
    </xf>
    <xf numFmtId="1" fontId="4" fillId="8" borderId="7" xfId="0" applyNumberFormat="1" applyFont="1" applyFill="1" applyBorder="1" applyAlignment="1">
      <alignment horizontal="center" vertical="center"/>
    </xf>
    <xf numFmtId="1" fontId="4" fillId="8" borderId="1" xfId="0" applyNumberFormat="1" applyFont="1" applyFill="1" applyBorder="1" applyAlignment="1">
      <alignment horizontal="center" vertical="center"/>
    </xf>
    <xf numFmtId="0" fontId="5" fillId="10" borderId="17" xfId="0" applyFont="1" applyFill="1" applyBorder="1"/>
    <xf numFmtId="0" fontId="1" fillId="0" borderId="17" xfId="0" applyFont="1" applyFill="1" applyBorder="1"/>
    <xf numFmtId="0" fontId="3" fillId="0" borderId="9" xfId="0" applyFont="1" applyFill="1" applyBorder="1" applyAlignment="1">
      <alignment vertical="center" wrapText="1"/>
    </xf>
    <xf numFmtId="0" fontId="3" fillId="0" borderId="10" xfId="0" applyFont="1" applyFill="1" applyBorder="1" applyAlignment="1">
      <alignment vertical="center" wrapText="1"/>
    </xf>
    <xf numFmtId="0" fontId="3" fillId="0" borderId="11" xfId="0" applyFont="1" applyFill="1" applyBorder="1" applyAlignment="1">
      <alignment vertical="center" wrapText="1"/>
    </xf>
    <xf numFmtId="0" fontId="3" fillId="0" borderId="12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3" fillId="0" borderId="13" xfId="0" applyFont="1" applyFill="1" applyBorder="1" applyAlignment="1">
      <alignment vertical="center" wrapText="1"/>
    </xf>
    <xf numFmtId="0" fontId="3" fillId="0" borderId="14" xfId="0" applyFont="1" applyFill="1" applyBorder="1" applyAlignment="1">
      <alignment vertical="center" wrapText="1"/>
    </xf>
    <xf numFmtId="0" fontId="3" fillId="0" borderId="15" xfId="0" applyFont="1" applyFill="1" applyBorder="1" applyAlignment="1">
      <alignment vertical="center" wrapText="1"/>
    </xf>
    <xf numFmtId="0" fontId="3" fillId="0" borderId="16" xfId="0" applyFont="1" applyFill="1" applyBorder="1" applyAlignment="1">
      <alignment vertical="center" wrapText="1"/>
    </xf>
    <xf numFmtId="168" fontId="0" fillId="0" borderId="1" xfId="0" applyNumberFormat="1" applyBorder="1"/>
    <xf numFmtId="2" fontId="0" fillId="0" borderId="1" xfId="0" applyNumberFormat="1" applyBorder="1"/>
    <xf numFmtId="2" fontId="0" fillId="0" borderId="1" xfId="0" applyNumberFormat="1" applyFill="1" applyBorder="1"/>
    <xf numFmtId="2" fontId="0" fillId="0" borderId="20" xfId="0" applyNumberFormat="1" applyBorder="1"/>
    <xf numFmtId="0" fontId="0" fillId="0" borderId="1" xfId="0" applyNumberFormat="1" applyFill="1" applyBorder="1" applyAlignment="1">
      <alignment horizontal="right" vertical="top"/>
    </xf>
    <xf numFmtId="2" fontId="0" fillId="6" borderId="1" xfId="1" applyNumberFormat="1" applyFont="1" applyFill="1" applyBorder="1"/>
    <xf numFmtId="2" fontId="8" fillId="6" borderId="1" xfId="2" applyNumberFormat="1" applyFont="1" applyFill="1" applyBorder="1" applyAlignment="1" applyProtection="1"/>
    <xf numFmtId="10" fontId="8" fillId="6" borderId="1" xfId="2" applyNumberFormat="1" applyFont="1" applyFill="1" applyBorder="1" applyAlignment="1" applyProtection="1"/>
    <xf numFmtId="168" fontId="8" fillId="6" borderId="1" xfId="2" applyNumberFormat="1" applyFont="1" applyFill="1" applyBorder="1" applyAlignment="1" applyProtection="1"/>
    <xf numFmtId="2" fontId="8" fillId="6" borderId="8" xfId="2" applyNumberFormat="1" applyFont="1" applyFill="1" applyBorder="1" applyAlignment="1" applyProtection="1"/>
    <xf numFmtId="1" fontId="0" fillId="0" borderId="1" xfId="0" applyNumberFormat="1" applyBorder="1"/>
  </cellXfs>
  <cellStyles count="3">
    <cellStyle name="Normal" xfId="0" builtinId="0"/>
    <cellStyle name="Normal 2" xfId="2"/>
    <cellStyle name="Percent" xfId="1" builtinId="5"/>
  </cellStyles>
  <dxfs count="5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EYInterstate Light"/>
        <scheme val="none"/>
      </font>
      <numFmt numFmtId="165" formatCode="0.0000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EYInterstate Light"/>
        <scheme val="none"/>
      </font>
      <fill>
        <patternFill patternType="solid">
          <fgColor indexed="64"/>
          <bgColor theme="1" tint="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EYInterstate Light"/>
        <scheme val="none"/>
      </font>
      <numFmt numFmtId="1" formatCode="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EYInterstate Light"/>
        <scheme val="none"/>
      </font>
      <numFmt numFmtId="165" formatCode="0.00000"/>
      <fill>
        <patternFill patternType="solid">
          <fgColor indexed="64"/>
          <bgColor theme="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130967</xdr:colOff>
      <xdr:row>12</xdr:row>
      <xdr:rowOff>166687</xdr:rowOff>
    </xdr:from>
    <xdr:to>
      <xdr:col>8</xdr:col>
      <xdr:colOff>619124</xdr:colOff>
      <xdr:row>15</xdr:row>
      <xdr:rowOff>27187</xdr:rowOff>
    </xdr:to>
    <xdr:sp macro="[0]!reg_all" textlink="">
      <xdr:nvSpPr>
        <xdr:cNvPr id="2" name="Rectangle 1"/>
        <xdr:cNvSpPr/>
      </xdr:nvSpPr>
      <xdr:spPr>
        <a:xfrm>
          <a:off x="8665367" y="2557462"/>
          <a:ext cx="1154907" cy="403425"/>
        </a:xfrm>
        <a:prstGeom prst="rect">
          <a:avLst/>
        </a:prstGeom>
        <a:solidFill>
          <a:schemeClr val="tx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>
              <a:latin typeface="EYInterstate Light" panose="02000506000000020004" pitchFamily="2" charset="0"/>
            </a:rPr>
            <a:t>Run  all combos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373856</xdr:colOff>
      <xdr:row>2</xdr:row>
      <xdr:rowOff>119062</xdr:rowOff>
    </xdr:to>
    <xdr:sp macro="" textlink="">
      <xdr:nvSpPr>
        <xdr:cNvPr id="3" name="Rectangle 2"/>
        <xdr:cNvSpPr/>
      </xdr:nvSpPr>
      <xdr:spPr>
        <a:xfrm>
          <a:off x="0" y="0"/>
          <a:ext cx="10429875" cy="47625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Regression runs</a:t>
          </a:r>
          <a:endParaRPr lang="en-IN" sz="2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Y_IN_ECL_CALC/Corporate_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RatingScale"/>
      <sheetName val="RatingData"/>
      <sheetName val="DefaultData"/>
      <sheetName val="Combined"/>
      <sheetName val="Pivot"/>
      <sheetName val="TrendAnalysis"/>
      <sheetName val="Calibration"/>
      <sheetName val="Chart"/>
      <sheetName val="ME_Raw"/>
      <sheetName val="Factors"/>
      <sheetName val="Reg_Machine"/>
      <sheetName val="FinalModel"/>
      <sheetName val="TTC-TS"/>
      <sheetName val="PiT-TS"/>
      <sheetName val="Regression"/>
    </sheetNames>
    <sheetDataSet>
      <sheetData sheetId="0"/>
      <sheetData sheetId="1">
        <row r="4">
          <cell r="B4" t="str">
            <v>RATING BAND</v>
          </cell>
          <cell r="C4" t="str">
            <v>SCORE</v>
          </cell>
          <cell r="D4" t="str">
            <v>MID-SCORE</v>
          </cell>
        </row>
        <row r="5">
          <cell r="B5">
            <v>1</v>
          </cell>
          <cell r="C5">
            <v>100</v>
          </cell>
          <cell r="D5">
            <v>97.35</v>
          </cell>
        </row>
        <row r="6">
          <cell r="B6" t="str">
            <v>2+</v>
          </cell>
          <cell r="C6">
            <v>94.7</v>
          </cell>
          <cell r="D6">
            <v>92.1</v>
          </cell>
        </row>
        <row r="7">
          <cell r="B7">
            <v>2</v>
          </cell>
          <cell r="C7">
            <v>89.5</v>
          </cell>
          <cell r="D7">
            <v>86.85</v>
          </cell>
        </row>
        <row r="8">
          <cell r="B8" t="str">
            <v>2-</v>
          </cell>
          <cell r="C8">
            <v>84.2</v>
          </cell>
          <cell r="D8">
            <v>81.550000000000011</v>
          </cell>
        </row>
        <row r="9">
          <cell r="B9" t="str">
            <v>3+</v>
          </cell>
          <cell r="C9">
            <v>78.900000000000006</v>
          </cell>
          <cell r="D9">
            <v>76.300000000000011</v>
          </cell>
        </row>
        <row r="10">
          <cell r="B10">
            <v>3</v>
          </cell>
          <cell r="C10">
            <v>73.7</v>
          </cell>
          <cell r="D10">
            <v>71.050000000000011</v>
          </cell>
        </row>
        <row r="11">
          <cell r="B11" t="str">
            <v>3-</v>
          </cell>
          <cell r="C11">
            <v>68.400000000000006</v>
          </cell>
          <cell r="D11">
            <v>65.800000000000011</v>
          </cell>
        </row>
        <row r="12">
          <cell r="B12" t="str">
            <v>4+</v>
          </cell>
          <cell r="C12">
            <v>63.2</v>
          </cell>
          <cell r="D12">
            <v>60.55</v>
          </cell>
        </row>
        <row r="13">
          <cell r="B13">
            <v>4</v>
          </cell>
          <cell r="C13">
            <v>57.9</v>
          </cell>
          <cell r="D13">
            <v>55.25</v>
          </cell>
        </row>
        <row r="14">
          <cell r="B14" t="str">
            <v>4-</v>
          </cell>
          <cell r="C14">
            <v>52.6</v>
          </cell>
          <cell r="D14">
            <v>50</v>
          </cell>
        </row>
        <row r="15">
          <cell r="B15" t="str">
            <v>5+</v>
          </cell>
          <cell r="C15">
            <v>47.4</v>
          </cell>
          <cell r="D15">
            <v>44.75</v>
          </cell>
        </row>
        <row r="16">
          <cell r="B16">
            <v>5</v>
          </cell>
          <cell r="C16">
            <v>42.1</v>
          </cell>
          <cell r="D16">
            <v>39.450000000000003</v>
          </cell>
        </row>
        <row r="17">
          <cell r="B17" t="str">
            <v>5-</v>
          </cell>
          <cell r="C17">
            <v>36.799999999999997</v>
          </cell>
          <cell r="D17">
            <v>34.200000000000003</v>
          </cell>
        </row>
        <row r="18">
          <cell r="B18" t="str">
            <v>6+</v>
          </cell>
          <cell r="C18">
            <v>31.6</v>
          </cell>
          <cell r="D18">
            <v>28.950000000000003</v>
          </cell>
        </row>
        <row r="19">
          <cell r="B19">
            <v>6</v>
          </cell>
          <cell r="C19">
            <v>26.3</v>
          </cell>
          <cell r="D19">
            <v>23.700000000000003</v>
          </cell>
        </row>
        <row r="20">
          <cell r="B20" t="str">
            <v>6-</v>
          </cell>
          <cell r="C20">
            <v>21.1</v>
          </cell>
          <cell r="D20">
            <v>18.450000000000003</v>
          </cell>
        </row>
        <row r="21">
          <cell r="B21" t="str">
            <v>7+</v>
          </cell>
          <cell r="C21">
            <v>15.8</v>
          </cell>
          <cell r="D21">
            <v>13.15</v>
          </cell>
        </row>
        <row r="22">
          <cell r="B22">
            <v>7</v>
          </cell>
          <cell r="C22">
            <v>10.5</v>
          </cell>
          <cell r="D22">
            <v>7.9</v>
          </cell>
        </row>
        <row r="23">
          <cell r="B23" t="str">
            <v>7-</v>
          </cell>
          <cell r="C23">
            <v>5.3</v>
          </cell>
          <cell r="D23">
            <v>2.65</v>
          </cell>
        </row>
        <row r="24">
          <cell r="B24">
            <v>8</v>
          </cell>
          <cell r="C24">
            <v>0</v>
          </cell>
          <cell r="D24">
            <v>0</v>
          </cell>
        </row>
      </sheetData>
      <sheetData sheetId="2"/>
      <sheetData sheetId="3"/>
      <sheetData sheetId="4"/>
      <sheetData sheetId="5"/>
      <sheetData sheetId="6">
        <row r="5">
          <cell r="H5">
            <v>9.2247301275760543E-2</v>
          </cell>
        </row>
        <row r="6">
          <cell r="H6">
            <v>8.8891890650882058E-2</v>
          </cell>
        </row>
        <row r="10">
          <cell r="H10">
            <v>1.0415830158040222</v>
          </cell>
        </row>
      </sheetData>
      <sheetData sheetId="7">
        <row r="8">
          <cell r="M8">
            <v>0.32140958567861722</v>
          </cell>
        </row>
        <row r="9">
          <cell r="M9">
            <v>-7.0114313146715596E-2</v>
          </cell>
        </row>
      </sheetData>
      <sheetData sheetId="8" refreshError="1"/>
      <sheetData sheetId="9"/>
      <sheetData sheetId="10"/>
      <sheetData sheetId="11"/>
      <sheetData sheetId="12">
        <row r="8">
          <cell r="M8">
            <v>0.95695062027139832</v>
          </cell>
        </row>
        <row r="9">
          <cell r="M9">
            <v>0.94626801183652443</v>
          </cell>
        </row>
        <row r="10">
          <cell r="M10">
            <v>0.92857983488439622</v>
          </cell>
        </row>
        <row r="11">
          <cell r="M11">
            <v>0.91781854042813105</v>
          </cell>
        </row>
        <row r="12">
          <cell r="M12">
            <v>0.88755380579485377</v>
          </cell>
        </row>
        <row r="13">
          <cell r="M13">
            <v>0.92743416264306089</v>
          </cell>
        </row>
      </sheetData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id="1" name="Table1" displayName="Table1" ref="O5:AI19" totalsRowShown="0" headerRowDxfId="57" dataDxfId="55" headerRowBorderDxfId="56" tableBorderDxfId="54" totalsRowBorderDxfId="53">
  <autoFilter ref="O5:AI19"/>
  <tableColumns count="21">
    <tableColumn id="2" name="#" dataDxfId="52"/>
    <tableColumn id="1" name="cnt" dataDxfId="51">
      <calculatedColumnFormula>COUNTA(Table1[[#This Row],[Variable1]:[Variable4]])</calculatedColumnFormula>
    </tableColumn>
    <tableColumn id="17" name="Dependent" dataDxfId="50"/>
    <tableColumn id="3" name="Independent" dataDxfId="49">
      <calculatedColumnFormula>IF(Table1[[#This Row],[cnt]]=1,"$C6:$C44",IF(Table1[[#This Row],[cnt]]=2,"$C6:$D44",IF(Table1[[#This Row],[cnt]]=3,"$C6:$E44","$C6:$F44")))</calculatedColumnFormula>
    </tableColumn>
    <tableColumn id="4" name="Variable1" dataDxfId="48"/>
    <tableColumn id="5" name="Variable2" dataDxfId="47"/>
    <tableColumn id="6" name="Variable3" dataDxfId="46"/>
    <tableColumn id="20" name="Variable4" dataDxfId="45"/>
    <tableColumn id="7" name="Intercept" dataDxfId="44"/>
    <tableColumn id="8" name="Coef1" dataDxfId="43"/>
    <tableColumn id="9" name="Coef2" dataDxfId="42"/>
    <tableColumn id="10" name="Coef3" dataDxfId="41"/>
    <tableColumn id="21" name="Coef4" dataDxfId="40"/>
    <tableColumn id="11" name="p-intercept" dataDxfId="39"/>
    <tableColumn id="12" name="p-1" dataDxfId="38"/>
    <tableColumn id="13" name="p-2" dataDxfId="37"/>
    <tableColumn id="14" name="p-3" dataDxfId="36"/>
    <tableColumn id="22" name="p-4" dataDxfId="35"/>
    <tableColumn id="15" name="R-SQR" dataDxfId="34"/>
    <tableColumn id="16" name="Adj-RSQR" dataDxfId="33"/>
    <tableColumn id="18" name="Eligible Combinations" dataDxfId="3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2" name="Table13" displayName="Table13" ref="A1:Q2" totalsRowShown="0" headerRowDxfId="31" dataDxfId="29" headerRowBorderDxfId="30" tableBorderDxfId="28" totalsRowBorderDxfId="27">
  <autoFilter ref="A1:Q2"/>
  <tableColumns count="17">
    <tableColumn id="4" name="Variable1" dataDxfId="26"/>
    <tableColumn id="5" name="Variable2" dataDxfId="25"/>
    <tableColumn id="6" name="Variable3" dataDxfId="24"/>
    <tableColumn id="20" name="Variable4" dataDxfId="23"/>
    <tableColumn id="7" name="Intercept" dataDxfId="22"/>
    <tableColumn id="8" name="Coef1" dataDxfId="21"/>
    <tableColumn id="9" name="Coef2" dataDxfId="20"/>
    <tableColumn id="10" name="Coef3" dataDxfId="19"/>
    <tableColumn id="21" name="Coef4" dataDxfId="18"/>
    <tableColumn id="11" name="p-intercept" dataDxfId="17"/>
    <tableColumn id="12" name="p-1" dataDxfId="16"/>
    <tableColumn id="13" name="p-2" dataDxfId="15"/>
    <tableColumn id="14" name="p-3" dataDxfId="14"/>
    <tableColumn id="22" name="p-4" dataDxfId="13"/>
    <tableColumn id="15" name="R-SQR" dataDxfId="12"/>
    <tableColumn id="16" name="Adj-RSQR" dataDxfId="11"/>
    <tableColumn id="18" name="Eligible Combinations" dataDxfId="1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5"/>
  <sheetViews>
    <sheetView showGridLines="0" workbookViewId="0">
      <selection activeCell="C2" sqref="C2"/>
    </sheetView>
  </sheetViews>
  <sheetFormatPr defaultRowHeight="14.4" x14ac:dyDescent="0.3"/>
  <cols>
    <col min="1" max="1" width="13.6640625" bestFit="1" customWidth="1"/>
    <col min="2" max="2" width="8.6640625" customWidth="1"/>
    <col min="3" max="3" width="61" bestFit="1" customWidth="1"/>
    <col min="4" max="4" width="27.5546875" bestFit="1" customWidth="1"/>
  </cols>
  <sheetData>
    <row r="1" spans="1:4" x14ac:dyDescent="0.3">
      <c r="A1" s="42" t="s">
        <v>128</v>
      </c>
      <c r="B1" s="42" t="s">
        <v>127</v>
      </c>
      <c r="C1" s="42" t="s">
        <v>126</v>
      </c>
      <c r="D1" s="42" t="s">
        <v>131</v>
      </c>
    </row>
    <row r="2" spans="1:4" x14ac:dyDescent="0.3">
      <c r="A2" s="43" t="s">
        <v>129</v>
      </c>
      <c r="B2" s="43" t="s">
        <v>218</v>
      </c>
      <c r="C2" s="43" t="s">
        <v>274</v>
      </c>
      <c r="D2" s="44" t="s">
        <v>274</v>
      </c>
    </row>
    <row r="3" spans="1:4" x14ac:dyDescent="0.3">
      <c r="A3" s="44" t="s">
        <v>130</v>
      </c>
      <c r="B3" s="44" t="s">
        <v>175</v>
      </c>
      <c r="C3" s="44" t="s">
        <v>1</v>
      </c>
      <c r="D3" s="44" t="s">
        <v>83</v>
      </c>
    </row>
    <row r="4" spans="1:4" x14ac:dyDescent="0.3">
      <c r="A4" s="44" t="s">
        <v>130</v>
      </c>
      <c r="B4" s="44" t="s">
        <v>176</v>
      </c>
      <c r="C4" s="44" t="s">
        <v>2</v>
      </c>
      <c r="D4" s="44" t="s">
        <v>84</v>
      </c>
    </row>
    <row r="5" spans="1:4" x14ac:dyDescent="0.3">
      <c r="A5" s="44" t="s">
        <v>130</v>
      </c>
      <c r="B5" s="44" t="s">
        <v>177</v>
      </c>
      <c r="C5" s="44" t="s">
        <v>3</v>
      </c>
      <c r="D5" s="44" t="s">
        <v>86</v>
      </c>
    </row>
    <row r="6" spans="1:4" x14ac:dyDescent="0.3">
      <c r="A6" s="44" t="s">
        <v>130</v>
      </c>
      <c r="B6" s="44" t="s">
        <v>178</v>
      </c>
      <c r="C6" s="44" t="s">
        <v>4</v>
      </c>
      <c r="D6" s="44" t="s">
        <v>87</v>
      </c>
    </row>
    <row r="7" spans="1:4" x14ac:dyDescent="0.3">
      <c r="A7" s="44" t="s">
        <v>130</v>
      </c>
      <c r="B7" s="44" t="s">
        <v>179</v>
      </c>
      <c r="C7" s="44" t="s">
        <v>5</v>
      </c>
      <c r="D7" s="44" t="s">
        <v>85</v>
      </c>
    </row>
    <row r="8" spans="1:4" x14ac:dyDescent="0.3">
      <c r="A8" s="44" t="s">
        <v>130</v>
      </c>
      <c r="B8" s="44" t="s">
        <v>180</v>
      </c>
      <c r="C8" s="44" t="s">
        <v>6</v>
      </c>
      <c r="D8" s="44" t="s">
        <v>89</v>
      </c>
    </row>
    <row r="9" spans="1:4" x14ac:dyDescent="0.3">
      <c r="A9" s="44" t="s">
        <v>130</v>
      </c>
      <c r="B9" s="44" t="s">
        <v>181</v>
      </c>
      <c r="C9" s="44" t="s">
        <v>7</v>
      </c>
      <c r="D9" s="44" t="s">
        <v>90</v>
      </c>
    </row>
    <row r="10" spans="1:4" x14ac:dyDescent="0.3">
      <c r="A10" s="44" t="s">
        <v>130</v>
      </c>
      <c r="B10" s="44" t="s">
        <v>182</v>
      </c>
      <c r="C10" s="44" t="s">
        <v>8</v>
      </c>
      <c r="D10" s="44" t="s">
        <v>91</v>
      </c>
    </row>
    <row r="11" spans="1:4" x14ac:dyDescent="0.3">
      <c r="A11" s="44" t="s">
        <v>130</v>
      </c>
      <c r="B11" s="44" t="s">
        <v>183</v>
      </c>
      <c r="C11" s="44" t="s">
        <v>9</v>
      </c>
      <c r="D11" s="44" t="s">
        <v>122</v>
      </c>
    </row>
    <row r="12" spans="1:4" x14ac:dyDescent="0.3">
      <c r="A12" s="44" t="s">
        <v>130</v>
      </c>
      <c r="B12" s="44" t="s">
        <v>184</v>
      </c>
      <c r="C12" s="44" t="s">
        <v>10</v>
      </c>
      <c r="D12" s="44" t="s">
        <v>92</v>
      </c>
    </row>
    <row r="13" spans="1:4" x14ac:dyDescent="0.3">
      <c r="A13" s="44" t="s">
        <v>130</v>
      </c>
      <c r="B13" s="44" t="s">
        <v>185</v>
      </c>
      <c r="C13" s="44" t="s">
        <v>11</v>
      </c>
      <c r="D13" s="44" t="s">
        <v>95</v>
      </c>
    </row>
    <row r="14" spans="1:4" x14ac:dyDescent="0.3">
      <c r="A14" s="44" t="s">
        <v>130</v>
      </c>
      <c r="B14" s="44" t="s">
        <v>186</v>
      </c>
      <c r="C14" s="44" t="s">
        <v>12</v>
      </c>
      <c r="D14" s="44" t="s">
        <v>93</v>
      </c>
    </row>
    <row r="15" spans="1:4" x14ac:dyDescent="0.3">
      <c r="A15" s="44" t="s">
        <v>130</v>
      </c>
      <c r="B15" s="44" t="s">
        <v>187</v>
      </c>
      <c r="C15" s="44" t="s">
        <v>13</v>
      </c>
      <c r="D15" s="44" t="s">
        <v>94</v>
      </c>
    </row>
    <row r="16" spans="1:4" x14ac:dyDescent="0.3">
      <c r="A16" s="44" t="s">
        <v>130</v>
      </c>
      <c r="B16" s="44" t="s">
        <v>188</v>
      </c>
      <c r="C16" s="44" t="s">
        <v>14</v>
      </c>
      <c r="D16" s="44" t="s">
        <v>96</v>
      </c>
    </row>
    <row r="17" spans="1:4" x14ac:dyDescent="0.3">
      <c r="A17" s="44" t="s">
        <v>130</v>
      </c>
      <c r="B17" s="44" t="s">
        <v>189</v>
      </c>
      <c r="C17" s="44" t="s">
        <v>15</v>
      </c>
      <c r="D17" s="44" t="s">
        <v>97</v>
      </c>
    </row>
    <row r="18" spans="1:4" x14ac:dyDescent="0.3">
      <c r="A18" s="44" t="s">
        <v>130</v>
      </c>
      <c r="B18" s="44" t="s">
        <v>190</v>
      </c>
      <c r="C18" s="44" t="s">
        <v>16</v>
      </c>
      <c r="D18" s="44" t="s">
        <v>98</v>
      </c>
    </row>
    <row r="19" spans="1:4" x14ac:dyDescent="0.3">
      <c r="A19" s="44" t="s">
        <v>130</v>
      </c>
      <c r="B19" s="44" t="s">
        <v>191</v>
      </c>
      <c r="C19" s="44" t="s">
        <v>17</v>
      </c>
      <c r="D19" s="44" t="s">
        <v>99</v>
      </c>
    </row>
    <row r="20" spans="1:4" x14ac:dyDescent="0.3">
      <c r="A20" s="44" t="s">
        <v>130</v>
      </c>
      <c r="B20" s="44" t="s">
        <v>192</v>
      </c>
      <c r="C20" s="44" t="s">
        <v>18</v>
      </c>
      <c r="D20" s="44" t="s">
        <v>100</v>
      </c>
    </row>
    <row r="21" spans="1:4" x14ac:dyDescent="0.3">
      <c r="A21" s="44" t="s">
        <v>130</v>
      </c>
      <c r="B21" s="44" t="s">
        <v>193</v>
      </c>
      <c r="C21" s="44" t="s">
        <v>19</v>
      </c>
      <c r="D21" s="44" t="s">
        <v>101</v>
      </c>
    </row>
    <row r="22" spans="1:4" x14ac:dyDescent="0.3">
      <c r="A22" s="44" t="s">
        <v>130</v>
      </c>
      <c r="B22" s="44" t="s">
        <v>194</v>
      </c>
      <c r="C22" s="44" t="s">
        <v>20</v>
      </c>
      <c r="D22" s="44" t="s">
        <v>102</v>
      </c>
    </row>
    <row r="23" spans="1:4" x14ac:dyDescent="0.3">
      <c r="A23" s="44" t="s">
        <v>130</v>
      </c>
      <c r="B23" s="44" t="s">
        <v>195</v>
      </c>
      <c r="C23" s="44" t="s">
        <v>21</v>
      </c>
      <c r="D23" s="44" t="s">
        <v>103</v>
      </c>
    </row>
    <row r="24" spans="1:4" x14ac:dyDescent="0.3">
      <c r="A24" s="44" t="s">
        <v>130</v>
      </c>
      <c r="B24" s="44" t="s">
        <v>196</v>
      </c>
      <c r="C24" s="44" t="s">
        <v>22</v>
      </c>
      <c r="D24" s="44" t="s">
        <v>104</v>
      </c>
    </row>
    <row r="25" spans="1:4" x14ac:dyDescent="0.3">
      <c r="A25" s="44" t="s">
        <v>130</v>
      </c>
      <c r="B25" s="44" t="s">
        <v>197</v>
      </c>
      <c r="C25" s="44" t="s">
        <v>23</v>
      </c>
      <c r="D25" s="44" t="s">
        <v>105</v>
      </c>
    </row>
    <row r="26" spans="1:4" x14ac:dyDescent="0.3">
      <c r="A26" s="44" t="s">
        <v>130</v>
      </c>
      <c r="B26" s="44" t="s">
        <v>198</v>
      </c>
      <c r="C26" s="44" t="s">
        <v>24</v>
      </c>
      <c r="D26" s="44" t="s">
        <v>106</v>
      </c>
    </row>
    <row r="27" spans="1:4" x14ac:dyDescent="0.3">
      <c r="A27" s="44" t="s">
        <v>130</v>
      </c>
      <c r="B27" s="44" t="s">
        <v>199</v>
      </c>
      <c r="C27" s="44" t="s">
        <v>25</v>
      </c>
      <c r="D27" s="44" t="s">
        <v>107</v>
      </c>
    </row>
    <row r="28" spans="1:4" x14ac:dyDescent="0.3">
      <c r="A28" s="44" t="s">
        <v>130</v>
      </c>
      <c r="B28" s="44" t="s">
        <v>200</v>
      </c>
      <c r="C28" s="44" t="s">
        <v>26</v>
      </c>
      <c r="D28" s="44" t="s">
        <v>108</v>
      </c>
    </row>
    <row r="29" spans="1:4" x14ac:dyDescent="0.3">
      <c r="A29" s="44" t="s">
        <v>130</v>
      </c>
      <c r="B29" s="44" t="s">
        <v>201</v>
      </c>
      <c r="C29" s="44" t="s">
        <v>27</v>
      </c>
      <c r="D29" s="44" t="s">
        <v>109</v>
      </c>
    </row>
    <row r="30" spans="1:4" x14ac:dyDescent="0.3">
      <c r="A30" s="44" t="s">
        <v>130</v>
      </c>
      <c r="B30" s="44" t="s">
        <v>202</v>
      </c>
      <c r="C30" s="44" t="s">
        <v>28</v>
      </c>
      <c r="D30" s="44" t="s">
        <v>110</v>
      </c>
    </row>
    <row r="31" spans="1:4" x14ac:dyDescent="0.3">
      <c r="A31" s="44" t="s">
        <v>130</v>
      </c>
      <c r="B31" s="44" t="s">
        <v>203</v>
      </c>
      <c r="C31" s="44" t="s">
        <v>29</v>
      </c>
      <c r="D31" s="44" t="s">
        <v>111</v>
      </c>
    </row>
    <row r="32" spans="1:4" x14ac:dyDescent="0.3">
      <c r="A32" s="44" t="s">
        <v>130</v>
      </c>
      <c r="B32" s="44" t="s">
        <v>204</v>
      </c>
      <c r="C32" s="44" t="s">
        <v>30</v>
      </c>
      <c r="D32" s="44" t="s">
        <v>112</v>
      </c>
    </row>
    <row r="33" spans="1:4" x14ac:dyDescent="0.3">
      <c r="A33" s="44" t="s">
        <v>130</v>
      </c>
      <c r="B33" s="44" t="s">
        <v>205</v>
      </c>
      <c r="C33" s="44" t="s">
        <v>31</v>
      </c>
      <c r="D33" s="44" t="s">
        <v>113</v>
      </c>
    </row>
    <row r="34" spans="1:4" x14ac:dyDescent="0.3">
      <c r="A34" s="44" t="s">
        <v>130</v>
      </c>
      <c r="B34" s="44" t="s">
        <v>206</v>
      </c>
      <c r="C34" s="44" t="s">
        <v>32</v>
      </c>
      <c r="D34" s="44" t="s">
        <v>114</v>
      </c>
    </row>
    <row r="35" spans="1:4" x14ac:dyDescent="0.3">
      <c r="A35" s="44" t="s">
        <v>130</v>
      </c>
      <c r="B35" s="44" t="s">
        <v>207</v>
      </c>
      <c r="C35" s="44" t="s">
        <v>33</v>
      </c>
      <c r="D35" s="44" t="s">
        <v>115</v>
      </c>
    </row>
    <row r="36" spans="1:4" x14ac:dyDescent="0.3">
      <c r="A36" s="44" t="s">
        <v>130</v>
      </c>
      <c r="B36" s="44" t="s">
        <v>208</v>
      </c>
      <c r="C36" s="44" t="s">
        <v>34</v>
      </c>
      <c r="D36" s="44" t="s">
        <v>116</v>
      </c>
    </row>
    <row r="37" spans="1:4" x14ac:dyDescent="0.3">
      <c r="A37" s="44" t="s">
        <v>130</v>
      </c>
      <c r="B37" s="44" t="s">
        <v>209</v>
      </c>
      <c r="C37" s="44" t="s">
        <v>35</v>
      </c>
      <c r="D37" s="44" t="s">
        <v>117</v>
      </c>
    </row>
    <row r="38" spans="1:4" x14ac:dyDescent="0.3">
      <c r="A38" s="44" t="s">
        <v>130</v>
      </c>
      <c r="B38" s="44" t="s">
        <v>210</v>
      </c>
      <c r="C38" s="44" t="s">
        <v>36</v>
      </c>
      <c r="D38" s="44" t="s">
        <v>118</v>
      </c>
    </row>
    <row r="39" spans="1:4" x14ac:dyDescent="0.3">
      <c r="A39" s="44" t="s">
        <v>130</v>
      </c>
      <c r="B39" s="44" t="s">
        <v>211</v>
      </c>
      <c r="C39" s="44" t="s">
        <v>37</v>
      </c>
      <c r="D39" s="44" t="s">
        <v>119</v>
      </c>
    </row>
    <row r="40" spans="1:4" x14ac:dyDescent="0.3">
      <c r="A40" s="44" t="s">
        <v>130</v>
      </c>
      <c r="B40" s="44" t="s">
        <v>212</v>
      </c>
      <c r="C40" s="44" t="s">
        <v>38</v>
      </c>
      <c r="D40" s="44" t="s">
        <v>120</v>
      </c>
    </row>
    <row r="41" spans="1:4" x14ac:dyDescent="0.3">
      <c r="A41" s="44" t="s">
        <v>130</v>
      </c>
      <c r="B41" s="44" t="s">
        <v>213</v>
      </c>
      <c r="C41" s="44" t="s">
        <v>39</v>
      </c>
      <c r="D41" s="44" t="s">
        <v>88</v>
      </c>
    </row>
    <row r="42" spans="1:4" x14ac:dyDescent="0.3">
      <c r="A42" s="44" t="s">
        <v>130</v>
      </c>
      <c r="B42" s="44" t="s">
        <v>214</v>
      </c>
      <c r="C42" s="44" t="s">
        <v>40</v>
      </c>
      <c r="D42" s="44" t="s">
        <v>40</v>
      </c>
    </row>
    <row r="43" spans="1:4" x14ac:dyDescent="0.3">
      <c r="A43" s="44" t="s">
        <v>130</v>
      </c>
      <c r="B43" s="44" t="s">
        <v>215</v>
      </c>
      <c r="C43" s="44" t="s">
        <v>41</v>
      </c>
      <c r="D43" s="44" t="s">
        <v>121</v>
      </c>
    </row>
    <row r="44" spans="1:4" x14ac:dyDescent="0.3">
      <c r="A44" s="44" t="s">
        <v>130</v>
      </c>
      <c r="B44" s="44" t="s">
        <v>216</v>
      </c>
      <c r="C44" s="44" t="s">
        <v>42</v>
      </c>
      <c r="D44" s="44" t="s">
        <v>123</v>
      </c>
    </row>
    <row r="45" spans="1:4" x14ac:dyDescent="0.3">
      <c r="A45" s="44" t="s">
        <v>130</v>
      </c>
      <c r="B45" s="44" t="s">
        <v>217</v>
      </c>
      <c r="C45" s="44" t="s">
        <v>43</v>
      </c>
      <c r="D45" s="44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T42"/>
  <sheetViews>
    <sheetView showGridLines="0" tabSelected="1" topLeftCell="B3" workbookViewId="0">
      <selection activeCell="C4" sqref="C4"/>
    </sheetView>
  </sheetViews>
  <sheetFormatPr defaultRowHeight="14.4" x14ac:dyDescent="0.3"/>
  <cols>
    <col min="1" max="1" width="8.6640625" customWidth="1"/>
    <col min="2" max="2" width="18" bestFit="1" customWidth="1"/>
    <col min="3" max="3" width="9.44140625" customWidth="1"/>
    <col min="4" max="4" width="21.44140625" customWidth="1"/>
    <col min="5" max="5" width="38.44140625" customWidth="1"/>
    <col min="6" max="6" width="17.5546875" customWidth="1"/>
    <col min="7" max="7" width="30.109375" customWidth="1"/>
    <col min="8" max="8" width="10" customWidth="1"/>
    <col min="9" max="9" width="22.109375" customWidth="1"/>
    <col min="10" max="10" width="22" customWidth="1"/>
    <col min="11" max="11" width="23.33203125" customWidth="1"/>
    <col min="12" max="12" width="15.109375" bestFit="1" customWidth="1"/>
    <col min="13" max="13" width="20.33203125" customWidth="1"/>
    <col min="14" max="14" width="20.5546875" customWidth="1"/>
    <col min="15" max="15" width="24" customWidth="1"/>
    <col min="16" max="16" width="35" customWidth="1"/>
    <col min="17" max="17" width="19.5546875" customWidth="1"/>
    <col min="18" max="18" width="37.5546875" customWidth="1"/>
    <col min="19" max="19" width="44.33203125" customWidth="1"/>
    <col min="20" max="20" width="34.5546875" customWidth="1"/>
    <col min="21" max="21" width="41.109375" customWidth="1"/>
    <col min="22" max="22" width="19.6640625" customWidth="1"/>
    <col min="23" max="23" width="25.109375" customWidth="1"/>
    <col min="24" max="24" width="34.88671875" customWidth="1"/>
    <col min="25" max="25" width="23.5546875" customWidth="1"/>
    <col min="26" max="26" width="37.109375" customWidth="1"/>
    <col min="27" max="27" width="30.6640625" customWidth="1"/>
    <col min="28" max="28" width="18.44140625" bestFit="1" customWidth="1"/>
    <col min="29" max="29" width="20.5546875" customWidth="1"/>
    <col min="30" max="30" width="39.6640625" customWidth="1"/>
    <col min="31" max="31" width="32.88671875" customWidth="1"/>
    <col min="32" max="32" width="32.33203125" customWidth="1"/>
    <col min="33" max="33" width="44.88671875" customWidth="1"/>
    <col min="34" max="34" width="35.33203125" customWidth="1"/>
    <col min="35" max="35" width="34.33203125" customWidth="1"/>
    <col min="36" max="36" width="39" customWidth="1"/>
    <col min="37" max="37" width="32" customWidth="1"/>
    <col min="38" max="38" width="56.33203125" style="1" customWidth="1"/>
    <col min="39" max="39" width="61" customWidth="1"/>
    <col min="40" max="40" width="54" customWidth="1"/>
    <col min="41" max="41" width="17.5546875" customWidth="1"/>
    <col min="42" max="42" width="8" bestFit="1" customWidth="1"/>
    <col min="43" max="44" width="11.33203125" bestFit="1" customWidth="1"/>
    <col min="45" max="45" width="11.109375" bestFit="1" customWidth="1"/>
  </cols>
  <sheetData>
    <row r="1" spans="1:46" x14ac:dyDescent="0.3">
      <c r="A1" s="45"/>
      <c r="B1" s="45"/>
      <c r="C1" s="53" t="s">
        <v>132</v>
      </c>
      <c r="D1" s="53" t="s">
        <v>133</v>
      </c>
      <c r="E1" s="53" t="s">
        <v>134</v>
      </c>
      <c r="F1" s="53" t="s">
        <v>135</v>
      </c>
      <c r="G1" s="53" t="s">
        <v>136</v>
      </c>
      <c r="H1" s="53" t="s">
        <v>137</v>
      </c>
      <c r="I1" s="53" t="s">
        <v>138</v>
      </c>
      <c r="J1" s="53" t="s">
        <v>139</v>
      </c>
      <c r="K1" s="53" t="s">
        <v>140</v>
      </c>
      <c r="L1" s="53" t="s">
        <v>141</v>
      </c>
      <c r="M1" s="53" t="s">
        <v>142</v>
      </c>
      <c r="N1" s="53" t="s">
        <v>143</v>
      </c>
      <c r="O1" s="53" t="s">
        <v>144</v>
      </c>
      <c r="P1" s="53" t="s">
        <v>145</v>
      </c>
      <c r="Q1" s="53" t="s">
        <v>146</v>
      </c>
      <c r="R1" s="53" t="s">
        <v>147</v>
      </c>
      <c r="S1" s="53" t="s">
        <v>148</v>
      </c>
      <c r="T1" s="53" t="s">
        <v>149</v>
      </c>
      <c r="U1" s="53" t="s">
        <v>150</v>
      </c>
      <c r="V1" s="53" t="s">
        <v>151</v>
      </c>
      <c r="W1" s="53" t="s">
        <v>152</v>
      </c>
      <c r="X1" s="53" t="s">
        <v>153</v>
      </c>
      <c r="Y1" s="53" t="s">
        <v>154</v>
      </c>
      <c r="Z1" s="53" t="s">
        <v>155</v>
      </c>
      <c r="AA1" s="53" t="s">
        <v>156</v>
      </c>
      <c r="AB1" s="53" t="s">
        <v>157</v>
      </c>
      <c r="AC1" s="53" t="s">
        <v>158</v>
      </c>
      <c r="AD1" s="53" t="s">
        <v>159</v>
      </c>
      <c r="AE1" s="53" t="s">
        <v>160</v>
      </c>
      <c r="AF1" s="53" t="s">
        <v>161</v>
      </c>
      <c r="AG1" s="53" t="s">
        <v>162</v>
      </c>
      <c r="AH1" s="53" t="s">
        <v>163</v>
      </c>
      <c r="AI1" s="53" t="s">
        <v>164</v>
      </c>
      <c r="AJ1" s="53" t="s">
        <v>165</v>
      </c>
      <c r="AK1" s="53" t="s">
        <v>166</v>
      </c>
      <c r="AL1" s="54" t="s">
        <v>167</v>
      </c>
      <c r="AM1" s="53" t="s">
        <v>168</v>
      </c>
      <c r="AN1" s="53" t="s">
        <v>169</v>
      </c>
      <c r="AO1" s="53" t="s">
        <v>170</v>
      </c>
      <c r="AP1" s="53" t="s">
        <v>171</v>
      </c>
      <c r="AQ1" s="53" t="s">
        <v>172</v>
      </c>
      <c r="AR1" s="53" t="s">
        <v>173</v>
      </c>
      <c r="AS1" s="53" t="s">
        <v>174</v>
      </c>
      <c r="AT1" s="62" t="s">
        <v>268</v>
      </c>
    </row>
    <row r="2" spans="1:46" x14ac:dyDescent="0.3">
      <c r="A2" s="48" t="s">
        <v>0</v>
      </c>
      <c r="B2" s="48" t="s">
        <v>274</v>
      </c>
      <c r="C2" s="48" t="s">
        <v>1</v>
      </c>
      <c r="D2" s="48" t="s">
        <v>2</v>
      </c>
      <c r="E2" s="48" t="s">
        <v>3</v>
      </c>
      <c r="F2" s="48" t="s">
        <v>4</v>
      </c>
      <c r="G2" s="48" t="s">
        <v>5</v>
      </c>
      <c r="H2" s="48" t="s">
        <v>6</v>
      </c>
      <c r="I2" s="48" t="s">
        <v>7</v>
      </c>
      <c r="J2" s="48" t="s">
        <v>8</v>
      </c>
      <c r="K2" s="48" t="s">
        <v>9</v>
      </c>
      <c r="L2" s="48" t="s">
        <v>10</v>
      </c>
      <c r="M2" s="48" t="s">
        <v>11</v>
      </c>
      <c r="N2" s="48" t="s">
        <v>12</v>
      </c>
      <c r="O2" s="48" t="s">
        <v>13</v>
      </c>
      <c r="P2" s="48" t="s">
        <v>14</v>
      </c>
      <c r="Q2" s="48" t="s">
        <v>15</v>
      </c>
      <c r="R2" s="48" t="s">
        <v>16</v>
      </c>
      <c r="S2" s="48" t="s">
        <v>17</v>
      </c>
      <c r="T2" s="48" t="s">
        <v>18</v>
      </c>
      <c r="U2" s="48" t="s">
        <v>19</v>
      </c>
      <c r="V2" s="48" t="s">
        <v>20</v>
      </c>
      <c r="W2" s="48" t="s">
        <v>21</v>
      </c>
      <c r="X2" s="48" t="s">
        <v>22</v>
      </c>
      <c r="Y2" s="48" t="s">
        <v>23</v>
      </c>
      <c r="Z2" s="48" t="s">
        <v>24</v>
      </c>
      <c r="AA2" s="48" t="s">
        <v>25</v>
      </c>
      <c r="AB2" s="48" t="s">
        <v>26</v>
      </c>
      <c r="AC2" s="48" t="s">
        <v>27</v>
      </c>
      <c r="AD2" s="48" t="s">
        <v>28</v>
      </c>
      <c r="AE2" s="48" t="s">
        <v>29</v>
      </c>
      <c r="AF2" s="48" t="s">
        <v>30</v>
      </c>
      <c r="AG2" s="48" t="s">
        <v>31</v>
      </c>
      <c r="AH2" s="48" t="s">
        <v>32</v>
      </c>
      <c r="AI2" s="48" t="s">
        <v>33</v>
      </c>
      <c r="AJ2" s="48" t="s">
        <v>34</v>
      </c>
      <c r="AK2" s="48" t="s">
        <v>35</v>
      </c>
      <c r="AL2" s="49" t="s">
        <v>36</v>
      </c>
      <c r="AM2" s="48" t="s">
        <v>37</v>
      </c>
      <c r="AN2" s="48" t="s">
        <v>38</v>
      </c>
      <c r="AO2" s="48" t="s">
        <v>39</v>
      </c>
      <c r="AP2" s="48" t="s">
        <v>40</v>
      </c>
      <c r="AQ2" s="48" t="s">
        <v>41</v>
      </c>
      <c r="AR2" s="48" t="s">
        <v>42</v>
      </c>
      <c r="AS2" s="48" t="s">
        <v>43</v>
      </c>
      <c r="AT2" s="48" t="s">
        <v>267</v>
      </c>
    </row>
    <row r="3" spans="1:46" x14ac:dyDescent="0.3">
      <c r="A3" s="48" t="s">
        <v>125</v>
      </c>
      <c r="B3" s="48" t="s">
        <v>274</v>
      </c>
      <c r="C3" s="48" t="s">
        <v>83</v>
      </c>
      <c r="D3" s="48" t="s">
        <v>84</v>
      </c>
      <c r="E3" s="48" t="s">
        <v>86</v>
      </c>
      <c r="F3" s="48" t="s">
        <v>87</v>
      </c>
      <c r="G3" s="48" t="s">
        <v>85</v>
      </c>
      <c r="H3" s="48" t="s">
        <v>89</v>
      </c>
      <c r="I3" s="48" t="s">
        <v>90</v>
      </c>
      <c r="J3" s="48" t="s">
        <v>91</v>
      </c>
      <c r="K3" s="48" t="s">
        <v>122</v>
      </c>
      <c r="L3" s="48" t="s">
        <v>92</v>
      </c>
      <c r="M3" s="48" t="s">
        <v>95</v>
      </c>
      <c r="N3" s="48" t="s">
        <v>93</v>
      </c>
      <c r="O3" s="48" t="s">
        <v>94</v>
      </c>
      <c r="P3" s="48" t="s">
        <v>96</v>
      </c>
      <c r="Q3" s="48" t="s">
        <v>97</v>
      </c>
      <c r="R3" s="48" t="s">
        <v>98</v>
      </c>
      <c r="S3" s="48" t="s">
        <v>99</v>
      </c>
      <c r="T3" s="48" t="s">
        <v>100</v>
      </c>
      <c r="U3" s="48" t="s">
        <v>101</v>
      </c>
      <c r="V3" s="48" t="s">
        <v>102</v>
      </c>
      <c r="W3" s="48" t="s">
        <v>103</v>
      </c>
      <c r="X3" s="48" t="s">
        <v>104</v>
      </c>
      <c r="Y3" s="48" t="s">
        <v>105</v>
      </c>
      <c r="Z3" s="48" t="s">
        <v>106</v>
      </c>
      <c r="AA3" s="48" t="s">
        <v>107</v>
      </c>
      <c r="AB3" s="48" t="s">
        <v>108</v>
      </c>
      <c r="AC3" s="48" t="s">
        <v>109</v>
      </c>
      <c r="AD3" s="48" t="s">
        <v>110</v>
      </c>
      <c r="AE3" s="48" t="s">
        <v>111</v>
      </c>
      <c r="AF3" s="48" t="s">
        <v>112</v>
      </c>
      <c r="AG3" s="48" t="s">
        <v>113</v>
      </c>
      <c r="AH3" s="48" t="s">
        <v>114</v>
      </c>
      <c r="AI3" s="48" t="s">
        <v>115</v>
      </c>
      <c r="AJ3" s="48" t="s">
        <v>116</v>
      </c>
      <c r="AK3" s="48" t="s">
        <v>117</v>
      </c>
      <c r="AL3" s="49" t="s">
        <v>118</v>
      </c>
      <c r="AM3" s="48" t="s">
        <v>119</v>
      </c>
      <c r="AN3" s="48" t="s">
        <v>120</v>
      </c>
      <c r="AO3" s="48" t="s">
        <v>88</v>
      </c>
      <c r="AP3" s="48" t="s">
        <v>40</v>
      </c>
      <c r="AQ3" s="48" t="s">
        <v>121</v>
      </c>
      <c r="AR3" s="48" t="s">
        <v>123</v>
      </c>
      <c r="AS3" s="48" t="s">
        <v>124</v>
      </c>
      <c r="AT3" s="48" t="s">
        <v>267</v>
      </c>
    </row>
    <row r="4" spans="1:46" x14ac:dyDescent="0.3">
      <c r="A4" s="44" t="s">
        <v>44</v>
      </c>
      <c r="B4" s="43">
        <v>3.32E-2</v>
      </c>
      <c r="C4" s="73">
        <v>109.9</v>
      </c>
      <c r="D4" s="2" t="s">
        <v>276</v>
      </c>
      <c r="E4" s="2" t="s">
        <v>276</v>
      </c>
      <c r="F4" s="2" t="s">
        <v>276</v>
      </c>
      <c r="G4" s="2" t="s">
        <v>276</v>
      </c>
      <c r="H4" s="77">
        <v>6.5</v>
      </c>
      <c r="I4" s="74">
        <v>10420</v>
      </c>
      <c r="J4" s="74">
        <v>14400.1</v>
      </c>
      <c r="K4" s="75">
        <v>162912</v>
      </c>
      <c r="L4" s="76">
        <f t="shared" ref="L4:L7" si="0">K4/J4</f>
        <v>11.313254769064104</v>
      </c>
      <c r="M4" s="78">
        <v>1.44</v>
      </c>
      <c r="N4" s="79">
        <v>1.1000000000000001</v>
      </c>
      <c r="O4" s="80">
        <v>1.1055836001435986E-2</v>
      </c>
      <c r="P4" s="81">
        <v>1.6</v>
      </c>
      <c r="Q4" s="82">
        <v>0.2</v>
      </c>
      <c r="R4" s="2">
        <v>4.1364384632160496</v>
      </c>
      <c r="S4" s="2">
        <v>7.0694994250442802</v>
      </c>
      <c r="T4" s="2">
        <v>2.6685725072034701</v>
      </c>
      <c r="U4" s="2">
        <v>3.2802079753628202</v>
      </c>
      <c r="V4" s="2">
        <v>-1702.3181804722201</v>
      </c>
      <c r="W4" s="2">
        <v>519.36635902680496</v>
      </c>
      <c r="X4" s="2">
        <v>3.7559798699410498</v>
      </c>
      <c r="Y4" s="2">
        <v>180.33727012510201</v>
      </c>
      <c r="Z4" s="2">
        <v>1.31676342885088</v>
      </c>
      <c r="AA4" s="2">
        <v>0.138778213270078</v>
      </c>
      <c r="AB4" s="2">
        <v>4006.1646866415099</v>
      </c>
      <c r="AC4" s="2">
        <v>691.08251861666997</v>
      </c>
      <c r="AD4" s="2">
        <v>-13379086775.279499</v>
      </c>
      <c r="AE4" s="2">
        <v>-1.4493180344010601</v>
      </c>
      <c r="AF4" s="2">
        <v>111864273173.078</v>
      </c>
      <c r="AG4" s="2">
        <v>771371708687.88196</v>
      </c>
      <c r="AH4" s="2">
        <v>0.138778213270078</v>
      </c>
      <c r="AI4" s="2">
        <v>229714655231.668</v>
      </c>
      <c r="AJ4" s="2">
        <v>8.3405783110668903</v>
      </c>
      <c r="AK4" s="2">
        <v>31.293380162354801</v>
      </c>
      <c r="AL4" s="83">
        <v>470392988016.28003</v>
      </c>
      <c r="AM4" s="2">
        <v>10.461246382671799</v>
      </c>
      <c r="AN4" s="2">
        <v>60.831454868010198</v>
      </c>
      <c r="AO4" s="2">
        <v>11150.219730000001</v>
      </c>
      <c r="AP4" s="2">
        <v>3128.2</v>
      </c>
      <c r="AQ4" s="2">
        <v>46.08</v>
      </c>
      <c r="AR4" s="2">
        <v>84.45</v>
      </c>
      <c r="AS4" s="2">
        <v>58.54</v>
      </c>
      <c r="AT4" s="44">
        <v>0</v>
      </c>
    </row>
    <row r="5" spans="1:46" x14ac:dyDescent="0.3">
      <c r="A5" s="44" t="s">
        <v>45</v>
      </c>
      <c r="B5" s="43">
        <v>3.1899999999999998E-2</v>
      </c>
      <c r="C5" s="73">
        <v>112.2</v>
      </c>
      <c r="D5" s="2" t="s">
        <v>276</v>
      </c>
      <c r="E5" s="2" t="s">
        <v>276</v>
      </c>
      <c r="F5" s="2" t="s">
        <v>276</v>
      </c>
      <c r="G5" s="2" t="s">
        <v>276</v>
      </c>
      <c r="H5" s="77">
        <v>7</v>
      </c>
      <c r="I5" s="74">
        <v>10756.9</v>
      </c>
      <c r="J5" s="74">
        <v>17351.099999999999</v>
      </c>
      <c r="K5" s="75">
        <v>165305</v>
      </c>
      <c r="L5" s="76">
        <f t="shared" si="0"/>
        <v>9.5270616848499525</v>
      </c>
      <c r="M5" s="78">
        <v>3.3</v>
      </c>
      <c r="N5" s="79">
        <v>0.8</v>
      </c>
      <c r="O5" s="80">
        <v>7.8769257525471911E-3</v>
      </c>
      <c r="P5" s="81">
        <v>1.1000000000000001</v>
      </c>
      <c r="Q5" s="82">
        <v>0.1</v>
      </c>
      <c r="R5" s="2">
        <v>4.0302740395100303</v>
      </c>
      <c r="S5" s="2">
        <v>6.7684371406526704</v>
      </c>
      <c r="T5" s="2">
        <v>2.5659828170021699</v>
      </c>
      <c r="U5" s="2">
        <v>2.97512998460176</v>
      </c>
      <c r="V5" s="2">
        <v>-1869.37511279514</v>
      </c>
      <c r="W5" s="2">
        <v>515.83584939175296</v>
      </c>
      <c r="X5" s="2">
        <v>3.5349874187131598</v>
      </c>
      <c r="Y5" s="2">
        <v>183.22079382818899</v>
      </c>
      <c r="Z5" s="2">
        <v>1.2604771430318</v>
      </c>
      <c r="AA5" s="2">
        <v>0.13441841841701399</v>
      </c>
      <c r="AB5" s="2">
        <v>4323.0898666509402</v>
      </c>
      <c r="AC5" s="2">
        <v>750.78719913541897</v>
      </c>
      <c r="AD5" s="2">
        <v>-11772616488.981501</v>
      </c>
      <c r="AE5" s="2">
        <v>-1.2527454201933701</v>
      </c>
      <c r="AF5" s="2">
        <v>117364989483.174</v>
      </c>
      <c r="AG5" s="2">
        <v>856125006565.797</v>
      </c>
      <c r="AH5" s="2">
        <v>0.13441841841701399</v>
      </c>
      <c r="AI5" s="2">
        <v>281841964836.08899</v>
      </c>
      <c r="AJ5" s="2">
        <v>11.3647400907305</v>
      </c>
      <c r="AK5" s="2">
        <v>33.422164405214801</v>
      </c>
      <c r="AL5" s="83">
        <v>507144303713.414</v>
      </c>
      <c r="AM5" s="2">
        <v>9.5324821551026204</v>
      </c>
      <c r="AN5" s="2">
        <v>59.049154978008701</v>
      </c>
      <c r="AO5" s="2">
        <v>11679.070309999999</v>
      </c>
      <c r="AP5" s="2">
        <v>3588.4</v>
      </c>
      <c r="AQ5" s="2">
        <v>45.96</v>
      </c>
      <c r="AR5" s="2">
        <v>86.09</v>
      </c>
      <c r="AS5" s="2">
        <v>58.33</v>
      </c>
      <c r="AT5" s="44">
        <v>0</v>
      </c>
    </row>
    <row r="6" spans="1:46" x14ac:dyDescent="0.3">
      <c r="A6" s="44" t="s">
        <v>46</v>
      </c>
      <c r="B6" s="43">
        <v>2.93E-2</v>
      </c>
      <c r="C6" s="73">
        <v>112.2</v>
      </c>
      <c r="D6" s="2" t="s">
        <v>276</v>
      </c>
      <c r="E6" s="2" t="s">
        <v>276</v>
      </c>
      <c r="F6" s="2" t="s">
        <v>276</v>
      </c>
      <c r="G6" s="2" t="s">
        <v>276</v>
      </c>
      <c r="H6" s="77">
        <v>7.25</v>
      </c>
      <c r="I6" s="74">
        <v>10834.5</v>
      </c>
      <c r="J6" s="74">
        <v>15679.6</v>
      </c>
      <c r="K6" s="75">
        <v>177251</v>
      </c>
      <c r="L6" s="76">
        <f t="shared" si="0"/>
        <v>11.304561340850531</v>
      </c>
      <c r="M6" s="78">
        <v>1.71</v>
      </c>
      <c r="N6" s="79">
        <v>1.1000000000000001</v>
      </c>
      <c r="O6" s="80">
        <v>1.1352769888916822E-2</v>
      </c>
      <c r="P6" s="81">
        <v>1.6</v>
      </c>
      <c r="Q6" s="82">
        <v>0.4</v>
      </c>
      <c r="R6" s="2">
        <v>3.96</v>
      </c>
      <c r="S6" s="2">
        <v>6.5</v>
      </c>
      <c r="T6" s="2">
        <v>2.5</v>
      </c>
      <c r="U6" s="2">
        <v>2.7</v>
      </c>
      <c r="V6" s="2">
        <v>-2039.91</v>
      </c>
      <c r="W6" s="2">
        <v>510.97</v>
      </c>
      <c r="X6" s="2">
        <v>3.3</v>
      </c>
      <c r="Y6" s="2">
        <v>185.43</v>
      </c>
      <c r="Z6" s="2">
        <v>1.2</v>
      </c>
      <c r="AA6" s="2">
        <v>0.12833794944837901</v>
      </c>
      <c r="AB6" s="2">
        <v>4657.6890000000003</v>
      </c>
      <c r="AC6" s="2">
        <v>816.73</v>
      </c>
      <c r="AD6" s="2">
        <v>-9299060317.4627991</v>
      </c>
      <c r="AE6" s="2">
        <v>-0.97975935260248004</v>
      </c>
      <c r="AF6" s="2">
        <v>121807700000</v>
      </c>
      <c r="AG6" s="2">
        <v>949116769619.21497</v>
      </c>
      <c r="AH6" s="2">
        <v>0.12833794944837901</v>
      </c>
      <c r="AI6" s="2">
        <v>340464201135.92401</v>
      </c>
      <c r="AJ6" s="2">
        <v>15.5386948560025</v>
      </c>
      <c r="AK6" s="2">
        <v>35.871687450259301</v>
      </c>
      <c r="AL6" s="83">
        <v>547335771665.98499</v>
      </c>
      <c r="AM6" s="2">
        <v>8.4760808545441595</v>
      </c>
      <c r="AN6" s="2">
        <v>56.961023211323997</v>
      </c>
      <c r="AO6" s="2">
        <v>12463.150390000001</v>
      </c>
      <c r="AP6" s="2">
        <v>3966.4</v>
      </c>
      <c r="AQ6" s="2">
        <v>44.23</v>
      </c>
      <c r="AR6" s="2">
        <v>86.91</v>
      </c>
      <c r="AS6" s="2">
        <v>58.26</v>
      </c>
      <c r="AT6" s="44">
        <v>0</v>
      </c>
    </row>
    <row r="7" spans="1:46" x14ac:dyDescent="0.3">
      <c r="A7" s="44" t="s">
        <v>47</v>
      </c>
      <c r="B7" s="43">
        <v>3.2500000000000001E-2</v>
      </c>
      <c r="C7" s="73">
        <v>112.8</v>
      </c>
      <c r="D7" s="2" t="s">
        <v>276</v>
      </c>
      <c r="E7" s="2" t="s">
        <v>276</v>
      </c>
      <c r="F7" s="2" t="s">
        <v>276</v>
      </c>
      <c r="G7" s="2" t="s">
        <v>276</v>
      </c>
      <c r="H7" s="77">
        <v>7.75</v>
      </c>
      <c r="I7" s="74">
        <v>12862.4</v>
      </c>
      <c r="J7" s="74">
        <v>17136.599999999999</v>
      </c>
      <c r="K7" s="75">
        <v>199179</v>
      </c>
      <c r="L7" s="76">
        <f t="shared" si="0"/>
        <v>11.623017401351495</v>
      </c>
      <c r="M7" s="78">
        <v>2.79</v>
      </c>
      <c r="N7" s="79">
        <v>1.2</v>
      </c>
      <c r="O7" s="80">
        <v>1.1858044702269315E-2</v>
      </c>
      <c r="P7" s="81">
        <v>1.7</v>
      </c>
      <c r="Q7" s="82">
        <v>1</v>
      </c>
      <c r="R7" s="2">
        <v>3.8897259604899701</v>
      </c>
      <c r="S7" s="2">
        <v>6.2315628593473296</v>
      </c>
      <c r="T7" s="2">
        <v>2.4340171829978301</v>
      </c>
      <c r="U7" s="2">
        <v>2.4248700153982399</v>
      </c>
      <c r="V7" s="2">
        <v>-2210.4448872048602</v>
      </c>
      <c r="W7" s="2">
        <v>506.10415060824698</v>
      </c>
      <c r="X7" s="2">
        <v>3.0650125812868398</v>
      </c>
      <c r="Y7" s="2">
        <v>187.639206171811</v>
      </c>
      <c r="Z7" s="2">
        <v>1.1395228569682001</v>
      </c>
      <c r="AA7" s="2">
        <v>0.122257480479744</v>
      </c>
      <c r="AB7" s="2">
        <v>4992.2881333490604</v>
      </c>
      <c r="AC7" s="2">
        <v>882.67280086458095</v>
      </c>
      <c r="AD7" s="2">
        <v>-6825504145.9440899</v>
      </c>
      <c r="AE7" s="2">
        <v>-0.70677328501159498</v>
      </c>
      <c r="AF7" s="2">
        <v>126250410516.826</v>
      </c>
      <c r="AG7" s="2">
        <v>1042108532672.63</v>
      </c>
      <c r="AH7" s="2">
        <v>0.122257480479744</v>
      </c>
      <c r="AI7" s="2">
        <v>399086437435.75897</v>
      </c>
      <c r="AJ7" s="2">
        <v>19.712649621274501</v>
      </c>
      <c r="AK7" s="2">
        <v>38.321210495303802</v>
      </c>
      <c r="AL7" s="83">
        <v>587527239618.55701</v>
      </c>
      <c r="AM7" s="2">
        <v>7.4196795539857003</v>
      </c>
      <c r="AN7" s="2">
        <v>54.8728914446394</v>
      </c>
      <c r="AO7" s="2">
        <v>12354.349609999999</v>
      </c>
      <c r="AP7" s="2">
        <v>3821.55</v>
      </c>
      <c r="AQ7" s="2">
        <v>43.59</v>
      </c>
      <c r="AR7" s="2">
        <v>85.53</v>
      </c>
      <c r="AS7" s="2">
        <v>58.14</v>
      </c>
      <c r="AT7" s="44">
        <v>0</v>
      </c>
    </row>
    <row r="8" spans="1:46" x14ac:dyDescent="0.3">
      <c r="A8" s="44" t="s">
        <v>48</v>
      </c>
      <c r="B8" s="43">
        <v>2.6100000000000002E-2</v>
      </c>
      <c r="C8" s="44">
        <v>114.8</v>
      </c>
      <c r="D8" s="44">
        <v>17697.84</v>
      </c>
      <c r="E8" s="44">
        <v>102.79</v>
      </c>
      <c r="F8" s="44">
        <v>565.49</v>
      </c>
      <c r="G8" s="44">
        <v>96.18</v>
      </c>
      <c r="H8" s="44">
        <v>7.75</v>
      </c>
      <c r="I8" s="44">
        <v>12101</v>
      </c>
      <c r="J8" s="44">
        <v>20016</v>
      </c>
      <c r="K8" s="44">
        <v>213362</v>
      </c>
      <c r="L8" s="44">
        <v>10.65957234</v>
      </c>
      <c r="M8" s="44">
        <v>2.52</v>
      </c>
      <c r="N8" s="44">
        <v>1.3</v>
      </c>
      <c r="O8" s="44">
        <v>1.3285839000000001E-2</v>
      </c>
      <c r="P8" s="44">
        <v>1.1000000000000001</v>
      </c>
      <c r="Q8" s="44">
        <v>0.7</v>
      </c>
      <c r="R8" s="44">
        <v>3.7835615370000002</v>
      </c>
      <c r="S8" s="44">
        <v>5.9305005749999999</v>
      </c>
      <c r="T8" s="44">
        <v>2.3314274930000001</v>
      </c>
      <c r="U8" s="44">
        <v>2.1197920250000002</v>
      </c>
      <c r="V8" s="44">
        <v>-2377.50182</v>
      </c>
      <c r="W8" s="44">
        <v>502.57364100000001</v>
      </c>
      <c r="X8" s="44">
        <v>2.8440201300000001</v>
      </c>
      <c r="Y8" s="44">
        <v>190.5227299</v>
      </c>
      <c r="Z8" s="44">
        <v>1.083236571</v>
      </c>
      <c r="AA8" s="44">
        <v>0.117897686</v>
      </c>
      <c r="AB8" s="44">
        <v>5309.2133130000002</v>
      </c>
      <c r="AC8" s="44">
        <v>942.37748139999997</v>
      </c>
      <c r="AD8" s="44">
        <v>-5219033860</v>
      </c>
      <c r="AE8" s="44">
        <v>-0.51020067099999999</v>
      </c>
      <c r="AF8" s="47">
        <v>132000000000</v>
      </c>
      <c r="AG8" s="47">
        <v>1130000000000</v>
      </c>
      <c r="AH8" s="44">
        <v>0.117897686</v>
      </c>
      <c r="AI8" s="47">
        <v>451000000000</v>
      </c>
      <c r="AJ8" s="44">
        <v>22.736811400000001</v>
      </c>
      <c r="AK8" s="44">
        <v>40.449994740000001</v>
      </c>
      <c r="AL8" s="46">
        <v>624000000000</v>
      </c>
      <c r="AM8" s="44">
        <v>6.4909153259999997</v>
      </c>
      <c r="AN8" s="44">
        <v>53.090591549999999</v>
      </c>
      <c r="AO8" s="44">
        <v>13408.62012</v>
      </c>
      <c r="AP8" s="44">
        <v>4318.3</v>
      </c>
      <c r="AQ8" s="44">
        <v>40.75</v>
      </c>
      <c r="AR8" s="44">
        <v>81.63</v>
      </c>
      <c r="AS8" s="44">
        <v>54.79</v>
      </c>
      <c r="AT8" s="44">
        <v>0</v>
      </c>
    </row>
    <row r="9" spans="1:46" x14ac:dyDescent="0.3">
      <c r="A9" s="44" t="s">
        <v>49</v>
      </c>
      <c r="B9" s="43">
        <v>2.6599999999999999E-2</v>
      </c>
      <c r="C9" s="44">
        <v>116</v>
      </c>
      <c r="D9" s="44">
        <v>19010.57</v>
      </c>
      <c r="E9" s="44">
        <v>103.14</v>
      </c>
      <c r="F9" s="44">
        <v>602.85</v>
      </c>
      <c r="G9" s="44">
        <v>101.63</v>
      </c>
      <c r="H9" s="44">
        <v>7.75</v>
      </c>
      <c r="I9" s="44">
        <v>12521.4</v>
      </c>
      <c r="J9" s="44">
        <v>18217.5</v>
      </c>
      <c r="K9" s="44">
        <v>247762</v>
      </c>
      <c r="L9" s="44">
        <v>13.60021957</v>
      </c>
      <c r="M9" s="44">
        <v>1.79</v>
      </c>
      <c r="N9" s="44">
        <v>1</v>
      </c>
      <c r="O9" s="44">
        <v>1.0220284E-2</v>
      </c>
      <c r="P9" s="44">
        <v>1</v>
      </c>
      <c r="Q9" s="44">
        <v>0.8</v>
      </c>
      <c r="R9" s="44">
        <v>3.6056163450000001</v>
      </c>
      <c r="S9" s="44">
        <v>5.5641880029999999</v>
      </c>
      <c r="T9" s="44">
        <v>2.1556240560000002</v>
      </c>
      <c r="U9" s="44">
        <v>1.754818022</v>
      </c>
      <c r="V9" s="44">
        <v>-2537.6028419999998</v>
      </c>
      <c r="W9" s="44">
        <v>501.7138109</v>
      </c>
      <c r="X9" s="44">
        <v>2.6510176140000001</v>
      </c>
      <c r="Y9" s="44">
        <v>194.75488859999999</v>
      </c>
      <c r="Z9" s="44">
        <v>1.0353319999999999</v>
      </c>
      <c r="AA9" s="44">
        <v>0.116979239</v>
      </c>
      <c r="AB9" s="44">
        <v>5590.7905870000004</v>
      </c>
      <c r="AC9" s="44">
        <v>989.60592120000001</v>
      </c>
      <c r="AD9" s="44">
        <v>-5346735344</v>
      </c>
      <c r="AE9" s="44">
        <v>-0.466454963</v>
      </c>
      <c r="AF9" s="47">
        <v>139000000000</v>
      </c>
      <c r="AG9" s="47">
        <v>1200000000000</v>
      </c>
      <c r="AH9" s="44">
        <v>0.116979239</v>
      </c>
      <c r="AI9" s="47">
        <v>490000000000</v>
      </c>
      <c r="AJ9" s="44">
        <v>23.461387210000002</v>
      </c>
      <c r="AK9" s="44">
        <v>41.937301380000001</v>
      </c>
      <c r="AL9" s="46">
        <v>654000000000</v>
      </c>
      <c r="AM9" s="44">
        <v>5.8174252449999999</v>
      </c>
      <c r="AN9" s="44">
        <v>51.919955420000001</v>
      </c>
      <c r="AO9" s="44">
        <v>13895.62988</v>
      </c>
      <c r="AP9" s="44">
        <v>5021.3500000000004</v>
      </c>
      <c r="AQ9" s="44">
        <v>39.74</v>
      </c>
      <c r="AR9" s="44">
        <v>80.34</v>
      </c>
      <c r="AS9" s="44">
        <v>56.3</v>
      </c>
      <c r="AT9" s="44">
        <v>0</v>
      </c>
    </row>
    <row r="10" spans="1:46" x14ac:dyDescent="0.3">
      <c r="A10" s="44" t="s">
        <v>50</v>
      </c>
      <c r="B10" s="43">
        <v>2.7699999999999999E-2</v>
      </c>
      <c r="C10" s="44">
        <v>116.7</v>
      </c>
      <c r="D10" s="44">
        <v>19750.349999999999</v>
      </c>
      <c r="E10" s="44">
        <v>110.69</v>
      </c>
      <c r="F10" s="44">
        <v>632.23</v>
      </c>
      <c r="G10" s="44">
        <v>100.79</v>
      </c>
      <c r="H10" s="44">
        <v>7.75</v>
      </c>
      <c r="I10" s="44">
        <v>14625.5</v>
      </c>
      <c r="J10" s="44">
        <v>20116.900000000001</v>
      </c>
      <c r="K10" s="44">
        <v>275316</v>
      </c>
      <c r="L10" s="44">
        <v>13.68580646</v>
      </c>
      <c r="M10" s="44">
        <v>3.38</v>
      </c>
      <c r="N10" s="44">
        <v>0.8</v>
      </c>
      <c r="O10" s="44">
        <v>7.9342749999999993E-3</v>
      </c>
      <c r="P10" s="44">
        <v>1.3</v>
      </c>
      <c r="Q10" s="44">
        <v>0.8</v>
      </c>
      <c r="R10" s="44">
        <v>3.32</v>
      </c>
      <c r="S10" s="44">
        <v>5.0999999999999996</v>
      </c>
      <c r="T10" s="44">
        <v>1.87</v>
      </c>
      <c r="U10" s="44">
        <v>1.3</v>
      </c>
      <c r="V10" s="44">
        <v>-2687.27</v>
      </c>
      <c r="W10" s="44">
        <v>504.86</v>
      </c>
      <c r="X10" s="44">
        <v>2.5</v>
      </c>
      <c r="Y10" s="44">
        <v>201.01</v>
      </c>
      <c r="Z10" s="44">
        <v>1</v>
      </c>
      <c r="AA10" s="44">
        <v>0.121222815</v>
      </c>
      <c r="AB10" s="44">
        <v>5819.3459999999995</v>
      </c>
      <c r="AC10" s="44">
        <v>1018.12</v>
      </c>
      <c r="AD10" s="44">
        <v>-8075694484</v>
      </c>
      <c r="AE10" s="44">
        <v>-0.65194961600000001</v>
      </c>
      <c r="AF10" s="47">
        <v>150000000000</v>
      </c>
      <c r="AG10" s="47">
        <v>1240000000000</v>
      </c>
      <c r="AH10" s="44">
        <v>0.121222815</v>
      </c>
      <c r="AI10" s="47">
        <v>510000000000</v>
      </c>
      <c r="AJ10" s="44">
        <v>20.736584059999998</v>
      </c>
      <c r="AK10" s="44">
        <v>42.462391609999997</v>
      </c>
      <c r="AL10" s="46">
        <v>674000000000</v>
      </c>
      <c r="AM10" s="44">
        <v>5.5268463819999996</v>
      </c>
      <c r="AN10" s="44">
        <v>51.666814909999999</v>
      </c>
      <c r="AO10" s="44">
        <v>13264.820309999999</v>
      </c>
      <c r="AP10" s="44">
        <v>6138.6</v>
      </c>
      <c r="AQ10" s="44">
        <v>39.409999999999997</v>
      </c>
      <c r="AR10" s="44">
        <v>78.739999999999995</v>
      </c>
      <c r="AS10" s="44">
        <v>58.12</v>
      </c>
      <c r="AT10" s="44">
        <v>0</v>
      </c>
    </row>
    <row r="11" spans="1:46" x14ac:dyDescent="0.3">
      <c r="A11" s="44" t="s">
        <v>51</v>
      </c>
      <c r="B11" s="43">
        <v>3.1399999999999997E-2</v>
      </c>
      <c r="C11" s="44">
        <v>121.5</v>
      </c>
      <c r="D11" s="44">
        <v>22048.01</v>
      </c>
      <c r="E11" s="44">
        <v>122.13</v>
      </c>
      <c r="F11" s="44">
        <v>680.79</v>
      </c>
      <c r="G11" s="44">
        <v>97.97</v>
      </c>
      <c r="H11" s="44">
        <v>7.75</v>
      </c>
      <c r="I11" s="44">
        <v>17254</v>
      </c>
      <c r="J11" s="44">
        <v>23573.7</v>
      </c>
      <c r="K11" s="44">
        <v>309723</v>
      </c>
      <c r="L11" s="44">
        <v>13.138497559999999</v>
      </c>
      <c r="M11" s="44">
        <v>0.61</v>
      </c>
      <c r="N11" s="44">
        <v>-0.1</v>
      </c>
      <c r="O11" s="44">
        <v>-1.1508110000000001E-3</v>
      </c>
      <c r="P11" s="44">
        <v>0.9</v>
      </c>
      <c r="Q11" s="44">
        <v>0.1</v>
      </c>
      <c r="R11" s="44">
        <v>2.9245250029999998</v>
      </c>
      <c r="S11" s="44">
        <v>4.5426240660000001</v>
      </c>
      <c r="T11" s="44">
        <v>1.471586574</v>
      </c>
      <c r="U11" s="44">
        <v>0.76002546000000004</v>
      </c>
      <c r="V11" s="44">
        <v>-2830.0947310000001</v>
      </c>
      <c r="W11" s="44">
        <v>513.01752090000002</v>
      </c>
      <c r="X11" s="44">
        <v>2.4003422890000001</v>
      </c>
      <c r="Y11" s="44">
        <v>209.76790769999999</v>
      </c>
      <c r="Z11" s="44">
        <v>0.98036557199999996</v>
      </c>
      <c r="AA11" s="44">
        <v>0.131332368</v>
      </c>
      <c r="AB11" s="44">
        <v>5993.8728190000002</v>
      </c>
      <c r="AC11" s="44">
        <v>1024.3572959999999</v>
      </c>
      <c r="AD11" s="44">
        <v>-13782780944</v>
      </c>
      <c r="AE11" s="44">
        <v>-1.101154169</v>
      </c>
      <c r="AF11" s="47">
        <v>164000000000</v>
      </c>
      <c r="AG11" s="47">
        <v>1250000000000</v>
      </c>
      <c r="AH11" s="44">
        <v>0.131332368</v>
      </c>
      <c r="AI11" s="47">
        <v>507000000000</v>
      </c>
      <c r="AJ11" s="44">
        <v>14.075548619999999</v>
      </c>
      <c r="AK11" s="44">
        <v>41.855981440000001</v>
      </c>
      <c r="AL11" s="46">
        <v>681000000000</v>
      </c>
      <c r="AM11" s="44">
        <v>5.6910683769999997</v>
      </c>
      <c r="AN11" s="44">
        <v>52.487378319999998</v>
      </c>
      <c r="AO11" s="44">
        <v>12262.889649999999</v>
      </c>
      <c r="AP11" s="44">
        <v>4734.5</v>
      </c>
      <c r="AQ11" s="44">
        <v>39.97</v>
      </c>
      <c r="AR11" s="44">
        <v>79.53</v>
      </c>
      <c r="AS11" s="44">
        <v>63.09</v>
      </c>
      <c r="AT11" s="44">
        <v>0</v>
      </c>
    </row>
    <row r="12" spans="1:46" x14ac:dyDescent="0.3">
      <c r="A12" s="44" t="s">
        <v>52</v>
      </c>
      <c r="B12" s="43">
        <v>2.9700000000000001E-2</v>
      </c>
      <c r="C12" s="44">
        <v>127.3</v>
      </c>
      <c r="D12" s="44">
        <v>22324.37</v>
      </c>
      <c r="E12" s="44">
        <v>120.95</v>
      </c>
      <c r="F12" s="44">
        <v>685.99</v>
      </c>
      <c r="G12" s="44">
        <v>88.97</v>
      </c>
      <c r="H12" s="44">
        <v>8.5</v>
      </c>
      <c r="I12" s="44">
        <v>19180.900000000001</v>
      </c>
      <c r="J12" s="44">
        <v>28950.6</v>
      </c>
      <c r="K12" s="44">
        <v>312087</v>
      </c>
      <c r="L12" s="44">
        <v>10.779983830000001</v>
      </c>
      <c r="M12" s="44">
        <v>1.04</v>
      </c>
      <c r="N12" s="44">
        <v>1</v>
      </c>
      <c r="O12" s="44">
        <v>9.8579259999999995E-3</v>
      </c>
      <c r="P12" s="44">
        <v>0.2</v>
      </c>
      <c r="Q12" s="44">
        <v>-0.7</v>
      </c>
      <c r="R12" s="44">
        <v>2.5518153899999998</v>
      </c>
      <c r="S12" s="44">
        <v>4.0459982749999996</v>
      </c>
      <c r="T12" s="44">
        <v>1.091967522</v>
      </c>
      <c r="U12" s="44">
        <v>0.27812392600000002</v>
      </c>
      <c r="V12" s="44">
        <v>-2997.9460410000002</v>
      </c>
      <c r="W12" s="44">
        <v>525.87157709999997</v>
      </c>
      <c r="X12" s="44">
        <v>2.3429396100000002</v>
      </c>
      <c r="Y12" s="44">
        <v>220.7305604</v>
      </c>
      <c r="Z12" s="44">
        <v>0.97529028699999998</v>
      </c>
      <c r="AA12" s="44">
        <v>0.14394498</v>
      </c>
      <c r="AB12" s="44">
        <v>6180.0331850000002</v>
      </c>
      <c r="AC12" s="44">
        <v>1015.458181</v>
      </c>
      <c r="AD12" s="44">
        <v>-20883999506</v>
      </c>
      <c r="AE12" s="44">
        <v>-1.6807625100000001</v>
      </c>
      <c r="AF12" s="47">
        <v>179000000000</v>
      </c>
      <c r="AG12" s="47">
        <v>1250000000000</v>
      </c>
      <c r="AH12" s="44">
        <v>0.14394498</v>
      </c>
      <c r="AI12" s="47">
        <v>489000000000</v>
      </c>
      <c r="AJ12" s="44">
        <v>5.64318616</v>
      </c>
      <c r="AK12" s="44">
        <v>40.554606069999998</v>
      </c>
      <c r="AL12" s="46">
        <v>680000000000</v>
      </c>
      <c r="AM12" s="44">
        <v>6.1589911280000003</v>
      </c>
      <c r="AN12" s="44">
        <v>53.939359519999996</v>
      </c>
      <c r="AO12" s="44">
        <v>11350.009770000001</v>
      </c>
      <c r="AP12" s="44">
        <v>4040.55</v>
      </c>
      <c r="AQ12" s="44">
        <v>42.95</v>
      </c>
      <c r="AR12" s="44">
        <v>85.62</v>
      </c>
      <c r="AS12" s="44">
        <v>67.81</v>
      </c>
      <c r="AT12" s="44">
        <v>0</v>
      </c>
    </row>
    <row r="13" spans="1:46" x14ac:dyDescent="0.3">
      <c r="A13" s="44" t="s">
        <v>53</v>
      </c>
      <c r="B13" s="43">
        <v>3.2000000000000001E-2</v>
      </c>
      <c r="C13" s="44">
        <v>128.5</v>
      </c>
      <c r="D13" s="44">
        <v>23905.41</v>
      </c>
      <c r="E13" s="44">
        <v>128.61000000000001</v>
      </c>
      <c r="F13" s="44">
        <v>702.47</v>
      </c>
      <c r="G13" s="44">
        <v>89.7</v>
      </c>
      <c r="H13" s="44">
        <v>9</v>
      </c>
      <c r="I13" s="44">
        <v>15789.1</v>
      </c>
      <c r="J13" s="44">
        <v>31135.7</v>
      </c>
      <c r="K13" s="44">
        <v>286336</v>
      </c>
      <c r="L13" s="44">
        <v>9.1963887110000009</v>
      </c>
      <c r="M13" s="44">
        <v>0.87</v>
      </c>
      <c r="N13" s="44">
        <v>0.2</v>
      </c>
      <c r="O13" s="44">
        <v>2.0252479999999999E-3</v>
      </c>
      <c r="P13" s="44">
        <v>-0.3</v>
      </c>
      <c r="Q13" s="44">
        <v>-1.7</v>
      </c>
      <c r="R13" s="44">
        <v>2.3681980820000001</v>
      </c>
      <c r="S13" s="44">
        <v>3.8013733470000002</v>
      </c>
      <c r="T13" s="44">
        <v>0.89636470800000001</v>
      </c>
      <c r="U13" s="44">
        <v>3.2160428999999997E-2</v>
      </c>
      <c r="V13" s="44">
        <v>-3229.7623309999999</v>
      </c>
      <c r="W13" s="44">
        <v>542.77734469999996</v>
      </c>
      <c r="X13" s="44">
        <v>2.3140671259999999</v>
      </c>
      <c r="Y13" s="44">
        <v>233.40543289999999</v>
      </c>
      <c r="Z13" s="44">
        <v>0.98256985799999996</v>
      </c>
      <c r="AA13" s="44">
        <v>0.15468101200000001</v>
      </c>
      <c r="AB13" s="44">
        <v>6460.1564580000004</v>
      </c>
      <c r="AC13" s="44">
        <v>1001.238725</v>
      </c>
      <c r="AD13" s="44">
        <v>-27305138731</v>
      </c>
      <c r="AE13" s="44">
        <v>-2.2155246129999999</v>
      </c>
      <c r="AF13" s="47">
        <v>190000000000</v>
      </c>
      <c r="AG13" s="47">
        <v>1230000000000</v>
      </c>
      <c r="AH13" s="44">
        <v>0.15468101200000001</v>
      </c>
      <c r="AI13" s="47">
        <v>467000000000</v>
      </c>
      <c r="AJ13" s="44">
        <v>-1.7326584009999999</v>
      </c>
      <c r="AK13" s="44">
        <v>39.146255539999999</v>
      </c>
      <c r="AL13" s="46">
        <v>676000000000</v>
      </c>
      <c r="AM13" s="44">
        <v>6.7237670989999998</v>
      </c>
      <c r="AN13" s="44">
        <v>55.430848830000002</v>
      </c>
      <c r="AO13" s="44">
        <v>10850.660159999999</v>
      </c>
      <c r="AP13" s="44">
        <v>3921.2</v>
      </c>
      <c r="AQ13" s="44">
        <v>46.94</v>
      </c>
      <c r="AR13" s="44">
        <v>85.57</v>
      </c>
      <c r="AS13" s="44">
        <v>67.790000000000006</v>
      </c>
      <c r="AT13" s="44">
        <v>0</v>
      </c>
    </row>
    <row r="14" spans="1:46" x14ac:dyDescent="0.3">
      <c r="A14" s="44" t="s">
        <v>54</v>
      </c>
      <c r="B14" s="43">
        <v>3.3300000000000003E-2</v>
      </c>
      <c r="C14" s="44">
        <v>124.5</v>
      </c>
      <c r="D14" s="44">
        <v>24698.01</v>
      </c>
      <c r="E14" s="44">
        <v>124.42</v>
      </c>
      <c r="F14" s="44">
        <v>731.81</v>
      </c>
      <c r="G14" s="44">
        <v>91.29</v>
      </c>
      <c r="H14" s="44">
        <v>6.5</v>
      </c>
      <c r="I14" s="44">
        <v>13368.2</v>
      </c>
      <c r="J14" s="44">
        <v>19456.3</v>
      </c>
      <c r="K14" s="44">
        <v>255968</v>
      </c>
      <c r="L14" s="44">
        <v>13.15604714</v>
      </c>
      <c r="M14" s="44">
        <v>0.12</v>
      </c>
      <c r="N14" s="44">
        <v>-2</v>
      </c>
      <c r="O14" s="44">
        <v>-1.9746682000000002E-2</v>
      </c>
      <c r="P14" s="44">
        <v>-1.2</v>
      </c>
      <c r="Q14" s="44">
        <v>-2.2999999999999998</v>
      </c>
      <c r="R14" s="44">
        <v>2.54</v>
      </c>
      <c r="S14" s="44">
        <v>4</v>
      </c>
      <c r="T14" s="44">
        <v>1.05</v>
      </c>
      <c r="U14" s="44">
        <v>0.2</v>
      </c>
      <c r="V14" s="44">
        <v>-3564.482</v>
      </c>
      <c r="W14" s="44">
        <v>563.09</v>
      </c>
      <c r="X14" s="44">
        <v>2.2999999999999998</v>
      </c>
      <c r="Y14" s="44">
        <v>247.3</v>
      </c>
      <c r="Z14" s="44">
        <v>1</v>
      </c>
      <c r="AA14" s="44">
        <v>0.15916082500000001</v>
      </c>
      <c r="AB14" s="44">
        <v>6916.5720000000001</v>
      </c>
      <c r="AC14" s="44">
        <v>991.51499999999999</v>
      </c>
      <c r="AD14" s="44">
        <v>-30971987181</v>
      </c>
      <c r="AE14" s="44">
        <v>-2.5301904529999999</v>
      </c>
      <c r="AF14" s="47">
        <v>195000000000</v>
      </c>
      <c r="AG14" s="47">
        <v>1220000000000</v>
      </c>
      <c r="AH14" s="44">
        <v>0.15916082500000001</v>
      </c>
      <c r="AI14" s="47">
        <v>454000000000</v>
      </c>
      <c r="AJ14" s="44">
        <v>-5.2241401420000004</v>
      </c>
      <c r="AK14" s="44">
        <v>38.218919849999999</v>
      </c>
      <c r="AL14" s="46">
        <v>675000000000</v>
      </c>
      <c r="AM14" s="44">
        <v>7.1785487549999996</v>
      </c>
      <c r="AN14" s="44">
        <v>56.369936539999998</v>
      </c>
      <c r="AO14" s="44">
        <v>8776.3896480000003</v>
      </c>
      <c r="AP14" s="44">
        <v>2959.15</v>
      </c>
      <c r="AQ14" s="44">
        <v>48.45</v>
      </c>
      <c r="AR14" s="44">
        <v>70.010300000000001</v>
      </c>
      <c r="AS14" s="44">
        <v>68.22</v>
      </c>
      <c r="AT14" s="44">
        <v>0</v>
      </c>
    </row>
    <row r="15" spans="1:46" x14ac:dyDescent="0.3">
      <c r="A15" s="44" t="s">
        <v>55</v>
      </c>
      <c r="B15" s="43">
        <v>3.2800000000000003E-2</v>
      </c>
      <c r="C15" s="44">
        <v>123.5</v>
      </c>
      <c r="D15" s="44">
        <v>26018.25</v>
      </c>
      <c r="E15" s="44">
        <v>136.25</v>
      </c>
      <c r="F15" s="44">
        <v>769.52</v>
      </c>
      <c r="G15" s="44">
        <v>81.87</v>
      </c>
      <c r="H15" s="44">
        <v>5</v>
      </c>
      <c r="I15" s="44">
        <v>12916.3</v>
      </c>
      <c r="J15" s="44">
        <v>16596.599999999999</v>
      </c>
      <c r="K15" s="44">
        <v>251985</v>
      </c>
      <c r="L15" s="44">
        <v>15.18292903</v>
      </c>
      <c r="M15" s="44">
        <v>-1.85</v>
      </c>
      <c r="N15" s="44">
        <v>-1.1000000000000001</v>
      </c>
      <c r="O15" s="44">
        <v>-1.1409013000000001E-2</v>
      </c>
      <c r="P15" s="44">
        <v>-2.8</v>
      </c>
      <c r="Q15" s="44">
        <v>-1.6</v>
      </c>
      <c r="R15" s="44">
        <v>3.1692052789999998</v>
      </c>
      <c r="S15" s="44">
        <v>4.7588783780000004</v>
      </c>
      <c r="T15" s="44">
        <v>1.6561990200000001</v>
      </c>
      <c r="U15" s="44">
        <v>0.89284064500000004</v>
      </c>
      <c r="V15" s="44">
        <v>-4019.5691109999998</v>
      </c>
      <c r="W15" s="44">
        <v>586.44232820000002</v>
      </c>
      <c r="X15" s="44">
        <v>2.2898682639999999</v>
      </c>
      <c r="Y15" s="44">
        <v>262.0844755</v>
      </c>
      <c r="Z15" s="44">
        <v>1.024952356</v>
      </c>
      <c r="AA15" s="44">
        <v>0.154471255</v>
      </c>
      <c r="AB15" s="44">
        <v>7590.8737870000004</v>
      </c>
      <c r="AC15" s="44">
        <v>994.48529689999998</v>
      </c>
      <c r="AD15" s="44">
        <v>-30584930159</v>
      </c>
      <c r="AE15" s="44">
        <v>-2.5094319970000001</v>
      </c>
      <c r="AF15" s="47">
        <v>190000000000</v>
      </c>
      <c r="AG15" s="47">
        <v>1230000000000</v>
      </c>
      <c r="AH15" s="44">
        <v>0.154471255</v>
      </c>
      <c r="AI15" s="47">
        <v>457000000000</v>
      </c>
      <c r="AJ15" s="44">
        <v>-2.9246251839999999</v>
      </c>
      <c r="AK15" s="44">
        <v>38.197513659999998</v>
      </c>
      <c r="AL15" s="46">
        <v>680000000000</v>
      </c>
      <c r="AM15" s="44">
        <v>7.3720560260000001</v>
      </c>
      <c r="AN15" s="44">
        <v>56.329560899999997</v>
      </c>
      <c r="AO15" s="44">
        <v>7608.919922</v>
      </c>
      <c r="AP15" s="44">
        <v>3020.95</v>
      </c>
      <c r="AQ15" s="44">
        <v>50.95</v>
      </c>
      <c r="AR15" s="44">
        <v>72.861000000000004</v>
      </c>
      <c r="AS15" s="44">
        <v>67.48</v>
      </c>
      <c r="AT15" s="44">
        <v>0</v>
      </c>
    </row>
    <row r="16" spans="1:46" x14ac:dyDescent="0.3">
      <c r="A16" s="44" t="s">
        <v>56</v>
      </c>
      <c r="B16" s="43">
        <v>3.32E-2</v>
      </c>
      <c r="C16" s="44">
        <v>126.8</v>
      </c>
      <c r="D16" s="44">
        <v>25800.880000000001</v>
      </c>
      <c r="E16" s="44">
        <v>136.69</v>
      </c>
      <c r="F16" s="44">
        <v>745.25</v>
      </c>
      <c r="G16" s="44">
        <v>77.83</v>
      </c>
      <c r="H16" s="44">
        <v>4.75</v>
      </c>
      <c r="I16" s="44">
        <v>13606.3</v>
      </c>
      <c r="J16" s="44">
        <v>23055</v>
      </c>
      <c r="K16" s="44">
        <v>265142</v>
      </c>
      <c r="L16" s="44">
        <v>11.50041206</v>
      </c>
      <c r="M16" s="44">
        <v>5.8</v>
      </c>
      <c r="N16" s="44">
        <v>-0.3</v>
      </c>
      <c r="O16" s="44">
        <v>-3.0242149999999998E-3</v>
      </c>
      <c r="P16" s="44">
        <v>-0.2</v>
      </c>
      <c r="Q16" s="44">
        <v>-0.2</v>
      </c>
      <c r="R16" s="44">
        <v>4.100426905</v>
      </c>
      <c r="S16" s="44">
        <v>5.8980063249999999</v>
      </c>
      <c r="T16" s="44">
        <v>2.570702421</v>
      </c>
      <c r="U16" s="44">
        <v>1.9552122709999999</v>
      </c>
      <c r="V16" s="44">
        <v>-4526.5903829999997</v>
      </c>
      <c r="W16" s="44">
        <v>613.57755069999996</v>
      </c>
      <c r="X16" s="44">
        <v>2.2842214310000002</v>
      </c>
      <c r="Y16" s="44">
        <v>278.08002859999999</v>
      </c>
      <c r="Z16" s="44">
        <v>1.0531022830000001</v>
      </c>
      <c r="AA16" s="44">
        <v>0.14356502400000001</v>
      </c>
      <c r="AB16" s="44">
        <v>8361.7142650000005</v>
      </c>
      <c r="AC16" s="44">
        <v>1011.876795</v>
      </c>
      <c r="AD16" s="44">
        <v>-27942739937</v>
      </c>
      <c r="AE16" s="44">
        <v>-2.2776091900000002</v>
      </c>
      <c r="AF16" s="47">
        <v>180000000000</v>
      </c>
      <c r="AG16" s="47">
        <v>1260000000000</v>
      </c>
      <c r="AH16" s="44">
        <v>0.14356502400000001</v>
      </c>
      <c r="AI16" s="47">
        <v>475000000000</v>
      </c>
      <c r="AJ16" s="44">
        <v>3.3876761719999999</v>
      </c>
      <c r="AK16" s="44">
        <v>38.854650120000002</v>
      </c>
      <c r="AL16" s="46">
        <v>694000000000</v>
      </c>
      <c r="AM16" s="44">
        <v>7.375278701</v>
      </c>
      <c r="AN16" s="44">
        <v>55.54205193</v>
      </c>
      <c r="AO16" s="44">
        <v>8447</v>
      </c>
      <c r="AP16" s="44">
        <v>4291.1000000000004</v>
      </c>
      <c r="AQ16" s="44">
        <v>47.87</v>
      </c>
      <c r="AR16" s="44">
        <v>80.084100000000007</v>
      </c>
      <c r="AS16" s="44">
        <v>67.69</v>
      </c>
      <c r="AT16" s="44">
        <v>0</v>
      </c>
    </row>
    <row r="17" spans="1:46" x14ac:dyDescent="0.3">
      <c r="A17" s="44" t="s">
        <v>57</v>
      </c>
      <c r="B17" s="43">
        <v>3.5799999999999998E-2</v>
      </c>
      <c r="C17" s="44">
        <v>130.30000000000001</v>
      </c>
      <c r="D17" s="44">
        <v>26941.64</v>
      </c>
      <c r="E17" s="44">
        <v>152.16</v>
      </c>
      <c r="F17" s="44">
        <v>785.13</v>
      </c>
      <c r="G17" s="44">
        <v>80.75</v>
      </c>
      <c r="H17" s="44">
        <v>4.75</v>
      </c>
      <c r="I17" s="44">
        <v>14624.2</v>
      </c>
      <c r="J17" s="44">
        <v>21527.200000000001</v>
      </c>
      <c r="K17" s="44">
        <v>281278</v>
      </c>
      <c r="L17" s="44">
        <v>13.06616745</v>
      </c>
      <c r="M17" s="44">
        <v>2.5499999999999998</v>
      </c>
      <c r="N17" s="44">
        <v>0.3</v>
      </c>
      <c r="O17" s="44">
        <v>3.047335E-3</v>
      </c>
      <c r="P17" s="44">
        <v>0.4</v>
      </c>
      <c r="Q17" s="44">
        <v>0.1</v>
      </c>
      <c r="R17" s="44">
        <v>5.1139350779999999</v>
      </c>
      <c r="S17" s="44">
        <v>7.1631311090000001</v>
      </c>
      <c r="T17" s="44">
        <v>3.5873546109999999</v>
      </c>
      <c r="U17" s="44">
        <v>3.1649777619999999</v>
      </c>
      <c r="V17" s="44">
        <v>-4995.638199</v>
      </c>
      <c r="W17" s="44">
        <v>645.51649780000002</v>
      </c>
      <c r="X17" s="44">
        <v>2.2864638820000001</v>
      </c>
      <c r="Y17" s="44">
        <v>295.7705674</v>
      </c>
      <c r="Z17" s="44">
        <v>1.0797010680000001</v>
      </c>
      <c r="AA17" s="44">
        <v>0.130861329</v>
      </c>
      <c r="AB17" s="44">
        <v>9067.0104960000008</v>
      </c>
      <c r="AC17" s="44">
        <v>1043.798896</v>
      </c>
      <c r="AD17" s="44">
        <v>-25618785532</v>
      </c>
      <c r="AE17" s="44">
        <v>-2.01900397</v>
      </c>
      <c r="AF17" s="47">
        <v>169000000000</v>
      </c>
      <c r="AG17" s="47">
        <v>1300000000000</v>
      </c>
      <c r="AH17" s="44">
        <v>0.130861329</v>
      </c>
      <c r="AI17" s="47">
        <v>503000000000</v>
      </c>
      <c r="AJ17" s="44">
        <v>11.013342590000001</v>
      </c>
      <c r="AK17" s="44">
        <v>39.799867020000001</v>
      </c>
      <c r="AL17" s="46">
        <v>716000000000</v>
      </c>
      <c r="AM17" s="44">
        <v>7.3147740389999996</v>
      </c>
      <c r="AN17" s="44">
        <v>54.404587620000001</v>
      </c>
      <c r="AO17" s="44">
        <v>9712.2802730000003</v>
      </c>
      <c r="AP17" s="44">
        <v>5083.95</v>
      </c>
      <c r="AQ17" s="44">
        <v>48.04</v>
      </c>
      <c r="AR17" s="44">
        <v>76.431600000000003</v>
      </c>
      <c r="AS17" s="44">
        <v>70.239999999999995</v>
      </c>
      <c r="AT17" s="44">
        <v>0</v>
      </c>
    </row>
    <row r="18" spans="1:46" x14ac:dyDescent="0.3">
      <c r="A18" s="44" t="s">
        <v>58</v>
      </c>
      <c r="B18" s="43">
        <v>3.3799999999999997E-2</v>
      </c>
      <c r="C18" s="44">
        <v>133.4</v>
      </c>
      <c r="D18" s="44">
        <v>27544.25</v>
      </c>
      <c r="E18" s="44">
        <v>166.77</v>
      </c>
      <c r="F18" s="44">
        <v>763.19</v>
      </c>
      <c r="G18" s="44">
        <v>78.83</v>
      </c>
      <c r="H18" s="44">
        <v>4.75</v>
      </c>
      <c r="I18" s="44">
        <v>16493.5</v>
      </c>
      <c r="J18" s="44">
        <v>28251.4</v>
      </c>
      <c r="K18" s="44">
        <v>283470</v>
      </c>
      <c r="L18" s="44">
        <v>10.033839029999999</v>
      </c>
      <c r="M18" s="44">
        <v>2.13</v>
      </c>
      <c r="N18" s="44">
        <v>1.3</v>
      </c>
      <c r="O18" s="44">
        <v>1.2680668000000001E-2</v>
      </c>
      <c r="P18" s="44">
        <v>0.8</v>
      </c>
      <c r="Q18" s="44">
        <v>0.4</v>
      </c>
      <c r="R18" s="44">
        <v>5.99</v>
      </c>
      <c r="S18" s="44">
        <v>8.3000000000000007</v>
      </c>
      <c r="T18" s="44">
        <v>4.5</v>
      </c>
      <c r="U18" s="44">
        <v>4.3</v>
      </c>
      <c r="V18" s="44">
        <v>-5336.8049430000001</v>
      </c>
      <c r="W18" s="44">
        <v>683.28</v>
      </c>
      <c r="X18" s="44">
        <v>2.2999999999999998</v>
      </c>
      <c r="Y18" s="44">
        <v>315.64</v>
      </c>
      <c r="Z18" s="44">
        <v>1.1000000000000001</v>
      </c>
      <c r="AA18" s="44">
        <v>0.120779365</v>
      </c>
      <c r="AB18" s="44">
        <v>9544.6795430000002</v>
      </c>
      <c r="AC18" s="44">
        <v>1090.3610000000001</v>
      </c>
      <c r="AD18" s="44">
        <v>-26186435957</v>
      </c>
      <c r="AE18" s="44">
        <v>-1.9178982760000001</v>
      </c>
      <c r="AF18" s="47">
        <v>165000000000</v>
      </c>
      <c r="AG18" s="47">
        <v>1370000000000</v>
      </c>
      <c r="AH18" s="44">
        <v>0.120779365</v>
      </c>
      <c r="AI18" s="47">
        <v>538000000000</v>
      </c>
      <c r="AJ18" s="44">
        <v>17.25295272</v>
      </c>
      <c r="AK18" s="44">
        <v>40.642702149999998</v>
      </c>
      <c r="AL18" s="46">
        <v>746000000000</v>
      </c>
      <c r="AM18" s="44">
        <v>7.3170992950000002</v>
      </c>
      <c r="AN18" s="44">
        <v>53.314345940000003</v>
      </c>
      <c r="AO18" s="44">
        <v>10428.04981</v>
      </c>
      <c r="AP18" s="44">
        <v>5201.05</v>
      </c>
      <c r="AQ18" s="44">
        <v>46.68</v>
      </c>
      <c r="AR18" s="44">
        <v>75.0334</v>
      </c>
      <c r="AS18" s="44">
        <v>67.069999999999993</v>
      </c>
      <c r="AT18" s="44">
        <v>0</v>
      </c>
    </row>
    <row r="19" spans="1:46" x14ac:dyDescent="0.3">
      <c r="A19" s="44" t="s">
        <v>59</v>
      </c>
      <c r="B19" s="43">
        <v>3.3500000000000002E-2</v>
      </c>
      <c r="C19" s="44">
        <v>136.30000000000001</v>
      </c>
      <c r="D19" s="44">
        <v>30396.15</v>
      </c>
      <c r="E19" s="44">
        <v>194.1</v>
      </c>
      <c r="F19" s="44">
        <v>781.4</v>
      </c>
      <c r="G19" s="44">
        <v>82.94</v>
      </c>
      <c r="H19" s="44">
        <v>5</v>
      </c>
      <c r="I19" s="44">
        <v>20254.099999999999</v>
      </c>
      <c r="J19" s="44">
        <v>29626.9</v>
      </c>
      <c r="K19" s="44">
        <v>279057</v>
      </c>
      <c r="L19" s="44">
        <v>9.4190414790000005</v>
      </c>
      <c r="M19" s="44">
        <v>2.6</v>
      </c>
      <c r="N19" s="44">
        <v>0.8</v>
      </c>
      <c r="O19" s="44">
        <v>7.8673670000000001E-3</v>
      </c>
      <c r="P19" s="44">
        <v>0.4</v>
      </c>
      <c r="Q19" s="44">
        <v>0.5</v>
      </c>
      <c r="R19" s="44">
        <v>6.551622633</v>
      </c>
      <c r="S19" s="44">
        <v>9.0984249229999996</v>
      </c>
      <c r="T19" s="44">
        <v>5.1375235950000002</v>
      </c>
      <c r="U19" s="44">
        <v>5.1701744610000002</v>
      </c>
      <c r="V19" s="44">
        <v>-5484.5190940000002</v>
      </c>
      <c r="W19" s="44">
        <v>726.85738500000002</v>
      </c>
      <c r="X19" s="44">
        <v>2.3261221550000002</v>
      </c>
      <c r="Y19" s="44">
        <v>337.55731520000001</v>
      </c>
      <c r="Z19" s="44">
        <v>1.110450006</v>
      </c>
      <c r="AA19" s="44">
        <v>0.116760765</v>
      </c>
      <c r="AB19" s="44">
        <v>9688.6297140000006</v>
      </c>
      <c r="AC19" s="44">
        <v>1150.4306730000001</v>
      </c>
      <c r="AD19" s="44">
        <v>-31370238530</v>
      </c>
      <c r="AE19" s="44">
        <v>-2.102587003</v>
      </c>
      <c r="AF19" s="47">
        <v>170000000000</v>
      </c>
      <c r="AG19" s="47">
        <v>1450000000000</v>
      </c>
      <c r="AH19" s="44">
        <v>0.116760765</v>
      </c>
      <c r="AI19" s="47">
        <v>575000000000</v>
      </c>
      <c r="AJ19" s="44">
        <v>20.027659910000001</v>
      </c>
      <c r="AK19" s="44">
        <v>41.078432300000003</v>
      </c>
      <c r="AL19" s="46">
        <v>784000000000</v>
      </c>
      <c r="AM19" s="44">
        <v>7.4811591479999997</v>
      </c>
      <c r="AN19" s="44">
        <v>52.595667599999999</v>
      </c>
      <c r="AO19" s="44">
        <v>10856.62988</v>
      </c>
      <c r="AP19" s="44">
        <v>5249.1</v>
      </c>
      <c r="AQ19" s="44">
        <v>45.14</v>
      </c>
      <c r="AR19" s="44">
        <v>68.032799999999995</v>
      </c>
      <c r="AS19" s="44">
        <v>60.56</v>
      </c>
      <c r="AT19" s="44">
        <v>0</v>
      </c>
    </row>
    <row r="20" spans="1:46" x14ac:dyDescent="0.3">
      <c r="A20" s="44" t="s">
        <v>60</v>
      </c>
      <c r="B20" s="43">
        <v>3.49E-2</v>
      </c>
      <c r="C20" s="44">
        <v>139.80000000000001</v>
      </c>
      <c r="D20" s="44">
        <v>31002.17</v>
      </c>
      <c r="E20" s="44">
        <v>218.43</v>
      </c>
      <c r="F20" s="44">
        <v>753.46</v>
      </c>
      <c r="G20" s="44">
        <v>83.44</v>
      </c>
      <c r="H20" s="44">
        <v>5.25</v>
      </c>
      <c r="I20" s="44">
        <v>20667.099999999999</v>
      </c>
      <c r="J20" s="44">
        <v>28648.6</v>
      </c>
      <c r="K20" s="44">
        <v>275710</v>
      </c>
      <c r="L20" s="44">
        <v>9.6238559650000006</v>
      </c>
      <c r="M20" s="44">
        <v>2.38</v>
      </c>
      <c r="N20" s="44">
        <v>1.4</v>
      </c>
      <c r="O20" s="44">
        <v>1.4133817999999999E-2</v>
      </c>
      <c r="P20" s="44">
        <v>1.2</v>
      </c>
      <c r="Q20" s="44">
        <v>1</v>
      </c>
      <c r="R20" s="44">
        <v>6.7927269920000004</v>
      </c>
      <c r="S20" s="44">
        <v>9.5244764269999997</v>
      </c>
      <c r="T20" s="44">
        <v>5.468972795</v>
      </c>
      <c r="U20" s="44">
        <v>5.7135269900000001</v>
      </c>
      <c r="V20" s="44">
        <v>-5470.5535190000001</v>
      </c>
      <c r="W20" s="44">
        <v>772.11197010000001</v>
      </c>
      <c r="X20" s="44">
        <v>2.357674668</v>
      </c>
      <c r="Y20" s="44">
        <v>358.93182510000003</v>
      </c>
      <c r="Z20" s="44">
        <v>1.1123005829999999</v>
      </c>
      <c r="AA20" s="44">
        <v>0.11833690299999999</v>
      </c>
      <c r="AB20" s="44">
        <v>9616.7342989999997</v>
      </c>
      <c r="AC20" s="44">
        <v>1217.908138</v>
      </c>
      <c r="AD20" s="44">
        <v>-39499453780</v>
      </c>
      <c r="AE20" s="44">
        <v>-2.4774168790000002</v>
      </c>
      <c r="AF20" s="47">
        <v>184000000000</v>
      </c>
      <c r="AG20" s="47">
        <v>1540000000000</v>
      </c>
      <c r="AH20" s="44">
        <v>0.11833690299999999</v>
      </c>
      <c r="AI20" s="47">
        <v>612000000000</v>
      </c>
      <c r="AJ20" s="44">
        <v>19.740916290000001</v>
      </c>
      <c r="AK20" s="44">
        <v>41.145290289999998</v>
      </c>
      <c r="AL20" s="46">
        <v>827000000000</v>
      </c>
      <c r="AM20" s="44">
        <v>7.7952479710000002</v>
      </c>
      <c r="AN20" s="44">
        <v>52.281544199999999</v>
      </c>
      <c r="AO20" s="44">
        <v>9774.0195309999999</v>
      </c>
      <c r="AP20" s="44">
        <v>5312.5</v>
      </c>
      <c r="AQ20" s="44">
        <v>46.6</v>
      </c>
      <c r="AR20" s="44">
        <v>70.072400000000002</v>
      </c>
      <c r="AS20" s="44">
        <v>56.94</v>
      </c>
      <c r="AT20" s="44">
        <v>0</v>
      </c>
    </row>
    <row r="21" spans="1:46" x14ac:dyDescent="0.3">
      <c r="A21" s="44" t="s">
        <v>61</v>
      </c>
      <c r="B21" s="43">
        <v>4.3400000000000001E-2</v>
      </c>
      <c r="C21" s="44">
        <v>142</v>
      </c>
      <c r="D21" s="44">
        <v>31991.51</v>
      </c>
      <c r="E21" s="44">
        <v>243.43</v>
      </c>
      <c r="F21" s="44">
        <v>780.56</v>
      </c>
      <c r="G21" s="44">
        <v>90.83</v>
      </c>
      <c r="H21" s="44">
        <v>6</v>
      </c>
      <c r="I21" s="44">
        <v>18984.2</v>
      </c>
      <c r="J21" s="44">
        <v>29511.8</v>
      </c>
      <c r="K21" s="44">
        <v>292870</v>
      </c>
      <c r="L21" s="44">
        <v>9.9238270790000005</v>
      </c>
      <c r="M21" s="44">
        <v>3.01</v>
      </c>
      <c r="N21" s="44">
        <v>1.1000000000000001</v>
      </c>
      <c r="O21" s="44">
        <v>1.1357683E-2</v>
      </c>
      <c r="P21" s="44">
        <v>0.8</v>
      </c>
      <c r="Q21" s="44">
        <v>0.6</v>
      </c>
      <c r="R21" s="44">
        <v>6.7499678550000004</v>
      </c>
      <c r="S21" s="44">
        <v>9.5882897170000003</v>
      </c>
      <c r="T21" s="44">
        <v>5.4984355980000004</v>
      </c>
      <c r="U21" s="44">
        <v>5.9001160239999999</v>
      </c>
      <c r="V21" s="44">
        <v>-5351.0171799999998</v>
      </c>
      <c r="W21" s="44">
        <v>813.87557019999997</v>
      </c>
      <c r="X21" s="44">
        <v>2.3853898459999998</v>
      </c>
      <c r="Y21" s="44">
        <v>376.55792250000002</v>
      </c>
      <c r="Z21" s="44">
        <v>1.108000868</v>
      </c>
      <c r="AA21" s="44">
        <v>0.124061592</v>
      </c>
      <c r="AB21" s="44">
        <v>9502.8578350000007</v>
      </c>
      <c r="AC21" s="44">
        <v>1285.451785</v>
      </c>
      <c r="AD21" s="44">
        <v>-48054520534</v>
      </c>
      <c r="AE21" s="44">
        <v>-2.8907475919999999</v>
      </c>
      <c r="AF21" s="47">
        <v>203000000000</v>
      </c>
      <c r="AG21" s="47">
        <v>1630000000000</v>
      </c>
      <c r="AH21" s="44">
        <v>0.124061592</v>
      </c>
      <c r="AI21" s="47">
        <v>646000000000</v>
      </c>
      <c r="AJ21" s="44">
        <v>17.41674867</v>
      </c>
      <c r="AK21" s="44">
        <v>40.967247960000002</v>
      </c>
      <c r="AL21" s="46">
        <v>872000000000</v>
      </c>
      <c r="AM21" s="44">
        <v>8.2200075580000007</v>
      </c>
      <c r="AN21" s="44">
        <v>52.332130069999998</v>
      </c>
      <c r="AO21" s="44">
        <v>10788.04981</v>
      </c>
      <c r="AP21" s="44">
        <v>6029.95</v>
      </c>
      <c r="AQ21" s="44">
        <v>44.92</v>
      </c>
      <c r="AR21" s="44">
        <v>71.142099999999999</v>
      </c>
      <c r="AS21" s="44">
        <v>61</v>
      </c>
      <c r="AT21" s="44">
        <v>0</v>
      </c>
    </row>
    <row r="22" spans="1:46" x14ac:dyDescent="0.3">
      <c r="A22" s="44" t="s">
        <v>62</v>
      </c>
      <c r="B22" s="43">
        <v>4.6899999999999997E-2</v>
      </c>
      <c r="C22" s="44">
        <v>146</v>
      </c>
      <c r="D22" s="44">
        <v>35048.230000000003</v>
      </c>
      <c r="E22" s="44">
        <v>279.56</v>
      </c>
      <c r="F22" s="44">
        <v>836.81</v>
      </c>
      <c r="G22" s="44">
        <v>94.3</v>
      </c>
      <c r="H22" s="44">
        <v>6.25</v>
      </c>
      <c r="I22" s="44">
        <v>23349.4</v>
      </c>
      <c r="J22" s="44">
        <v>31511.1</v>
      </c>
      <c r="K22" s="44">
        <v>297334</v>
      </c>
      <c r="L22" s="44">
        <v>9.4358495900000001</v>
      </c>
      <c r="M22" s="44">
        <v>2.2799999999999998</v>
      </c>
      <c r="N22" s="44">
        <v>1.1000000000000001</v>
      </c>
      <c r="O22" s="44">
        <v>1.1455933E-2</v>
      </c>
      <c r="P22" s="44">
        <v>0.8</v>
      </c>
      <c r="Q22" s="44">
        <v>0.1</v>
      </c>
      <c r="R22" s="44">
        <v>6.46</v>
      </c>
      <c r="S22" s="44">
        <v>9.3000000000000007</v>
      </c>
      <c r="T22" s="44">
        <v>5.23</v>
      </c>
      <c r="U22" s="44">
        <v>5.7</v>
      </c>
      <c r="V22" s="44">
        <v>-5182.0190389999998</v>
      </c>
      <c r="W22" s="44">
        <v>846.98</v>
      </c>
      <c r="X22" s="44">
        <v>2.4</v>
      </c>
      <c r="Y22" s="44">
        <v>387.23</v>
      </c>
      <c r="Z22" s="44">
        <v>1.1000000000000001</v>
      </c>
      <c r="AA22" s="44">
        <v>0.13248864399999999</v>
      </c>
      <c r="AB22" s="44">
        <v>9520.8648580000008</v>
      </c>
      <c r="AC22" s="44">
        <v>1345.72</v>
      </c>
      <c r="AD22" s="44">
        <v>-54515877624</v>
      </c>
      <c r="AE22" s="44">
        <v>-3.190938826</v>
      </c>
      <c r="AF22" s="47">
        <v>226000000000</v>
      </c>
      <c r="AG22" s="47">
        <v>1710000000000</v>
      </c>
      <c r="AH22" s="44">
        <v>0.13248864399999999</v>
      </c>
      <c r="AI22" s="47">
        <v>674000000000</v>
      </c>
      <c r="AJ22" s="44">
        <v>14.07918387</v>
      </c>
      <c r="AK22" s="44">
        <v>40.668277150000002</v>
      </c>
      <c r="AL22" s="46">
        <v>914000000000</v>
      </c>
      <c r="AM22" s="44">
        <v>8.7160797040000002</v>
      </c>
      <c r="AN22" s="44">
        <v>52.707579529999997</v>
      </c>
      <c r="AO22" s="44">
        <v>10428.04981</v>
      </c>
      <c r="AP22" s="44">
        <v>5201.05</v>
      </c>
      <c r="AQ22" s="44">
        <v>46.68</v>
      </c>
      <c r="AR22" s="44">
        <v>75.0334</v>
      </c>
      <c r="AS22" s="44">
        <v>67.069999999999993</v>
      </c>
      <c r="AT22" s="44">
        <v>0</v>
      </c>
    </row>
    <row r="23" spans="1:46" x14ac:dyDescent="0.3">
      <c r="A23" s="44" t="s">
        <v>63</v>
      </c>
      <c r="B23" s="43">
        <v>4.58E-2</v>
      </c>
      <c r="C23" s="44">
        <v>149.5</v>
      </c>
      <c r="D23" s="44">
        <v>36673.54</v>
      </c>
      <c r="E23" s="44">
        <v>276.38</v>
      </c>
      <c r="F23" s="44">
        <v>903.52</v>
      </c>
      <c r="G23" s="44">
        <v>62.87</v>
      </c>
      <c r="H23" s="44">
        <v>6.75</v>
      </c>
      <c r="I23" s="44">
        <v>30418.5</v>
      </c>
      <c r="J23" s="44">
        <v>34267</v>
      </c>
      <c r="K23" s="44">
        <v>304818</v>
      </c>
      <c r="L23" s="44">
        <v>8.8953803950000001</v>
      </c>
      <c r="M23" s="44">
        <v>1.83</v>
      </c>
      <c r="N23" s="44">
        <v>0.1</v>
      </c>
      <c r="O23" s="44">
        <v>5.3840400000000003E-4</v>
      </c>
      <c r="P23" s="44">
        <v>1</v>
      </c>
      <c r="Q23" s="44">
        <v>0.6</v>
      </c>
      <c r="R23" s="44">
        <v>5.9786791900000003</v>
      </c>
      <c r="S23" s="44">
        <v>8.7021094310000002</v>
      </c>
      <c r="T23" s="44">
        <v>4.6987066000000004</v>
      </c>
      <c r="U23" s="44">
        <v>5.1264615109999996</v>
      </c>
      <c r="V23" s="44">
        <v>-5023.9159129999998</v>
      </c>
      <c r="W23" s="44">
        <v>869.21891319999997</v>
      </c>
      <c r="X23" s="44">
        <v>2.3978306159999998</v>
      </c>
      <c r="Y23" s="44">
        <v>389.62891980000001</v>
      </c>
      <c r="Z23" s="44">
        <v>1.0910601200000001</v>
      </c>
      <c r="AA23" s="44">
        <v>0.14218282500000001</v>
      </c>
      <c r="AB23" s="44">
        <v>9807.4766870000003</v>
      </c>
      <c r="AC23" s="44">
        <v>1392.84248</v>
      </c>
      <c r="AD23" s="44">
        <v>-57199661556</v>
      </c>
      <c r="AE23" s="44">
        <v>-3.2760056039999998</v>
      </c>
      <c r="AF23" s="47">
        <v>250000000000</v>
      </c>
      <c r="AG23" s="47">
        <v>1770000000000</v>
      </c>
      <c r="AH23" s="44">
        <v>0.14218282500000001</v>
      </c>
      <c r="AI23" s="47">
        <v>695000000000</v>
      </c>
      <c r="AJ23" s="44">
        <v>10.64075847</v>
      </c>
      <c r="AK23" s="44">
        <v>40.354145920000001</v>
      </c>
      <c r="AL23" s="46">
        <v>951000000000</v>
      </c>
      <c r="AM23" s="44">
        <v>9.2230536619999999</v>
      </c>
      <c r="AN23" s="44">
        <v>53.355856920000001</v>
      </c>
      <c r="AO23" s="44">
        <v>11891.929690000001</v>
      </c>
      <c r="AP23" s="44">
        <v>5505.9</v>
      </c>
      <c r="AQ23" s="44">
        <v>45.95</v>
      </c>
      <c r="AR23" s="44">
        <v>72.952500000000001</v>
      </c>
      <c r="AS23" s="44">
        <v>62.54</v>
      </c>
      <c r="AT23" s="44">
        <v>0</v>
      </c>
    </row>
    <row r="24" spans="1:46" x14ac:dyDescent="0.3">
      <c r="A24" s="44" t="s">
        <v>64</v>
      </c>
      <c r="B24" s="43">
        <v>5.0900000000000001E-2</v>
      </c>
      <c r="C24" s="44">
        <v>153.1</v>
      </c>
      <c r="D24" s="44">
        <v>37238.94</v>
      </c>
      <c r="E24" s="44">
        <v>292.61</v>
      </c>
      <c r="F24" s="44">
        <v>933.79</v>
      </c>
      <c r="G24" s="44">
        <v>64.790000000000006</v>
      </c>
      <c r="H24" s="44">
        <v>7.5</v>
      </c>
      <c r="I24" s="44">
        <v>26536.132529999999</v>
      </c>
      <c r="J24" s="44">
        <v>40849.47</v>
      </c>
      <c r="K24" s="44">
        <v>315715</v>
      </c>
      <c r="L24" s="44">
        <v>7.7287416459999996</v>
      </c>
      <c r="M24" s="44">
        <v>1.1599999999999999</v>
      </c>
      <c r="N24" s="44">
        <v>1.5</v>
      </c>
      <c r="O24" s="44">
        <v>1.460127E-2</v>
      </c>
      <c r="P24" s="44">
        <v>0.3</v>
      </c>
      <c r="Q24" s="44">
        <v>0.1</v>
      </c>
      <c r="R24" s="44">
        <v>5.4386651280000002</v>
      </c>
      <c r="S24" s="44">
        <v>7.9665879679999998</v>
      </c>
      <c r="T24" s="44">
        <v>4.0634063979999997</v>
      </c>
      <c r="U24" s="44">
        <v>4.3656797689999998</v>
      </c>
      <c r="V24" s="44">
        <v>-4954.0560329999998</v>
      </c>
      <c r="W24" s="44">
        <v>890.23331889999997</v>
      </c>
      <c r="X24" s="44">
        <v>2.3975798990000001</v>
      </c>
      <c r="Y24" s="44">
        <v>389.98142089999999</v>
      </c>
      <c r="Z24" s="44">
        <v>1.0851953860000001</v>
      </c>
      <c r="AA24" s="44">
        <v>0.15175272200000001</v>
      </c>
      <c r="AB24" s="44">
        <v>10350.841770000001</v>
      </c>
      <c r="AC24" s="44">
        <v>1426.8341519999999</v>
      </c>
      <c r="AD24" s="44">
        <v>-57764799540</v>
      </c>
      <c r="AE24" s="44">
        <v>-3.2425842939999998</v>
      </c>
      <c r="AF24" s="47">
        <v>273000000000</v>
      </c>
      <c r="AG24" s="47">
        <v>1800000000000</v>
      </c>
      <c r="AH24" s="44">
        <v>0.15175272200000001</v>
      </c>
      <c r="AI24" s="47">
        <v>709000000000</v>
      </c>
      <c r="AJ24" s="44">
        <v>7.5680482099999997</v>
      </c>
      <c r="AK24" s="44">
        <v>40.057807349999997</v>
      </c>
      <c r="AL24" s="46">
        <v>983000000000</v>
      </c>
      <c r="AM24" s="44">
        <v>9.5963085170000006</v>
      </c>
      <c r="AN24" s="44">
        <v>54.176166539999997</v>
      </c>
      <c r="AO24" s="44">
        <v>12414.339840000001</v>
      </c>
      <c r="AP24" s="44">
        <v>5647.4</v>
      </c>
      <c r="AQ24" s="44">
        <v>44.72</v>
      </c>
      <c r="AR24" s="44">
        <v>71.956699999999998</v>
      </c>
      <c r="AS24" s="44">
        <v>64.790000000000006</v>
      </c>
      <c r="AT24" s="44">
        <v>0</v>
      </c>
    </row>
    <row r="25" spans="1:46" x14ac:dyDescent="0.3">
      <c r="A25" s="44" t="s">
        <v>65</v>
      </c>
      <c r="B25" s="43">
        <v>5.3199999999999997E-2</v>
      </c>
      <c r="C25" s="44">
        <v>156.19999999999999</v>
      </c>
      <c r="D25" s="44">
        <v>37968.93</v>
      </c>
      <c r="E25" s="44">
        <v>305.63</v>
      </c>
      <c r="F25" s="44">
        <v>932.97</v>
      </c>
      <c r="G25" s="44">
        <v>63.22</v>
      </c>
      <c r="H25" s="44">
        <v>8.25</v>
      </c>
      <c r="I25" s="44">
        <v>26561.19713</v>
      </c>
      <c r="J25" s="44">
        <v>39756.069960000001</v>
      </c>
      <c r="K25" s="44">
        <v>311482</v>
      </c>
      <c r="L25" s="44">
        <v>7.834828752</v>
      </c>
      <c r="M25" s="44">
        <v>-0.08</v>
      </c>
      <c r="N25" s="44">
        <v>0.8</v>
      </c>
      <c r="O25" s="44">
        <v>8.1625259999999998E-3</v>
      </c>
      <c r="P25" s="44">
        <v>0.4</v>
      </c>
      <c r="Q25" s="44">
        <v>0.4</v>
      </c>
      <c r="R25" s="44">
        <v>4.9918185020000001</v>
      </c>
      <c r="S25" s="44">
        <v>7.2977725219999998</v>
      </c>
      <c r="T25" s="44">
        <v>3.5139029970000002</v>
      </c>
      <c r="U25" s="44">
        <v>3.6470581430000002</v>
      </c>
      <c r="V25" s="44">
        <v>-5054.0354799999996</v>
      </c>
      <c r="W25" s="44">
        <v>922.62606519999997</v>
      </c>
      <c r="X25" s="44">
        <v>2.423539232</v>
      </c>
      <c r="Y25" s="44">
        <v>396.4007115</v>
      </c>
      <c r="Z25" s="44">
        <v>1.0867329590000001</v>
      </c>
      <c r="AA25" s="44">
        <v>0.159817875</v>
      </c>
      <c r="AB25" s="44">
        <v>11101.96535</v>
      </c>
      <c r="AC25" s="44">
        <v>1449.181247</v>
      </c>
      <c r="AD25" s="44">
        <v>-58705916466</v>
      </c>
      <c r="AE25" s="44">
        <v>-3.2369666010000002</v>
      </c>
      <c r="AF25" s="47">
        <v>291000000000</v>
      </c>
      <c r="AG25" s="47">
        <v>1820000000000</v>
      </c>
      <c r="AH25" s="44">
        <v>0.159817875</v>
      </c>
      <c r="AI25" s="47">
        <v>717000000000</v>
      </c>
      <c r="AJ25" s="44">
        <v>5.2161385920000001</v>
      </c>
      <c r="AK25" s="44">
        <v>39.794010759999999</v>
      </c>
      <c r="AL25" s="46">
        <v>1010000000000</v>
      </c>
      <c r="AM25" s="44">
        <v>9.6701708100000001</v>
      </c>
      <c r="AN25" s="44">
        <v>55.05552273</v>
      </c>
      <c r="AO25" s="44">
        <v>10913.37988</v>
      </c>
      <c r="AP25" s="44">
        <v>4943.25</v>
      </c>
      <c r="AQ25" s="44">
        <v>48.9253</v>
      </c>
      <c r="AR25" s="44">
        <v>76.519199999999998</v>
      </c>
      <c r="AS25" s="44">
        <v>66.645799999999994</v>
      </c>
      <c r="AT25" s="44">
        <v>0</v>
      </c>
    </row>
    <row r="26" spans="1:46" x14ac:dyDescent="0.3">
      <c r="A26" s="44" t="s">
        <v>66</v>
      </c>
      <c r="B26" s="43">
        <v>5.5100000000000003E-2</v>
      </c>
      <c r="C26" s="44">
        <v>157.30000000000001</v>
      </c>
      <c r="D26" s="44">
        <v>40457.760000000002</v>
      </c>
      <c r="E26" s="44">
        <v>323.99</v>
      </c>
      <c r="F26" s="44">
        <v>1003.96</v>
      </c>
      <c r="G26" s="44">
        <v>103.58</v>
      </c>
      <c r="H26" s="44">
        <v>8.5</v>
      </c>
      <c r="I26" s="44">
        <v>25365.693660000001</v>
      </c>
      <c r="J26" s="44">
        <v>40044.058369999999</v>
      </c>
      <c r="K26" s="44">
        <v>296688</v>
      </c>
      <c r="L26" s="44">
        <v>7.4090392449999998</v>
      </c>
      <c r="M26" s="44">
        <v>1.72</v>
      </c>
      <c r="N26" s="44">
        <v>1.3</v>
      </c>
      <c r="O26" s="44">
        <v>1.2715643E-2</v>
      </c>
      <c r="P26" s="44">
        <v>0</v>
      </c>
      <c r="Q26" s="44">
        <v>0.2</v>
      </c>
      <c r="R26" s="44">
        <v>4.79</v>
      </c>
      <c r="S26" s="44">
        <v>6.9</v>
      </c>
      <c r="T26" s="44">
        <v>3.24</v>
      </c>
      <c r="U26" s="44">
        <v>3.2</v>
      </c>
      <c r="V26" s="44">
        <v>-5405.450339</v>
      </c>
      <c r="W26" s="44">
        <v>979</v>
      </c>
      <c r="X26" s="44">
        <v>2.5</v>
      </c>
      <c r="Y26" s="44">
        <v>417</v>
      </c>
      <c r="Z26" s="44">
        <v>1.1000000000000001</v>
      </c>
      <c r="AA26" s="44">
        <v>0.16499782399999999</v>
      </c>
      <c r="AB26" s="44">
        <v>12011.852639999999</v>
      </c>
      <c r="AC26" s="44">
        <v>1461.37</v>
      </c>
      <c r="AD26" s="44">
        <v>-62517637222</v>
      </c>
      <c r="AE26" s="44">
        <v>-3.405444229</v>
      </c>
      <c r="AF26" s="47">
        <v>303000000000</v>
      </c>
      <c r="AG26" s="47">
        <v>1840000000000</v>
      </c>
      <c r="AH26" s="44">
        <v>0.16499782399999999</v>
      </c>
      <c r="AI26" s="47">
        <v>721000000000</v>
      </c>
      <c r="AJ26" s="44">
        <v>3.9401151250000002</v>
      </c>
      <c r="AK26" s="44">
        <v>39.577505479999999</v>
      </c>
      <c r="AL26" s="46">
        <v>1020000000000</v>
      </c>
      <c r="AM26" s="44">
        <v>9.2789670829999995</v>
      </c>
      <c r="AN26" s="44">
        <v>55.8809398</v>
      </c>
      <c r="AO26" s="44">
        <v>12217.559569999999</v>
      </c>
      <c r="AP26" s="44">
        <v>4624.3</v>
      </c>
      <c r="AQ26" s="44">
        <v>53.265999999999998</v>
      </c>
      <c r="AR26" s="44">
        <v>82.0989</v>
      </c>
      <c r="AS26" s="44">
        <v>68.900499999999994</v>
      </c>
      <c r="AT26" s="44">
        <v>0</v>
      </c>
    </row>
    <row r="27" spans="1:46" x14ac:dyDescent="0.3">
      <c r="A27" s="44" t="s">
        <v>67</v>
      </c>
      <c r="B27" s="43">
        <v>4.9299999999999997E-2</v>
      </c>
      <c r="C27" s="44">
        <v>161</v>
      </c>
      <c r="D27" s="44">
        <v>42897.45</v>
      </c>
      <c r="E27" s="44">
        <v>323.19</v>
      </c>
      <c r="F27" s="44">
        <v>1046.1199999999999</v>
      </c>
      <c r="G27" s="44">
        <v>71.31</v>
      </c>
      <c r="H27" s="44">
        <v>8.5</v>
      </c>
      <c r="I27" s="44">
        <v>28839.37</v>
      </c>
      <c r="J27" s="44">
        <v>42380.69</v>
      </c>
      <c r="K27" s="44">
        <v>294398</v>
      </c>
      <c r="L27" s="44">
        <v>6.9465126689999996</v>
      </c>
      <c r="M27" s="44">
        <v>1.32</v>
      </c>
      <c r="N27" s="44">
        <v>1.2</v>
      </c>
      <c r="O27" s="44">
        <v>1.1947825E-2</v>
      </c>
      <c r="P27" s="44">
        <v>0.1</v>
      </c>
      <c r="Q27" s="44">
        <v>0.4</v>
      </c>
      <c r="R27" s="44">
        <v>4.9294418569999996</v>
      </c>
      <c r="S27" s="44">
        <v>6.9103248539999997</v>
      </c>
      <c r="T27" s="44">
        <v>3.366087507</v>
      </c>
      <c r="U27" s="44">
        <v>3.1817919950000002</v>
      </c>
      <c r="V27" s="44">
        <v>-6056.1100200000001</v>
      </c>
      <c r="W27" s="44">
        <v>1067.7808689999999</v>
      </c>
      <c r="X27" s="44">
        <v>2.640367881</v>
      </c>
      <c r="Y27" s="44">
        <v>457.52669309999999</v>
      </c>
      <c r="Z27" s="44">
        <v>1.1284345140000001</v>
      </c>
      <c r="AA27" s="44">
        <v>0.166424409</v>
      </c>
      <c r="AB27" s="44">
        <v>13027.83295</v>
      </c>
      <c r="AC27" s="44">
        <v>1465.0301710000001</v>
      </c>
      <c r="AD27" s="44">
        <v>-70680652157</v>
      </c>
      <c r="AE27" s="44">
        <v>-3.8356749040000002</v>
      </c>
      <c r="AF27" s="47">
        <v>306000000000</v>
      </c>
      <c r="AG27" s="47">
        <v>1840000000000</v>
      </c>
      <c r="AH27" s="44">
        <v>0.166424409</v>
      </c>
      <c r="AI27" s="47">
        <v>722000000000</v>
      </c>
      <c r="AJ27" s="44">
        <v>3.8996342629999998</v>
      </c>
      <c r="AK27" s="44">
        <v>39.40401387</v>
      </c>
      <c r="AL27" s="46">
        <v>1030000000000</v>
      </c>
      <c r="AM27" s="44">
        <v>8.3435992480000003</v>
      </c>
      <c r="AN27" s="44">
        <v>56.561451580000004</v>
      </c>
      <c r="AO27" s="44">
        <v>13212.04004</v>
      </c>
      <c r="AP27" s="44">
        <v>5295.55</v>
      </c>
      <c r="AQ27" s="44">
        <v>51.156500000000001</v>
      </c>
      <c r="AR27" s="44">
        <v>81.799199999999999</v>
      </c>
      <c r="AS27" s="44">
        <v>68.340299999999999</v>
      </c>
      <c r="AT27" s="44">
        <v>0</v>
      </c>
    </row>
    <row r="28" spans="1:46" x14ac:dyDescent="0.3">
      <c r="A28" s="44" t="s">
        <v>68</v>
      </c>
      <c r="B28" s="43">
        <v>5.79E-2</v>
      </c>
      <c r="C28" s="44">
        <v>164.7</v>
      </c>
      <c r="D28" s="44">
        <v>43989.26</v>
      </c>
      <c r="E28" s="44">
        <v>337.96</v>
      </c>
      <c r="F28" s="44">
        <v>1034.97</v>
      </c>
      <c r="G28" s="44">
        <v>74.72</v>
      </c>
      <c r="H28" s="44">
        <v>8</v>
      </c>
      <c r="I28" s="44">
        <v>24924.263169999998</v>
      </c>
      <c r="J28" s="44">
        <v>36157.37068</v>
      </c>
      <c r="K28" s="44">
        <v>289736</v>
      </c>
      <c r="L28" s="44">
        <v>8.0131932880000001</v>
      </c>
      <c r="M28" s="44">
        <v>1.27</v>
      </c>
      <c r="N28" s="44">
        <v>0.9</v>
      </c>
      <c r="O28" s="44">
        <v>9.2651139999999996E-3</v>
      </c>
      <c r="P28" s="44">
        <v>0</v>
      </c>
      <c r="Q28" s="44">
        <v>-0.1</v>
      </c>
      <c r="R28" s="44">
        <v>5.2838624960000002</v>
      </c>
      <c r="S28" s="44">
        <v>7.1966716999999996</v>
      </c>
      <c r="T28" s="44">
        <v>3.7549016129999999</v>
      </c>
      <c r="U28" s="44">
        <v>3.461253932</v>
      </c>
      <c r="V28" s="44">
        <v>-6918.6772440000004</v>
      </c>
      <c r="W28" s="44">
        <v>1180.6860039999999</v>
      </c>
      <c r="X28" s="44">
        <v>2.8145057360000001</v>
      </c>
      <c r="Y28" s="44">
        <v>514.26499139999999</v>
      </c>
      <c r="Z28" s="44">
        <v>1.171917874</v>
      </c>
      <c r="AA28" s="44">
        <v>0.165278657</v>
      </c>
      <c r="AB28" s="44">
        <v>14082.53182</v>
      </c>
      <c r="AC28" s="44">
        <v>1462.36563</v>
      </c>
      <c r="AD28" s="44">
        <v>-80619913467</v>
      </c>
      <c r="AE28" s="44">
        <v>-4.3807804429999999</v>
      </c>
      <c r="AF28" s="47">
        <v>304000000000</v>
      </c>
      <c r="AG28" s="47">
        <v>1840000000000</v>
      </c>
      <c r="AH28" s="44">
        <v>0.165278657</v>
      </c>
      <c r="AI28" s="47">
        <v>720000000000</v>
      </c>
      <c r="AJ28" s="44">
        <v>4.4726362469999996</v>
      </c>
      <c r="AK28" s="44">
        <v>39.193150610000004</v>
      </c>
      <c r="AL28" s="46">
        <v>1040000000000</v>
      </c>
      <c r="AM28" s="44">
        <v>7.1312706940000004</v>
      </c>
      <c r="AN28" s="44">
        <v>57.094169989999997</v>
      </c>
      <c r="AO28" s="44">
        <v>12880.089840000001</v>
      </c>
      <c r="AP28" s="44">
        <v>5278.9</v>
      </c>
      <c r="AQ28" s="44">
        <v>56.308999999999997</v>
      </c>
      <c r="AR28" s="44">
        <v>88.061599999999999</v>
      </c>
      <c r="AS28" s="44">
        <v>70.908000000000001</v>
      </c>
      <c r="AT28" s="44">
        <v>0</v>
      </c>
    </row>
    <row r="29" spans="1:46" x14ac:dyDescent="0.3">
      <c r="A29" s="44" t="s">
        <v>69</v>
      </c>
      <c r="B29" s="43">
        <v>5.8400000000000001E-2</v>
      </c>
      <c r="C29" s="44">
        <v>168.8</v>
      </c>
      <c r="D29" s="44">
        <v>44019.69</v>
      </c>
      <c r="E29" s="44">
        <v>342.15</v>
      </c>
      <c r="F29" s="44">
        <v>1064.1099999999999</v>
      </c>
      <c r="G29" s="44">
        <v>69.900000000000006</v>
      </c>
      <c r="H29" s="44">
        <v>8</v>
      </c>
      <c r="I29" s="44">
        <v>24902.00244</v>
      </c>
      <c r="J29" s="44">
        <v>42051.448380000002</v>
      </c>
      <c r="K29" s="44">
        <v>294812</v>
      </c>
      <c r="L29" s="44">
        <v>7.01074544</v>
      </c>
      <c r="M29" s="44">
        <v>1.8</v>
      </c>
      <c r="N29" s="44">
        <v>0.7</v>
      </c>
      <c r="O29" s="44">
        <v>6.5749069999999996E-3</v>
      </c>
      <c r="P29" s="44">
        <v>0.2</v>
      </c>
      <c r="Q29" s="44">
        <v>1.1000000000000001</v>
      </c>
      <c r="R29" s="44">
        <v>5.6713518870000001</v>
      </c>
      <c r="S29" s="44">
        <v>7.5596826960000003</v>
      </c>
      <c r="T29" s="44">
        <v>4.2037649129999997</v>
      </c>
      <c r="U29" s="44">
        <v>3.8350889029999999</v>
      </c>
      <c r="V29" s="44">
        <v>-7872.0280549999998</v>
      </c>
      <c r="W29" s="44">
        <v>1305.2556380000001</v>
      </c>
      <c r="X29" s="44">
        <v>2.9813907240000002</v>
      </c>
      <c r="Y29" s="44">
        <v>581.13329399999998</v>
      </c>
      <c r="Z29" s="44">
        <v>1.2294422970000001</v>
      </c>
      <c r="AA29" s="44">
        <v>0.16325389600000001</v>
      </c>
      <c r="AB29" s="44">
        <v>15104.89883</v>
      </c>
      <c r="AC29" s="44">
        <v>1455.723774</v>
      </c>
      <c r="AD29" s="44">
        <v>-88746438811</v>
      </c>
      <c r="AE29" s="44">
        <v>-4.8352486849999998</v>
      </c>
      <c r="AF29" s="47">
        <v>300000000000</v>
      </c>
      <c r="AG29" s="47">
        <v>1840000000000</v>
      </c>
      <c r="AH29" s="44">
        <v>0.16325389600000001</v>
      </c>
      <c r="AI29" s="47">
        <v>712000000000</v>
      </c>
      <c r="AJ29" s="44">
        <v>4.8416322640000002</v>
      </c>
      <c r="AK29" s="44">
        <v>38.84550342</v>
      </c>
      <c r="AL29" s="46">
        <v>1040000000000</v>
      </c>
      <c r="AM29" s="44">
        <v>5.9957601809999996</v>
      </c>
      <c r="AN29" s="44">
        <v>57.498226469999999</v>
      </c>
      <c r="AO29" s="44">
        <v>13437.12988</v>
      </c>
      <c r="AP29" s="44">
        <v>5703.3</v>
      </c>
      <c r="AQ29" s="44">
        <v>52.697000000000003</v>
      </c>
      <c r="AR29" s="44">
        <v>85.711699999999993</v>
      </c>
      <c r="AS29" s="44">
        <v>68.148499999999999</v>
      </c>
      <c r="AT29" s="44">
        <v>0</v>
      </c>
    </row>
    <row r="30" spans="1:46" x14ac:dyDescent="0.3">
      <c r="A30" s="44" t="s">
        <v>70</v>
      </c>
      <c r="B30" s="43">
        <v>6.6199999999999995E-2</v>
      </c>
      <c r="C30" s="44">
        <v>168.8</v>
      </c>
      <c r="D30" s="44">
        <v>46231.03</v>
      </c>
      <c r="E30" s="44">
        <v>351.24</v>
      </c>
      <c r="F30" s="44">
        <v>1152.8</v>
      </c>
      <c r="G30" s="44">
        <v>76.97</v>
      </c>
      <c r="H30" s="44">
        <v>8</v>
      </c>
      <c r="I30" s="44">
        <v>25457.539519999998</v>
      </c>
      <c r="J30" s="44">
        <v>43050.573669999998</v>
      </c>
      <c r="K30" s="44">
        <v>295638</v>
      </c>
      <c r="L30" s="44">
        <v>6.8672255629999999</v>
      </c>
      <c r="M30" s="44">
        <v>1.33</v>
      </c>
      <c r="N30" s="44">
        <v>0.4</v>
      </c>
      <c r="O30" s="44">
        <v>4.2765850000000003E-3</v>
      </c>
      <c r="P30" s="44">
        <v>-0.1</v>
      </c>
      <c r="Q30" s="44">
        <v>-0.2</v>
      </c>
      <c r="R30" s="44">
        <v>5.91</v>
      </c>
      <c r="S30" s="44">
        <v>7.8</v>
      </c>
      <c r="T30" s="44">
        <v>4.51</v>
      </c>
      <c r="U30" s="44">
        <v>4.0999999999999996</v>
      </c>
      <c r="V30" s="44">
        <v>-8795.0385019999994</v>
      </c>
      <c r="W30" s="44">
        <v>1429.03</v>
      </c>
      <c r="X30" s="44">
        <v>3.1</v>
      </c>
      <c r="Y30" s="44">
        <v>652.04999999999995</v>
      </c>
      <c r="Z30" s="44">
        <v>1.3</v>
      </c>
      <c r="AA30" s="44">
        <v>0.162043452</v>
      </c>
      <c r="AB30" s="44">
        <v>16023.883599999999</v>
      </c>
      <c r="AC30" s="44">
        <v>1447.452</v>
      </c>
      <c r="AD30" s="44">
        <v>-91471245846</v>
      </c>
      <c r="AE30" s="44">
        <v>-4.9935674680000002</v>
      </c>
      <c r="AF30" s="47">
        <v>297000000000</v>
      </c>
      <c r="AG30" s="47">
        <v>1830000000000</v>
      </c>
      <c r="AH30" s="44">
        <v>0.162043452</v>
      </c>
      <c r="AI30" s="47">
        <v>700000000000</v>
      </c>
      <c r="AJ30" s="44">
        <v>4.1891335019999998</v>
      </c>
      <c r="AK30" s="44">
        <v>38.261660030000002</v>
      </c>
      <c r="AL30" s="46">
        <v>1040000000000</v>
      </c>
      <c r="AM30" s="44">
        <v>5.2908464679999998</v>
      </c>
      <c r="AN30" s="44">
        <v>57.792752440000001</v>
      </c>
      <c r="AO30" s="44">
        <v>13104.139649999999</v>
      </c>
      <c r="AP30" s="44">
        <v>5905.1</v>
      </c>
      <c r="AQ30" s="44">
        <v>54.777299999999997</v>
      </c>
      <c r="AR30" s="44">
        <v>88.509200000000007</v>
      </c>
      <c r="AS30" s="44">
        <v>72.260499999999993</v>
      </c>
      <c r="AT30" s="44">
        <v>0</v>
      </c>
    </row>
    <row r="31" spans="1:46" x14ac:dyDescent="0.3">
      <c r="A31" s="44" t="s">
        <v>71</v>
      </c>
      <c r="B31" s="43">
        <v>5.6099999999999997E-2</v>
      </c>
      <c r="C31" s="44">
        <v>170.1</v>
      </c>
      <c r="D31" s="44">
        <v>48695.63</v>
      </c>
      <c r="E31" s="44">
        <v>354.41</v>
      </c>
      <c r="F31" s="44">
        <v>1258.54</v>
      </c>
      <c r="G31" s="44">
        <v>83.81</v>
      </c>
      <c r="H31" s="44">
        <v>7.5</v>
      </c>
      <c r="I31" s="44">
        <v>30541.41</v>
      </c>
      <c r="J31" s="44">
        <v>40947.79</v>
      </c>
      <c r="K31" s="44">
        <v>292045.59999999998</v>
      </c>
      <c r="L31" s="44">
        <v>7.1321455929999997</v>
      </c>
      <c r="M31" s="44">
        <v>1.56</v>
      </c>
      <c r="N31" s="44">
        <v>1.1000000000000001</v>
      </c>
      <c r="O31" s="44">
        <v>1.0928191E-2</v>
      </c>
      <c r="P31" s="44">
        <v>0.1</v>
      </c>
      <c r="Q31" s="44">
        <v>0.6</v>
      </c>
      <c r="R31" s="44">
        <v>5.8677721309999997</v>
      </c>
      <c r="S31" s="44">
        <v>7.7706536530000001</v>
      </c>
      <c r="T31" s="44">
        <v>4.5241308729999998</v>
      </c>
      <c r="U31" s="44">
        <v>4.1057455090000001</v>
      </c>
      <c r="V31" s="44">
        <v>-9575.7602420000003</v>
      </c>
      <c r="W31" s="44">
        <v>1543.8268310000001</v>
      </c>
      <c r="X31" s="44">
        <v>3.1438228609999999</v>
      </c>
      <c r="Y31" s="44">
        <v>723.00180780000005</v>
      </c>
      <c r="Z31" s="44">
        <v>1.3827018250000001</v>
      </c>
      <c r="AA31" s="44">
        <v>0.16287030399999999</v>
      </c>
      <c r="AB31" s="44">
        <v>16776.684440000001</v>
      </c>
      <c r="AC31" s="44">
        <v>1440.0724909999999</v>
      </c>
      <c r="AD31" s="44">
        <v>-86340544805</v>
      </c>
      <c r="AE31" s="44">
        <v>-4.7141135639999998</v>
      </c>
      <c r="AF31" s="47">
        <v>298000000000</v>
      </c>
      <c r="AG31" s="47">
        <v>1830000000000</v>
      </c>
      <c r="AH31" s="44">
        <v>0.16287030399999999</v>
      </c>
      <c r="AI31" s="47">
        <v>683000000000</v>
      </c>
      <c r="AJ31" s="44">
        <v>2.0301344399999999</v>
      </c>
      <c r="AK31" s="44">
        <v>37.390412769999998</v>
      </c>
      <c r="AL31" s="46">
        <v>1040000000000</v>
      </c>
      <c r="AM31" s="44">
        <v>5.259577341</v>
      </c>
      <c r="AN31" s="44">
        <v>57.994222299999997</v>
      </c>
      <c r="AO31" s="44">
        <v>14578.54004</v>
      </c>
      <c r="AP31" s="44">
        <v>5682.55</v>
      </c>
      <c r="AQ31" s="44">
        <v>54.389299999999999</v>
      </c>
      <c r="AR31" s="44">
        <v>82.320899999999995</v>
      </c>
      <c r="AS31" s="44">
        <v>69.543800000000005</v>
      </c>
      <c r="AT31" s="44">
        <v>0</v>
      </c>
    </row>
    <row r="32" spans="1:46" x14ac:dyDescent="0.3">
      <c r="A32" s="44" t="s">
        <v>72</v>
      </c>
      <c r="B32" s="43">
        <v>4.6100000000000002E-2</v>
      </c>
      <c r="C32" s="44">
        <v>173.2</v>
      </c>
      <c r="D32" s="44">
        <v>49585.677600000003</v>
      </c>
      <c r="E32" s="44">
        <v>368.53989999999999</v>
      </c>
      <c r="F32" s="44">
        <v>1381.1678999999999</v>
      </c>
      <c r="G32" s="44">
        <v>90.451499999999996</v>
      </c>
      <c r="H32" s="44">
        <v>7.25</v>
      </c>
      <c r="I32" s="44">
        <v>23998.411410000001</v>
      </c>
      <c r="J32" s="44">
        <v>35304.356220000001</v>
      </c>
      <c r="K32" s="44">
        <v>282452.8</v>
      </c>
      <c r="L32" s="44">
        <v>8.0005084439999994</v>
      </c>
      <c r="M32" s="44">
        <v>1.65</v>
      </c>
      <c r="N32" s="44">
        <v>0.4</v>
      </c>
      <c r="O32" s="44">
        <v>4.0059730000000003E-3</v>
      </c>
      <c r="P32" s="44">
        <v>0.8</v>
      </c>
      <c r="Q32" s="44">
        <v>0.5</v>
      </c>
      <c r="R32" s="44">
        <v>5.6121348869999998</v>
      </c>
      <c r="S32" s="44">
        <v>7.5342252309999997</v>
      </c>
      <c r="T32" s="44">
        <v>4.3094871489999997</v>
      </c>
      <c r="U32" s="44">
        <v>3.9143045019999998</v>
      </c>
      <c r="V32" s="44">
        <v>-10138.94738</v>
      </c>
      <c r="W32" s="44">
        <v>1658.5739140000001</v>
      </c>
      <c r="X32" s="44">
        <v>3.1443971560000001</v>
      </c>
      <c r="Y32" s="44">
        <v>798.24861339999995</v>
      </c>
      <c r="Z32" s="44">
        <v>1.4771331190000001</v>
      </c>
      <c r="AA32" s="44">
        <v>0.165076046</v>
      </c>
      <c r="AB32" s="44">
        <v>17333.494620000001</v>
      </c>
      <c r="AC32" s="44">
        <v>1436.8065779999999</v>
      </c>
      <c r="AD32" s="44">
        <v>-75441316229</v>
      </c>
      <c r="AE32" s="44">
        <v>-4.1108194730000003</v>
      </c>
      <c r="AF32" s="47">
        <v>302000000000</v>
      </c>
      <c r="AG32" s="47">
        <v>1830000000000</v>
      </c>
      <c r="AH32" s="44">
        <v>0.165076046</v>
      </c>
      <c r="AI32" s="47">
        <v>665000000000</v>
      </c>
      <c r="AJ32" s="44">
        <v>-0.79043728199999996</v>
      </c>
      <c r="AK32" s="44">
        <v>36.373372400000001</v>
      </c>
      <c r="AL32" s="46">
        <v>1050000000000</v>
      </c>
      <c r="AM32" s="44">
        <v>5.7020766939999996</v>
      </c>
      <c r="AN32" s="44">
        <v>58.108482260000002</v>
      </c>
      <c r="AO32" s="44">
        <v>14909.599609999999</v>
      </c>
      <c r="AP32" s="44">
        <v>5842.2</v>
      </c>
      <c r="AQ32" s="44">
        <v>59.6995</v>
      </c>
      <c r="AR32" s="44">
        <v>91.143199999999993</v>
      </c>
      <c r="AS32" s="44">
        <v>77.975999999999999</v>
      </c>
      <c r="AT32" s="44">
        <v>0</v>
      </c>
    </row>
    <row r="33" spans="1:46" x14ac:dyDescent="0.3">
      <c r="A33" s="44" t="s">
        <v>73</v>
      </c>
      <c r="B33" s="43">
        <v>4.8899999999999999E-2</v>
      </c>
      <c r="C33" s="44">
        <v>180.7</v>
      </c>
      <c r="D33" s="44">
        <v>51701.599999999999</v>
      </c>
      <c r="E33" s="44">
        <v>391.27</v>
      </c>
      <c r="F33" s="44">
        <v>1450.02</v>
      </c>
      <c r="G33" s="44">
        <v>96.41</v>
      </c>
      <c r="H33" s="44">
        <v>7.5</v>
      </c>
      <c r="I33" s="44">
        <v>28135.901699999999</v>
      </c>
      <c r="J33" s="44">
        <v>34258.24366</v>
      </c>
      <c r="K33" s="44">
        <v>277233.7</v>
      </c>
      <c r="L33" s="44">
        <v>8.092466816</v>
      </c>
      <c r="M33" s="44">
        <v>1.65</v>
      </c>
      <c r="N33" s="44">
        <v>1.3</v>
      </c>
      <c r="O33" s="44">
        <v>1.2568464999999999E-2</v>
      </c>
      <c r="P33" s="44">
        <v>0.5</v>
      </c>
      <c r="Q33" s="44">
        <v>0.8</v>
      </c>
      <c r="R33" s="44">
        <v>5.260430199</v>
      </c>
      <c r="S33" s="44">
        <v>7.2056841929999997</v>
      </c>
      <c r="T33" s="44">
        <v>3.9825998509999998</v>
      </c>
      <c r="U33" s="44">
        <v>3.6407112430000002</v>
      </c>
      <c r="V33" s="44">
        <v>-10418.52961</v>
      </c>
      <c r="W33" s="44">
        <v>1786.476539</v>
      </c>
      <c r="X33" s="44">
        <v>3.1477728730000001</v>
      </c>
      <c r="Y33" s="44">
        <v>884.1186123</v>
      </c>
      <c r="Z33" s="44">
        <v>1.582997853</v>
      </c>
      <c r="AA33" s="44">
        <v>0.167531922</v>
      </c>
      <c r="AB33" s="44">
        <v>17672.756130000002</v>
      </c>
      <c r="AC33" s="44">
        <v>1441.050375</v>
      </c>
      <c r="AD33" s="44">
        <v>-61995733232</v>
      </c>
      <c r="AE33" s="44">
        <v>-3.3615066300000001</v>
      </c>
      <c r="AF33" s="47">
        <v>308000000000</v>
      </c>
      <c r="AG33" s="47">
        <v>1840000000000</v>
      </c>
      <c r="AH33" s="44">
        <v>0.167531922</v>
      </c>
      <c r="AI33" s="47">
        <v>651000000000</v>
      </c>
      <c r="AJ33" s="44">
        <v>-3.0951707289999999</v>
      </c>
      <c r="AK33" s="44">
        <v>35.400354309999997</v>
      </c>
      <c r="AL33" s="46">
        <v>1060000000000</v>
      </c>
      <c r="AM33" s="44">
        <v>6.3077374510000004</v>
      </c>
      <c r="AN33" s="44">
        <v>58.13872147</v>
      </c>
      <c r="AO33" s="44">
        <v>15129.66992</v>
      </c>
      <c r="AP33" s="44">
        <v>5735.3</v>
      </c>
      <c r="AQ33" s="44">
        <v>62.777000000000001</v>
      </c>
      <c r="AR33" s="44">
        <v>101.4162</v>
      </c>
      <c r="AS33" s="44">
        <v>84.674499999999995</v>
      </c>
      <c r="AT33" s="44">
        <v>0</v>
      </c>
    </row>
    <row r="34" spans="1:46" x14ac:dyDescent="0.3">
      <c r="A34" s="44" t="s">
        <v>74</v>
      </c>
      <c r="B34" s="43">
        <v>4.9000000000000002E-2</v>
      </c>
      <c r="C34" s="44">
        <v>179.6</v>
      </c>
      <c r="D34" s="44">
        <v>52754.080000000002</v>
      </c>
      <c r="E34" s="44">
        <v>386.04</v>
      </c>
      <c r="F34" s="44">
        <v>1464.94</v>
      </c>
      <c r="G34" s="44">
        <v>102.66</v>
      </c>
      <c r="H34" s="44">
        <v>7.75</v>
      </c>
      <c r="I34" s="44">
        <v>26393.059079999999</v>
      </c>
      <c r="J34" s="44">
        <v>36580.093659999999</v>
      </c>
      <c r="K34" s="44">
        <v>293876.8</v>
      </c>
      <c r="L34" s="44">
        <v>8.0337902549999995</v>
      </c>
      <c r="M34" s="44">
        <v>1.85</v>
      </c>
      <c r="N34" s="44">
        <v>1.5</v>
      </c>
      <c r="O34" s="44">
        <v>1.4961818999999999E-2</v>
      </c>
      <c r="P34" s="44">
        <v>0.4</v>
      </c>
      <c r="Q34" s="44">
        <v>0.5</v>
      </c>
      <c r="R34" s="44">
        <v>4.93</v>
      </c>
      <c r="S34" s="44">
        <v>6.9</v>
      </c>
      <c r="T34" s="44">
        <v>3.66</v>
      </c>
      <c r="U34" s="44">
        <v>3.4</v>
      </c>
      <c r="V34" s="44">
        <v>-10348.436669999999</v>
      </c>
      <c r="W34" s="44">
        <v>1940.74</v>
      </c>
      <c r="X34" s="44">
        <v>3.2</v>
      </c>
      <c r="Y34" s="44">
        <v>986.94</v>
      </c>
      <c r="Z34" s="44">
        <v>1.7</v>
      </c>
      <c r="AA34" s="44">
        <v>0.169109178</v>
      </c>
      <c r="AB34" s="44">
        <v>17772.910980000001</v>
      </c>
      <c r="AC34" s="44">
        <v>1456.2</v>
      </c>
      <c r="AD34" s="44">
        <v>-49225968929</v>
      </c>
      <c r="AE34" s="44">
        <v>-2.643996467</v>
      </c>
      <c r="AF34" s="47">
        <v>315000000000</v>
      </c>
      <c r="AG34" s="47">
        <v>1860000000000</v>
      </c>
      <c r="AH34" s="44">
        <v>0.169109178</v>
      </c>
      <c r="AI34" s="47">
        <v>646000000000</v>
      </c>
      <c r="AJ34" s="44">
        <v>-3.7066549690000001</v>
      </c>
      <c r="AK34" s="44">
        <v>34.661173859999998</v>
      </c>
      <c r="AL34" s="46">
        <v>1080000000000</v>
      </c>
      <c r="AM34" s="44">
        <v>6.7659525309999999</v>
      </c>
      <c r="AN34" s="44">
        <v>58.088129109999997</v>
      </c>
      <c r="AO34" s="44">
        <v>16576.660159999999</v>
      </c>
      <c r="AP34" s="44">
        <v>6304</v>
      </c>
      <c r="AQ34" s="44">
        <v>61.896999999999998</v>
      </c>
      <c r="AR34" s="44">
        <v>102.0094</v>
      </c>
      <c r="AS34" s="44">
        <v>85.363500000000002</v>
      </c>
      <c r="AT34" s="44">
        <v>0</v>
      </c>
    </row>
    <row r="35" spans="1:46" x14ac:dyDescent="0.3">
      <c r="A35" s="44" t="s">
        <v>75</v>
      </c>
      <c r="B35" s="43">
        <v>4.2500000000000003E-2</v>
      </c>
      <c r="C35" s="44">
        <v>180.3</v>
      </c>
      <c r="D35" s="44">
        <v>55296.01</v>
      </c>
      <c r="E35" s="44">
        <v>398.75</v>
      </c>
      <c r="F35" s="44">
        <v>1582.07</v>
      </c>
      <c r="G35" s="44">
        <v>128.28</v>
      </c>
      <c r="H35" s="44">
        <v>8</v>
      </c>
      <c r="I35" s="44">
        <v>30341.03</v>
      </c>
      <c r="J35" s="44">
        <v>41294.46</v>
      </c>
      <c r="K35" s="44">
        <v>304223.2</v>
      </c>
      <c r="L35" s="44">
        <v>7.3671674119999997</v>
      </c>
      <c r="M35" s="44">
        <v>1.53</v>
      </c>
      <c r="N35" s="44">
        <v>0.1</v>
      </c>
      <c r="O35" s="44">
        <v>1.4882439999999999E-3</v>
      </c>
      <c r="P35" s="44">
        <v>0.6</v>
      </c>
      <c r="Q35" s="44">
        <v>0.8</v>
      </c>
      <c r="R35" s="44">
        <v>4.7115008679999999</v>
      </c>
      <c r="S35" s="44">
        <v>6.7086230349999996</v>
      </c>
      <c r="T35" s="44">
        <v>3.433639001</v>
      </c>
      <c r="U35" s="44">
        <v>3.279600968</v>
      </c>
      <c r="V35" s="44">
        <v>-9907.1970209999999</v>
      </c>
      <c r="W35" s="44">
        <v>2127.5104000000001</v>
      </c>
      <c r="X35" s="44">
        <v>3.3312156759999998</v>
      </c>
      <c r="Y35" s="44">
        <v>1108.857638</v>
      </c>
      <c r="Z35" s="44">
        <v>1.825133186</v>
      </c>
      <c r="AA35" s="44">
        <v>0.16888113499999999</v>
      </c>
      <c r="AB35" s="44">
        <v>17640.903969999999</v>
      </c>
      <c r="AC35" s="44">
        <v>1483.823926</v>
      </c>
      <c r="AD35" s="44">
        <v>-39699557125</v>
      </c>
      <c r="AE35" s="44">
        <v>-2.1000426440000002</v>
      </c>
      <c r="AF35" s="47">
        <v>321000000000</v>
      </c>
      <c r="AG35" s="47">
        <v>1900000000000</v>
      </c>
      <c r="AH35" s="44">
        <v>0.16888113499999999</v>
      </c>
      <c r="AI35" s="47">
        <v>653000000000</v>
      </c>
      <c r="AJ35" s="44">
        <v>-1.854674237</v>
      </c>
      <c r="AK35" s="44">
        <v>34.287110720000001</v>
      </c>
      <c r="AL35" s="46">
        <v>1100000000000</v>
      </c>
      <c r="AM35" s="44">
        <v>6.8492943100000003</v>
      </c>
      <c r="AN35" s="44">
        <v>57.972568840000001</v>
      </c>
      <c r="AO35" s="44">
        <v>16457.660159999999</v>
      </c>
      <c r="AP35" s="44">
        <v>6704.2</v>
      </c>
      <c r="AQ35" s="44">
        <v>60.099800000000002</v>
      </c>
      <c r="AR35" s="44">
        <v>99.849800000000002</v>
      </c>
      <c r="AS35" s="44">
        <v>82.576499999999996</v>
      </c>
      <c r="AT35" s="44">
        <v>0</v>
      </c>
    </row>
    <row r="36" spans="1:46" x14ac:dyDescent="0.3">
      <c r="A36" s="44" t="s">
        <v>76</v>
      </c>
      <c r="B36" s="43">
        <v>4.2900000000000001E-2</v>
      </c>
      <c r="C36" s="44">
        <v>183</v>
      </c>
      <c r="D36" s="44">
        <v>56012.05</v>
      </c>
      <c r="E36" s="44">
        <v>394.7</v>
      </c>
      <c r="F36" s="44">
        <v>1611.02</v>
      </c>
      <c r="G36" s="44">
        <v>140.41</v>
      </c>
      <c r="H36" s="44">
        <v>8</v>
      </c>
      <c r="I36" s="44">
        <v>25926.627</v>
      </c>
      <c r="J36" s="44">
        <v>38352.39011</v>
      </c>
      <c r="K36" s="44">
        <v>316138</v>
      </c>
      <c r="L36" s="44">
        <v>8.2429804020000006</v>
      </c>
      <c r="M36" s="44">
        <v>1.94</v>
      </c>
      <c r="N36" s="44">
        <v>1.5</v>
      </c>
      <c r="O36" s="44">
        <v>1.5294975000000001E-2</v>
      </c>
      <c r="P36" s="44">
        <v>0.3</v>
      </c>
      <c r="Q36" s="44">
        <v>0.9</v>
      </c>
      <c r="R36" s="44">
        <v>4.5888479569999996</v>
      </c>
      <c r="S36" s="44">
        <v>6.6289273770000001</v>
      </c>
      <c r="T36" s="44">
        <v>3.2971497890000001</v>
      </c>
      <c r="U36" s="44">
        <v>3.2565280599999999</v>
      </c>
      <c r="V36" s="44">
        <v>-9251.7341950000009</v>
      </c>
      <c r="W36" s="44">
        <v>2324.6970900000001</v>
      </c>
      <c r="X36" s="44">
        <v>3.5079056409999998</v>
      </c>
      <c r="Y36" s="44">
        <v>1235.2830550000001</v>
      </c>
      <c r="Z36" s="44">
        <v>1.944549651</v>
      </c>
      <c r="AA36" s="44">
        <v>0.16672942299999999</v>
      </c>
      <c r="AB36" s="44">
        <v>17397.69126</v>
      </c>
      <c r="AC36" s="44">
        <v>1518.1800579999999</v>
      </c>
      <c r="AD36" s="44">
        <v>-33365474382</v>
      </c>
      <c r="AE36" s="44">
        <v>-1.7271277270000001</v>
      </c>
      <c r="AF36" s="47">
        <v>326000000000</v>
      </c>
      <c r="AG36" s="47">
        <v>1960000000000</v>
      </c>
      <c r="AH36" s="44">
        <v>0.16672942299999999</v>
      </c>
      <c r="AI36" s="47">
        <v>668000000000</v>
      </c>
      <c r="AJ36" s="44">
        <v>1.6022065599999999</v>
      </c>
      <c r="AK36" s="44">
        <v>34.175301650000002</v>
      </c>
      <c r="AL36" s="46">
        <v>1120000000000</v>
      </c>
      <c r="AM36" s="44">
        <v>6.6630529789999997</v>
      </c>
      <c r="AN36" s="44">
        <v>57.858602380000001</v>
      </c>
      <c r="AO36" s="44">
        <v>16826.599610000001</v>
      </c>
      <c r="AP36" s="44">
        <v>7611.35</v>
      </c>
      <c r="AQ36" s="44">
        <v>60.093299999999999</v>
      </c>
      <c r="AR36" s="44">
        <v>102.32689999999999</v>
      </c>
      <c r="AS36" s="44">
        <v>82.009399999999999</v>
      </c>
      <c r="AT36" s="44">
        <v>0</v>
      </c>
    </row>
    <row r="37" spans="1:46" x14ac:dyDescent="0.3">
      <c r="A37" s="44" t="s">
        <v>77</v>
      </c>
      <c r="B37" s="43">
        <v>4.1500000000000002E-2</v>
      </c>
      <c r="C37" s="44">
        <v>185</v>
      </c>
      <c r="D37" s="44">
        <v>56138.48</v>
      </c>
      <c r="E37" s="44">
        <v>368.49</v>
      </c>
      <c r="F37" s="44">
        <v>1675.73</v>
      </c>
      <c r="G37" s="44">
        <v>142.52000000000001</v>
      </c>
      <c r="H37" s="44">
        <v>8</v>
      </c>
      <c r="I37" s="44">
        <v>28889.652129999999</v>
      </c>
      <c r="J37" s="44">
        <v>43341.748359999998</v>
      </c>
      <c r="K37" s="44">
        <v>313841.2</v>
      </c>
      <c r="L37" s="44">
        <v>7.2410830639999997</v>
      </c>
      <c r="M37" s="44">
        <v>1.92</v>
      </c>
      <c r="N37" s="44">
        <v>1.6</v>
      </c>
      <c r="O37" s="44">
        <v>1.6418289999999999E-2</v>
      </c>
      <c r="P37" s="44">
        <v>0.6</v>
      </c>
      <c r="Q37" s="44">
        <v>0.8</v>
      </c>
      <c r="R37" s="44">
        <v>4.5192710680000001</v>
      </c>
      <c r="S37" s="44">
        <v>6.6347680310000001</v>
      </c>
      <c r="T37" s="44">
        <v>3.219585683</v>
      </c>
      <c r="U37" s="44">
        <v>3.2801911229999998</v>
      </c>
      <c r="V37" s="44">
        <v>-8583.5704860000005</v>
      </c>
      <c r="W37" s="44">
        <v>2503.1502359999999</v>
      </c>
      <c r="X37" s="44">
        <v>3.6806427859999999</v>
      </c>
      <c r="Y37" s="44">
        <v>1347.444444</v>
      </c>
      <c r="Z37" s="44">
        <v>2.0416912909999998</v>
      </c>
      <c r="AA37" s="44">
        <v>0.16273774599999999</v>
      </c>
      <c r="AB37" s="44">
        <v>17192.731810000001</v>
      </c>
      <c r="AC37" s="44">
        <v>1551.698662</v>
      </c>
      <c r="AD37" s="44">
        <v>-29518057949</v>
      </c>
      <c r="AE37" s="44">
        <v>-1.4866665080000001</v>
      </c>
      <c r="AF37" s="47">
        <v>327000000000</v>
      </c>
      <c r="AG37" s="47">
        <v>2010000000000</v>
      </c>
      <c r="AH37" s="44">
        <v>0.16273774599999999</v>
      </c>
      <c r="AI37" s="47">
        <v>685000000000</v>
      </c>
      <c r="AJ37" s="44">
        <v>5.3982273459999996</v>
      </c>
      <c r="AK37" s="44">
        <v>34.164347730000003</v>
      </c>
      <c r="AL37" s="46">
        <v>1150000000000</v>
      </c>
      <c r="AM37" s="44">
        <v>6.3956981800000001</v>
      </c>
      <c r="AN37" s="44">
        <v>57.825465950000002</v>
      </c>
      <c r="AO37" s="44">
        <v>17042.900389999999</v>
      </c>
      <c r="AP37" s="44">
        <v>7964.8</v>
      </c>
      <c r="AQ37" s="44">
        <v>61.613500000000002</v>
      </c>
      <c r="AR37" s="44">
        <v>100.276</v>
      </c>
      <c r="AS37" s="44">
        <v>78.206000000000003</v>
      </c>
      <c r="AT37" s="44">
        <v>0</v>
      </c>
    </row>
    <row r="38" spans="1:46" x14ac:dyDescent="0.3">
      <c r="A38" s="44" t="s">
        <v>78</v>
      </c>
      <c r="B38" s="43">
        <v>5.0999999999999997E-2</v>
      </c>
      <c r="C38" s="44">
        <v>178.7</v>
      </c>
      <c r="D38" s="44">
        <v>57869.55</v>
      </c>
      <c r="E38" s="44">
        <v>358.82</v>
      </c>
      <c r="F38" s="44">
        <v>1663.06</v>
      </c>
      <c r="G38" s="44">
        <v>147.36000000000001</v>
      </c>
      <c r="H38" s="44">
        <v>8</v>
      </c>
      <c r="I38" s="44">
        <v>26172.793389999999</v>
      </c>
      <c r="J38" s="44">
        <v>35333.272019999997</v>
      </c>
      <c r="K38" s="44">
        <v>320648.8</v>
      </c>
      <c r="L38" s="44">
        <v>9.0749817850000003</v>
      </c>
      <c r="M38" s="44">
        <v>1.55</v>
      </c>
      <c r="N38" s="44">
        <v>0.7</v>
      </c>
      <c r="O38" s="44">
        <v>6.9894249999999996E-3</v>
      </c>
      <c r="P38" s="44">
        <v>0.8</v>
      </c>
      <c r="Q38" s="44">
        <v>0.8</v>
      </c>
      <c r="R38" s="44">
        <v>4.46</v>
      </c>
      <c r="S38" s="44">
        <v>6.7</v>
      </c>
      <c r="T38" s="44">
        <v>3.17</v>
      </c>
      <c r="U38" s="44">
        <v>3.3</v>
      </c>
      <c r="V38" s="44">
        <v>-8104.2281899999998</v>
      </c>
      <c r="W38" s="44">
        <v>2633.72</v>
      </c>
      <c r="X38" s="44">
        <v>3.8</v>
      </c>
      <c r="Y38" s="44">
        <v>1426.57</v>
      </c>
      <c r="Z38" s="44">
        <v>2.1</v>
      </c>
      <c r="AA38" s="44">
        <v>0.15698980800000001</v>
      </c>
      <c r="AB38" s="44">
        <v>17175.48459</v>
      </c>
      <c r="AC38" s="44">
        <v>1576.81</v>
      </c>
      <c r="AD38" s="44">
        <v>-27451645078</v>
      </c>
      <c r="AE38" s="44">
        <v>-1.34007378</v>
      </c>
      <c r="AF38" s="47">
        <v>322000000000</v>
      </c>
      <c r="AG38" s="47">
        <v>2050000000000</v>
      </c>
      <c r="AH38" s="44">
        <v>0.15698980800000001</v>
      </c>
      <c r="AI38" s="47">
        <v>696000000000</v>
      </c>
      <c r="AJ38" s="44">
        <v>8.2676280450000004</v>
      </c>
      <c r="AK38" s="44">
        <v>34.09285002</v>
      </c>
      <c r="AL38" s="46">
        <v>1180000000000</v>
      </c>
      <c r="AM38" s="44">
        <v>6.2356995570000002</v>
      </c>
      <c r="AN38" s="44">
        <v>57.952395760000002</v>
      </c>
      <c r="AO38" s="44">
        <v>17823.070309999999</v>
      </c>
      <c r="AP38" s="44">
        <v>8282.7000000000007</v>
      </c>
      <c r="AQ38" s="44">
        <v>63.331499999999998</v>
      </c>
      <c r="AR38" s="44">
        <v>98.581800000000001</v>
      </c>
      <c r="AS38" s="44">
        <v>77.004800000000003</v>
      </c>
      <c r="AT38" s="44">
        <v>1</v>
      </c>
    </row>
    <row r="39" spans="1:46" x14ac:dyDescent="0.3">
      <c r="A39" s="44" t="s">
        <v>79</v>
      </c>
      <c r="B39" s="43">
        <v>6.5000000000000002E-2</v>
      </c>
      <c r="C39" s="44">
        <v>176.1</v>
      </c>
      <c r="D39" s="44">
        <v>60029.52</v>
      </c>
      <c r="E39" s="44">
        <v>370.36</v>
      </c>
      <c r="F39" s="44">
        <v>1856.04</v>
      </c>
      <c r="G39" s="44">
        <v>153.05000000000001</v>
      </c>
      <c r="H39" s="44">
        <v>7.5</v>
      </c>
      <c r="I39" s="44">
        <v>24034.17785</v>
      </c>
      <c r="J39" s="44">
        <v>35428.720209999999</v>
      </c>
      <c r="K39" s="44">
        <v>341638.40000000002</v>
      </c>
      <c r="L39" s="44">
        <v>9.6429788599999995</v>
      </c>
      <c r="M39" s="44">
        <v>1.66</v>
      </c>
      <c r="N39" s="44">
        <v>0.5</v>
      </c>
      <c r="O39" s="44">
        <v>5.1661179999999999E-3</v>
      </c>
      <c r="P39" s="44">
        <v>1.1000000000000001</v>
      </c>
      <c r="Q39" s="44">
        <v>0.3</v>
      </c>
      <c r="R39" s="44">
        <v>4.377943148</v>
      </c>
      <c r="S39" s="44">
        <v>6.7979792080000001</v>
      </c>
      <c r="T39" s="44">
        <v>3.1220943729999999</v>
      </c>
      <c r="U39" s="44">
        <v>3.275850621</v>
      </c>
      <c r="V39" s="44">
        <v>-7957.4310390000001</v>
      </c>
      <c r="W39" s="44">
        <v>2705.05782</v>
      </c>
      <c r="X39" s="44">
        <v>3.8406894349999998</v>
      </c>
      <c r="Y39" s="44">
        <v>1465.1949830000001</v>
      </c>
      <c r="Z39" s="44">
        <v>2.1152029319999999</v>
      </c>
      <c r="AA39" s="44">
        <v>0.149715921</v>
      </c>
      <c r="AB39" s="44">
        <v>17448.054250000001</v>
      </c>
      <c r="AC39" s="44">
        <v>1588.3891960000001</v>
      </c>
      <c r="AD39" s="44">
        <v>-26453917766</v>
      </c>
      <c r="AE39" s="44">
        <v>-1.2511286530000001</v>
      </c>
      <c r="AF39" s="47">
        <v>310000000000</v>
      </c>
      <c r="AG39" s="47">
        <v>2070000000000</v>
      </c>
      <c r="AH39" s="44">
        <v>0.149715921</v>
      </c>
      <c r="AI39" s="47">
        <v>698000000000</v>
      </c>
      <c r="AJ39" s="44">
        <v>9.2647212299999993</v>
      </c>
      <c r="AK39" s="44">
        <v>33.836824309999997</v>
      </c>
      <c r="AL39" s="46">
        <v>1200000000000</v>
      </c>
      <c r="AM39" s="44">
        <v>6.3248170540000004</v>
      </c>
      <c r="AN39" s="44">
        <v>58.28613163</v>
      </c>
      <c r="AO39" s="44">
        <v>17776.119139999999</v>
      </c>
      <c r="AP39" s="44">
        <v>8491</v>
      </c>
      <c r="AQ39" s="44">
        <v>62.590800000000002</v>
      </c>
      <c r="AR39" s="44">
        <v>92.459100000000007</v>
      </c>
      <c r="AS39" s="44">
        <v>67.510400000000004</v>
      </c>
      <c r="AT39" s="44">
        <v>1</v>
      </c>
    </row>
    <row r="40" spans="1:46" x14ac:dyDescent="0.3">
      <c r="A40" s="44" t="s">
        <v>80</v>
      </c>
      <c r="B40" s="43">
        <v>6.9400000000000003E-2</v>
      </c>
      <c r="C40" s="44">
        <v>179.1</v>
      </c>
      <c r="D40" s="44">
        <v>60713.97</v>
      </c>
      <c r="E40" s="44">
        <v>368.75</v>
      </c>
      <c r="F40" s="44">
        <v>1892.35</v>
      </c>
      <c r="G40" s="44">
        <v>158.58000000000001</v>
      </c>
      <c r="H40" s="44">
        <v>7.25</v>
      </c>
      <c r="I40" s="44">
        <v>22323.722679999999</v>
      </c>
      <c r="J40" s="44">
        <v>33536.23371</v>
      </c>
      <c r="K40" s="44">
        <v>356001</v>
      </c>
      <c r="L40" s="44">
        <v>10.61541386</v>
      </c>
      <c r="M40" s="44">
        <v>2.16</v>
      </c>
      <c r="N40" s="44">
        <v>1.2</v>
      </c>
      <c r="O40" s="44">
        <v>1.2072921E-2</v>
      </c>
      <c r="P40" s="44">
        <v>0.6</v>
      </c>
      <c r="Q40" s="44">
        <v>0.5</v>
      </c>
      <c r="R40" s="44">
        <v>4.2787232839999998</v>
      </c>
      <c r="S40" s="44">
        <v>6.9000652609999999</v>
      </c>
      <c r="T40" s="44">
        <v>3.0681636939999999</v>
      </c>
      <c r="U40" s="44">
        <v>3.2095832560000002</v>
      </c>
      <c r="V40" s="44">
        <v>-8055.7085209999996</v>
      </c>
      <c r="W40" s="44">
        <v>2777.0202250000002</v>
      </c>
      <c r="X40" s="44">
        <v>3.8739802800000001</v>
      </c>
      <c r="Y40" s="44">
        <v>1501.082917</v>
      </c>
      <c r="Z40" s="44">
        <v>2.1321682769999999</v>
      </c>
      <c r="AA40" s="44">
        <v>0.14173281099999999</v>
      </c>
      <c r="AB40" s="44">
        <v>17923.12817</v>
      </c>
      <c r="AC40" s="44">
        <v>1591.0908139999999</v>
      </c>
      <c r="AD40" s="44">
        <v>-25785936996</v>
      </c>
      <c r="AE40" s="44">
        <v>-1.193067511</v>
      </c>
      <c r="AF40" s="47">
        <v>295000000000</v>
      </c>
      <c r="AG40" s="47">
        <v>2080000000000</v>
      </c>
      <c r="AH40" s="44">
        <v>0.14173281099999999</v>
      </c>
      <c r="AI40" s="47">
        <v>693000000000</v>
      </c>
      <c r="AJ40" s="44">
        <v>8.7241100700000001</v>
      </c>
      <c r="AK40" s="44">
        <v>33.42194533</v>
      </c>
      <c r="AL40" s="46">
        <v>1210000000000</v>
      </c>
      <c r="AM40" s="44">
        <v>6.6179718190000001</v>
      </c>
      <c r="AN40" s="44">
        <v>58.743427760000003</v>
      </c>
      <c r="AO40" s="44">
        <v>17619.509770000001</v>
      </c>
      <c r="AP40" s="44">
        <v>8368.5</v>
      </c>
      <c r="AQ40" s="44">
        <v>63.754899999999999</v>
      </c>
      <c r="AR40" s="44">
        <v>100.1207</v>
      </c>
      <c r="AS40" s="44">
        <v>71.201499999999996</v>
      </c>
      <c r="AT40" s="44">
        <v>1</v>
      </c>
    </row>
    <row r="41" spans="1:46" x14ac:dyDescent="0.3">
      <c r="A41" s="44" t="s">
        <v>81</v>
      </c>
      <c r="B41" s="43">
        <v>7.1400000000000005E-2</v>
      </c>
      <c r="C41" s="44">
        <v>176.5</v>
      </c>
      <c r="D41" s="44">
        <v>60986.57</v>
      </c>
      <c r="E41" s="44">
        <v>372.63</v>
      </c>
      <c r="F41" s="44">
        <v>1919.6</v>
      </c>
      <c r="G41" s="44">
        <v>160.68</v>
      </c>
      <c r="H41" s="44">
        <v>6.75</v>
      </c>
      <c r="I41" s="44">
        <v>21869.35399</v>
      </c>
      <c r="J41" s="44">
        <v>32035.31942</v>
      </c>
      <c r="K41" s="44">
        <v>350288.6</v>
      </c>
      <c r="L41" s="44">
        <v>10.934450050000001</v>
      </c>
      <c r="M41" s="44">
        <v>1.75</v>
      </c>
      <c r="N41" s="44">
        <v>0.8</v>
      </c>
      <c r="O41" s="44">
        <v>7.9785310000000005E-3</v>
      </c>
      <c r="P41" s="44">
        <v>0.6</v>
      </c>
      <c r="Q41" s="44">
        <v>0.3</v>
      </c>
      <c r="R41" s="44">
        <v>4.177641779</v>
      </c>
      <c r="S41" s="44">
        <v>6.9771186829999996</v>
      </c>
      <c r="T41" s="44">
        <v>3.0051511679999998</v>
      </c>
      <c r="U41" s="44">
        <v>3.113524264</v>
      </c>
      <c r="V41" s="44">
        <v>-8253.7915630000007</v>
      </c>
      <c r="W41" s="44">
        <v>2927.2650180000001</v>
      </c>
      <c r="X41" s="44">
        <v>3.995280985</v>
      </c>
      <c r="Y41" s="44">
        <v>1583.304392</v>
      </c>
      <c r="Z41" s="44">
        <v>2.2080494829999999</v>
      </c>
      <c r="AA41" s="44">
        <v>0.134003815</v>
      </c>
      <c r="AB41" s="44">
        <v>18466.039400000001</v>
      </c>
      <c r="AC41" s="44">
        <v>1592.0142739999999</v>
      </c>
      <c r="AD41" s="44">
        <v>-24702108501</v>
      </c>
      <c r="AE41" s="44">
        <v>-1.141491059</v>
      </c>
      <c r="AF41" s="47">
        <v>279000000000</v>
      </c>
      <c r="AG41" s="47">
        <v>2080000000000</v>
      </c>
      <c r="AH41" s="44">
        <v>0.134003815</v>
      </c>
      <c r="AI41" s="47">
        <v>685000000000</v>
      </c>
      <c r="AJ41" s="44">
        <v>7.3004703800000001</v>
      </c>
      <c r="AK41" s="44">
        <v>32.911302569999997</v>
      </c>
      <c r="AL41" s="46">
        <v>1230000000000</v>
      </c>
      <c r="AM41" s="44">
        <v>7.0233752980000004</v>
      </c>
      <c r="AN41" s="44">
        <v>59.208541940000003</v>
      </c>
      <c r="AO41" s="44">
        <v>16284.700199999999</v>
      </c>
      <c r="AP41" s="44">
        <v>7948.9</v>
      </c>
      <c r="AQ41" s="44">
        <v>65.741799999999998</v>
      </c>
      <c r="AR41" s="44">
        <v>99.533100000000005</v>
      </c>
      <c r="AS41" s="44">
        <v>73.795199999999994</v>
      </c>
      <c r="AT41" s="44">
        <v>1</v>
      </c>
    </row>
    <row r="42" spans="1:46" x14ac:dyDescent="0.3">
      <c r="A42" s="44" t="s">
        <v>82</v>
      </c>
      <c r="B42" s="43">
        <v>7.2300000000000003E-2</v>
      </c>
      <c r="C42" s="44">
        <v>176.8</v>
      </c>
      <c r="D42" s="44">
        <v>63251.09</v>
      </c>
      <c r="E42" s="44">
        <v>383.4</v>
      </c>
      <c r="F42" s="44">
        <v>1987.8</v>
      </c>
      <c r="G42" s="44">
        <v>167.16</v>
      </c>
      <c r="H42" s="44">
        <v>6.75</v>
      </c>
      <c r="I42" s="44">
        <v>22593.35339</v>
      </c>
      <c r="J42" s="44">
        <v>34096.490039999997</v>
      </c>
      <c r="K42" s="44">
        <v>350381.4</v>
      </c>
      <c r="L42" s="44">
        <v>10.276172109999999</v>
      </c>
      <c r="M42" s="44">
        <v>1.75</v>
      </c>
      <c r="N42" s="44">
        <v>0.4</v>
      </c>
      <c r="O42" s="44">
        <v>4.4592900000000003E-3</v>
      </c>
      <c r="P42" s="44">
        <v>0.9</v>
      </c>
      <c r="Q42" s="44">
        <v>0.7</v>
      </c>
      <c r="R42" s="44">
        <v>4.09</v>
      </c>
      <c r="S42" s="44">
        <v>7</v>
      </c>
      <c r="T42" s="44">
        <v>2.93</v>
      </c>
      <c r="U42" s="44">
        <v>3</v>
      </c>
      <c r="V42" s="44">
        <v>-8406.4110930000006</v>
      </c>
      <c r="W42" s="44">
        <v>3233.45</v>
      </c>
      <c r="X42" s="44">
        <v>4.3</v>
      </c>
      <c r="Y42" s="44">
        <v>1760.93</v>
      </c>
      <c r="Z42" s="44">
        <v>2.4</v>
      </c>
      <c r="AA42" s="44">
        <v>0.12749226399999999</v>
      </c>
      <c r="AB42" s="44">
        <v>18942.121009999999</v>
      </c>
      <c r="AC42" s="44">
        <v>1598.259</v>
      </c>
      <c r="AD42" s="44">
        <v>-22456838010</v>
      </c>
      <c r="AE42" s="44">
        <v>-1.0720000000000001</v>
      </c>
      <c r="AF42" s="47">
        <v>267000000000</v>
      </c>
      <c r="AG42" s="47">
        <v>2100000000000</v>
      </c>
      <c r="AH42" s="44">
        <v>0.12749226399999999</v>
      </c>
      <c r="AI42" s="47">
        <v>678000000000</v>
      </c>
      <c r="AJ42" s="44">
        <v>5.6484779759999997</v>
      </c>
      <c r="AK42" s="44">
        <v>32.367985480000002</v>
      </c>
      <c r="AL42" s="46">
        <v>1250000000000</v>
      </c>
      <c r="AM42" s="44">
        <v>7.4492389389999998</v>
      </c>
      <c r="AN42" s="44">
        <v>59.565731980000002</v>
      </c>
      <c r="AO42" s="44">
        <v>17425.029299999998</v>
      </c>
      <c r="AP42" s="44">
        <v>7946.35</v>
      </c>
      <c r="AQ42" s="44">
        <v>66.325999999999993</v>
      </c>
      <c r="AR42" s="44">
        <v>98.348200000000006</v>
      </c>
      <c r="AS42" s="44">
        <v>72.501000000000005</v>
      </c>
      <c r="AT42" s="44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46"/>
  <sheetViews>
    <sheetView showGridLines="0" workbookViewId="0">
      <selection activeCell="C4" sqref="C4"/>
    </sheetView>
  </sheetViews>
  <sheetFormatPr defaultRowHeight="14.4" x14ac:dyDescent="0.3"/>
  <cols>
    <col min="2" max="2" width="27.5546875" bestFit="1" customWidth="1"/>
    <col min="3" max="3" width="31.6640625" bestFit="1" customWidth="1"/>
    <col min="4" max="4" width="13.109375" bestFit="1" customWidth="1"/>
  </cols>
  <sheetData>
    <row r="1" spans="1:4" x14ac:dyDescent="0.3">
      <c r="A1" s="42" t="s">
        <v>127</v>
      </c>
      <c r="B1" s="42" t="s">
        <v>219</v>
      </c>
      <c r="C1" s="42" t="s">
        <v>275</v>
      </c>
      <c r="D1" s="50" t="s">
        <v>243</v>
      </c>
    </row>
    <row r="2" spans="1:4" x14ac:dyDescent="0.3">
      <c r="A2" s="43" t="s">
        <v>218</v>
      </c>
      <c r="B2" s="43" t="s">
        <v>274</v>
      </c>
      <c r="C2" s="51">
        <f t="shared" ref="C2:C45" ca="1" si="0">RSQ(INDIRECT($A$2),INDIRECT(A2))</f>
        <v>1</v>
      </c>
      <c r="D2" s="52">
        <f ca="1">IF(C2&gt;70%,1,0)</f>
        <v>1</v>
      </c>
    </row>
    <row r="3" spans="1:4" x14ac:dyDescent="0.3">
      <c r="A3" s="44" t="s">
        <v>200</v>
      </c>
      <c r="B3" s="52" t="s">
        <v>108</v>
      </c>
      <c r="C3" s="51" t="e">
        <f ca="1">RSQ(INDIRECT($A$2),INDIRECT(A3))</f>
        <v>#N/A</v>
      </c>
      <c r="D3" s="52" t="e">
        <f t="shared" ref="D3:D45" ca="1" si="1">IF(C3&gt;70%,1,0)</f>
        <v>#N/A</v>
      </c>
    </row>
    <row r="4" spans="1:4" x14ac:dyDescent="0.3">
      <c r="A4" s="44" t="s">
        <v>176</v>
      </c>
      <c r="B4" s="52" t="s">
        <v>84</v>
      </c>
      <c r="C4" s="51" t="e">
        <f ca="1">RSQ(INDIRECT($A$2),INDIRECT(A4))</f>
        <v>#N/A</v>
      </c>
      <c r="D4" s="52" t="e">
        <f t="shared" ca="1" si="1"/>
        <v>#N/A</v>
      </c>
    </row>
    <row r="5" spans="1:4" x14ac:dyDescent="0.3">
      <c r="A5" s="44" t="s">
        <v>175</v>
      </c>
      <c r="B5" s="52" t="s">
        <v>83</v>
      </c>
      <c r="C5" s="51" t="e">
        <f t="shared" ca="1" si="0"/>
        <v>#N/A</v>
      </c>
      <c r="D5" s="52" t="e">
        <f t="shared" ca="1" si="1"/>
        <v>#N/A</v>
      </c>
    </row>
    <row r="6" spans="1:4" x14ac:dyDescent="0.3">
      <c r="A6" s="44" t="s">
        <v>210</v>
      </c>
      <c r="B6" s="52" t="s">
        <v>118</v>
      </c>
      <c r="C6" s="51" t="e">
        <f ca="1">RSQ(INDIRECT($A$2),INDIRECT(A6))</f>
        <v>#N/A</v>
      </c>
      <c r="D6" s="52" t="e">
        <f t="shared" ca="1" si="1"/>
        <v>#N/A</v>
      </c>
    </row>
    <row r="7" spans="1:4" x14ac:dyDescent="0.3">
      <c r="A7" s="44" t="s">
        <v>215</v>
      </c>
      <c r="B7" s="52" t="s">
        <v>121</v>
      </c>
      <c r="C7" s="51" t="e">
        <f t="shared" ca="1" si="0"/>
        <v>#N/A</v>
      </c>
      <c r="D7" s="52" t="e">
        <f t="shared" ca="1" si="1"/>
        <v>#N/A</v>
      </c>
    </row>
    <row r="8" spans="1:4" x14ac:dyDescent="0.3">
      <c r="A8" s="44" t="s">
        <v>177</v>
      </c>
      <c r="B8" s="52" t="s">
        <v>86</v>
      </c>
      <c r="C8" s="51" t="e">
        <f t="shared" ca="1" si="0"/>
        <v>#N/A</v>
      </c>
      <c r="D8" s="52" t="e">
        <f t="shared" ca="1" si="1"/>
        <v>#N/A</v>
      </c>
    </row>
    <row r="9" spans="1:4" x14ac:dyDescent="0.3">
      <c r="A9" s="44" t="s">
        <v>205</v>
      </c>
      <c r="B9" s="52" t="s">
        <v>113</v>
      </c>
      <c r="C9" s="51" t="e">
        <f t="shared" ca="1" si="0"/>
        <v>#N/A</v>
      </c>
      <c r="D9" s="52" t="e">
        <f t="shared" ca="1" si="1"/>
        <v>#N/A</v>
      </c>
    </row>
    <row r="10" spans="1:4" x14ac:dyDescent="0.3">
      <c r="A10" s="44" t="s">
        <v>195</v>
      </c>
      <c r="B10" s="52" t="s">
        <v>103</v>
      </c>
      <c r="C10" s="51" t="e">
        <f t="shared" ca="1" si="0"/>
        <v>#N/A</v>
      </c>
      <c r="D10" s="52" t="e">
        <f t="shared" ca="1" si="1"/>
        <v>#N/A</v>
      </c>
    </row>
    <row r="11" spans="1:4" x14ac:dyDescent="0.3">
      <c r="A11" s="44" t="s">
        <v>201</v>
      </c>
      <c r="B11" s="52" t="s">
        <v>109</v>
      </c>
      <c r="C11" s="51" t="e">
        <f t="shared" ca="1" si="0"/>
        <v>#N/A</v>
      </c>
      <c r="D11" s="52" t="e">
        <f t="shared" ca="1" si="1"/>
        <v>#N/A</v>
      </c>
    </row>
    <row r="12" spans="1:4" x14ac:dyDescent="0.3">
      <c r="A12" s="44" t="s">
        <v>178</v>
      </c>
      <c r="B12" s="52" t="s">
        <v>87</v>
      </c>
      <c r="C12" s="51" t="e">
        <f t="shared" ca="1" si="0"/>
        <v>#N/A</v>
      </c>
      <c r="D12" s="52" t="e">
        <f t="shared" ca="1" si="1"/>
        <v>#N/A</v>
      </c>
    </row>
    <row r="13" spans="1:4" x14ac:dyDescent="0.3">
      <c r="A13" s="44" t="s">
        <v>194</v>
      </c>
      <c r="B13" s="52" t="s">
        <v>102</v>
      </c>
      <c r="C13" s="51" t="e">
        <f t="shared" ca="1" si="0"/>
        <v>#N/A</v>
      </c>
      <c r="D13" s="52" t="e">
        <f t="shared" ca="1" si="1"/>
        <v>#N/A</v>
      </c>
    </row>
    <row r="14" spans="1:4" x14ac:dyDescent="0.3">
      <c r="A14" s="44" t="s">
        <v>197</v>
      </c>
      <c r="B14" s="52" t="s">
        <v>105</v>
      </c>
      <c r="C14" s="51" t="e">
        <f t="shared" ca="1" si="0"/>
        <v>#N/A</v>
      </c>
      <c r="D14" s="52" t="e">
        <f t="shared" ca="1" si="1"/>
        <v>#N/A</v>
      </c>
    </row>
    <row r="15" spans="1:4" x14ac:dyDescent="0.3">
      <c r="A15" s="44" t="s">
        <v>212</v>
      </c>
      <c r="B15" s="52" t="s">
        <v>120</v>
      </c>
      <c r="C15" s="51" t="e">
        <f t="shared" ca="1" si="0"/>
        <v>#N/A</v>
      </c>
      <c r="D15" s="52" t="e">
        <f t="shared" ca="1" si="1"/>
        <v>#N/A</v>
      </c>
    </row>
    <row r="16" spans="1:4" x14ac:dyDescent="0.3">
      <c r="A16" s="44" t="s">
        <v>196</v>
      </c>
      <c r="B16" s="52" t="s">
        <v>104</v>
      </c>
      <c r="C16" s="51" t="e">
        <f t="shared" ca="1" si="0"/>
        <v>#N/A</v>
      </c>
      <c r="D16" s="52" t="e">
        <f t="shared" ca="1" si="1"/>
        <v>#N/A</v>
      </c>
    </row>
    <row r="17" spans="1:4" x14ac:dyDescent="0.3">
      <c r="A17" s="44" t="s">
        <v>209</v>
      </c>
      <c r="B17" s="52" t="s">
        <v>117</v>
      </c>
      <c r="C17" s="51" t="e">
        <f t="shared" ca="1" si="0"/>
        <v>#N/A</v>
      </c>
      <c r="D17" s="52" t="e">
        <f t="shared" ca="1" si="1"/>
        <v>#N/A</v>
      </c>
    </row>
    <row r="18" spans="1:4" x14ac:dyDescent="0.3">
      <c r="A18" s="44" t="s">
        <v>198</v>
      </c>
      <c r="B18" s="52" t="s">
        <v>106</v>
      </c>
      <c r="C18" s="51" t="e">
        <f t="shared" ca="1" si="0"/>
        <v>#N/A</v>
      </c>
      <c r="D18" s="52" t="e">
        <f t="shared" ca="1" si="1"/>
        <v>#N/A</v>
      </c>
    </row>
    <row r="19" spans="1:4" x14ac:dyDescent="0.3">
      <c r="A19" s="44" t="s">
        <v>213</v>
      </c>
      <c r="B19" s="52" t="s">
        <v>88</v>
      </c>
      <c r="C19" s="51" t="e">
        <f t="shared" ca="1" si="0"/>
        <v>#N/A</v>
      </c>
      <c r="D19" s="52" t="e">
        <f t="shared" ca="1" si="1"/>
        <v>#N/A</v>
      </c>
    </row>
    <row r="20" spans="1:4" x14ac:dyDescent="0.3">
      <c r="A20" s="44" t="s">
        <v>217</v>
      </c>
      <c r="B20" s="52" t="s">
        <v>124</v>
      </c>
      <c r="C20" s="51" t="e">
        <f t="shared" ca="1" si="0"/>
        <v>#N/A</v>
      </c>
      <c r="D20" s="52" t="e">
        <f t="shared" ca="1" si="1"/>
        <v>#N/A</v>
      </c>
    </row>
    <row r="21" spans="1:4" x14ac:dyDescent="0.3">
      <c r="A21" s="44" t="s">
        <v>204</v>
      </c>
      <c r="B21" s="52" t="s">
        <v>112</v>
      </c>
      <c r="C21" s="51" t="e">
        <f t="shared" ca="1" si="0"/>
        <v>#N/A</v>
      </c>
      <c r="D21" s="52" t="e">
        <f t="shared" ca="1" si="1"/>
        <v>#N/A</v>
      </c>
    </row>
    <row r="22" spans="1:4" x14ac:dyDescent="0.3">
      <c r="A22" s="44" t="s">
        <v>214</v>
      </c>
      <c r="B22" s="52" t="s">
        <v>40</v>
      </c>
      <c r="C22" s="51" t="e">
        <f t="shared" ca="1" si="0"/>
        <v>#N/A</v>
      </c>
      <c r="D22" s="52" t="e">
        <f t="shared" ca="1" si="1"/>
        <v>#N/A</v>
      </c>
    </row>
    <row r="23" spans="1:4" x14ac:dyDescent="0.3">
      <c r="A23" s="44" t="s">
        <v>207</v>
      </c>
      <c r="B23" s="52" t="s">
        <v>115</v>
      </c>
      <c r="C23" s="51" t="e">
        <f t="shared" ca="1" si="0"/>
        <v>#N/A</v>
      </c>
      <c r="D23" s="52" t="e">
        <f t="shared" ca="1" si="1"/>
        <v>#N/A</v>
      </c>
    </row>
    <row r="24" spans="1:4" x14ac:dyDescent="0.3">
      <c r="A24" s="44" t="s">
        <v>179</v>
      </c>
      <c r="B24" s="52" t="s">
        <v>85</v>
      </c>
      <c r="C24" s="51" t="e">
        <f t="shared" ca="1" si="0"/>
        <v>#N/A</v>
      </c>
      <c r="D24" s="52" t="e">
        <f t="shared" ca="1" si="1"/>
        <v>#N/A</v>
      </c>
    </row>
    <row r="25" spans="1:4" x14ac:dyDescent="0.3">
      <c r="A25" s="44" t="s">
        <v>216</v>
      </c>
      <c r="B25" s="52" t="s">
        <v>123</v>
      </c>
      <c r="C25" s="51" t="e">
        <f t="shared" ca="1" si="0"/>
        <v>#N/A</v>
      </c>
      <c r="D25" s="52" t="e">
        <f t="shared" ca="1" si="1"/>
        <v>#N/A</v>
      </c>
    </row>
    <row r="26" spans="1:4" x14ac:dyDescent="0.3">
      <c r="A26" s="44" t="s">
        <v>183</v>
      </c>
      <c r="B26" s="52" t="s">
        <v>122</v>
      </c>
      <c r="C26" s="51" t="e">
        <f t="shared" ca="1" si="0"/>
        <v>#N/A</v>
      </c>
      <c r="D26" s="52" t="e">
        <f t="shared" ca="1" si="1"/>
        <v>#N/A</v>
      </c>
    </row>
    <row r="27" spans="1:4" x14ac:dyDescent="0.3">
      <c r="A27" s="44" t="s">
        <v>181</v>
      </c>
      <c r="B27" s="52" t="s">
        <v>90</v>
      </c>
      <c r="C27" s="51" t="e">
        <f t="shared" ca="1" si="0"/>
        <v>#N/A</v>
      </c>
      <c r="D27" s="52" t="e">
        <f t="shared" ca="1" si="1"/>
        <v>#N/A</v>
      </c>
    </row>
    <row r="28" spans="1:4" x14ac:dyDescent="0.3">
      <c r="A28" s="44" t="s">
        <v>182</v>
      </c>
      <c r="B28" s="52" t="s">
        <v>91</v>
      </c>
      <c r="C28" s="51" t="e">
        <f t="shared" ca="1" si="0"/>
        <v>#N/A</v>
      </c>
      <c r="D28" s="52" t="e">
        <f t="shared" ca="1" si="1"/>
        <v>#N/A</v>
      </c>
    </row>
    <row r="29" spans="1:4" x14ac:dyDescent="0.3">
      <c r="A29" s="44" t="s">
        <v>208</v>
      </c>
      <c r="B29" s="52" t="s">
        <v>116</v>
      </c>
      <c r="C29" s="51" t="e">
        <f t="shared" ca="1" si="0"/>
        <v>#N/A</v>
      </c>
      <c r="D29" s="52" t="e">
        <f t="shared" ca="1" si="1"/>
        <v>#N/A</v>
      </c>
    </row>
    <row r="30" spans="1:4" x14ac:dyDescent="0.3">
      <c r="A30" s="44" t="s">
        <v>189</v>
      </c>
      <c r="B30" s="52" t="s">
        <v>97</v>
      </c>
      <c r="C30" s="51" t="e">
        <f t="shared" ca="1" si="0"/>
        <v>#N/A</v>
      </c>
      <c r="D30" s="52" t="e">
        <f t="shared" ca="1" si="1"/>
        <v>#N/A</v>
      </c>
    </row>
    <row r="31" spans="1:4" x14ac:dyDescent="0.3">
      <c r="A31" s="44" t="s">
        <v>184</v>
      </c>
      <c r="B31" s="52" t="s">
        <v>92</v>
      </c>
      <c r="C31" s="51" t="e">
        <f t="shared" ca="1" si="0"/>
        <v>#N/A</v>
      </c>
      <c r="D31" s="52" t="e">
        <f t="shared" ca="1" si="1"/>
        <v>#N/A</v>
      </c>
    </row>
    <row r="32" spans="1:4" x14ac:dyDescent="0.3">
      <c r="A32" s="44" t="s">
        <v>187</v>
      </c>
      <c r="B32" s="52" t="s">
        <v>94</v>
      </c>
      <c r="C32" s="51" t="e">
        <f t="shared" ca="1" si="0"/>
        <v>#N/A</v>
      </c>
      <c r="D32" s="52" t="e">
        <f t="shared" ca="1" si="1"/>
        <v>#N/A</v>
      </c>
    </row>
    <row r="33" spans="1:4" x14ac:dyDescent="0.3">
      <c r="A33" s="44" t="s">
        <v>186</v>
      </c>
      <c r="B33" s="52" t="s">
        <v>93</v>
      </c>
      <c r="C33" s="51" t="e">
        <f t="shared" ca="1" si="0"/>
        <v>#N/A</v>
      </c>
      <c r="D33" s="52" t="e">
        <f t="shared" ca="1" si="1"/>
        <v>#N/A</v>
      </c>
    </row>
    <row r="34" spans="1:4" x14ac:dyDescent="0.3">
      <c r="A34" s="44" t="s">
        <v>191</v>
      </c>
      <c r="B34" s="52" t="s">
        <v>99</v>
      </c>
      <c r="C34" s="51" t="e">
        <f t="shared" ca="1" si="0"/>
        <v>#N/A</v>
      </c>
      <c r="D34" s="52" t="e">
        <f t="shared" ca="1" si="1"/>
        <v>#N/A</v>
      </c>
    </row>
    <row r="35" spans="1:4" x14ac:dyDescent="0.3">
      <c r="A35" s="44" t="s">
        <v>193</v>
      </c>
      <c r="B35" s="52" t="s">
        <v>101</v>
      </c>
      <c r="C35" s="51" t="e">
        <f t="shared" ca="1" si="0"/>
        <v>#N/A</v>
      </c>
      <c r="D35" s="52" t="e">
        <f t="shared" ca="1" si="1"/>
        <v>#N/A</v>
      </c>
    </row>
    <row r="36" spans="1:4" x14ac:dyDescent="0.3">
      <c r="A36" s="44" t="s">
        <v>180</v>
      </c>
      <c r="B36" s="52" t="s">
        <v>89</v>
      </c>
      <c r="C36" s="51" t="e">
        <f t="shared" ca="1" si="0"/>
        <v>#N/A</v>
      </c>
      <c r="D36" s="52" t="e">
        <f t="shared" ca="1" si="1"/>
        <v>#N/A</v>
      </c>
    </row>
    <row r="37" spans="1:4" x14ac:dyDescent="0.3">
      <c r="A37" s="44" t="s">
        <v>199</v>
      </c>
      <c r="B37" s="52" t="s">
        <v>107</v>
      </c>
      <c r="C37" s="51" t="e">
        <f t="shared" ca="1" si="0"/>
        <v>#N/A</v>
      </c>
      <c r="D37" s="52" t="e">
        <f t="shared" ca="1" si="1"/>
        <v>#N/A</v>
      </c>
    </row>
    <row r="38" spans="1:4" x14ac:dyDescent="0.3">
      <c r="A38" s="44" t="s">
        <v>206</v>
      </c>
      <c r="B38" s="52" t="s">
        <v>114</v>
      </c>
      <c r="C38" s="51" t="e">
        <f t="shared" ca="1" si="0"/>
        <v>#N/A</v>
      </c>
      <c r="D38" s="52" t="e">
        <f t="shared" ca="1" si="1"/>
        <v>#N/A</v>
      </c>
    </row>
    <row r="39" spans="1:4" x14ac:dyDescent="0.3">
      <c r="A39" s="44" t="s">
        <v>192</v>
      </c>
      <c r="B39" s="52" t="s">
        <v>100</v>
      </c>
      <c r="C39" s="51" t="e">
        <f t="shared" ca="1" si="0"/>
        <v>#N/A</v>
      </c>
      <c r="D39" s="52" t="e">
        <f t="shared" ca="1" si="1"/>
        <v>#N/A</v>
      </c>
    </row>
    <row r="40" spans="1:4" x14ac:dyDescent="0.3">
      <c r="A40" s="44" t="s">
        <v>202</v>
      </c>
      <c r="B40" s="52" t="s">
        <v>110</v>
      </c>
      <c r="C40" s="51" t="e">
        <f t="shared" ca="1" si="0"/>
        <v>#N/A</v>
      </c>
      <c r="D40" s="52" t="e">
        <f t="shared" ca="1" si="1"/>
        <v>#N/A</v>
      </c>
    </row>
    <row r="41" spans="1:4" x14ac:dyDescent="0.3">
      <c r="A41" s="44" t="s">
        <v>190</v>
      </c>
      <c r="B41" s="52" t="s">
        <v>98</v>
      </c>
      <c r="C41" s="51" t="e">
        <f t="shared" ca="1" si="0"/>
        <v>#N/A</v>
      </c>
      <c r="D41" s="52" t="e">
        <f t="shared" ca="1" si="1"/>
        <v>#N/A</v>
      </c>
    </row>
    <row r="42" spans="1:4" x14ac:dyDescent="0.3">
      <c r="A42" s="44" t="s">
        <v>188</v>
      </c>
      <c r="B42" s="52" t="s">
        <v>96</v>
      </c>
      <c r="C42" s="51" t="e">
        <f t="shared" ca="1" si="0"/>
        <v>#N/A</v>
      </c>
      <c r="D42" s="52" t="e">
        <f t="shared" ca="1" si="1"/>
        <v>#N/A</v>
      </c>
    </row>
    <row r="43" spans="1:4" x14ac:dyDescent="0.3">
      <c r="A43" s="44" t="s">
        <v>185</v>
      </c>
      <c r="B43" s="52" t="s">
        <v>95</v>
      </c>
      <c r="C43" s="51" t="e">
        <f t="shared" ca="1" si="0"/>
        <v>#N/A</v>
      </c>
      <c r="D43" s="52" t="e">
        <f t="shared" ca="1" si="1"/>
        <v>#N/A</v>
      </c>
    </row>
    <row r="44" spans="1:4" x14ac:dyDescent="0.3">
      <c r="A44" s="44" t="s">
        <v>211</v>
      </c>
      <c r="B44" s="52" t="s">
        <v>119</v>
      </c>
      <c r="C44" s="51" t="e">
        <f t="shared" ca="1" si="0"/>
        <v>#N/A</v>
      </c>
      <c r="D44" s="52" t="e">
        <f t="shared" ca="1" si="1"/>
        <v>#N/A</v>
      </c>
    </row>
    <row r="45" spans="1:4" x14ac:dyDescent="0.3">
      <c r="A45" s="44" t="s">
        <v>203</v>
      </c>
      <c r="B45" s="52" t="s">
        <v>111</v>
      </c>
      <c r="C45" s="51" t="e">
        <f t="shared" ca="1" si="0"/>
        <v>#N/A</v>
      </c>
      <c r="D45" s="52" t="e">
        <f t="shared" ca="1" si="1"/>
        <v>#N/A</v>
      </c>
    </row>
    <row r="46" spans="1:4" x14ac:dyDescent="0.3">
      <c r="B46" s="2"/>
      <c r="C46" s="2"/>
    </row>
  </sheetData>
  <sortState ref="A2:C45">
    <sortCondition descending="1" ref="C2:C45"/>
  </sortState>
  <conditionalFormatting sqref="C2:C45">
    <cfRule type="cellIs" dxfId="9" priority="1" operator="lessThan">
      <formula>0.7</formula>
    </cfRule>
    <cfRule type="cellIs" dxfId="8" priority="2" operator="greaterThan">
      <formula>0.6999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/>
  </sheetPr>
  <dimension ref="A5:AI44"/>
  <sheetViews>
    <sheetView showGridLines="0" zoomScale="80" zoomScaleNormal="80" workbookViewId="0">
      <selection activeCell="A26" sqref="A26"/>
    </sheetView>
  </sheetViews>
  <sheetFormatPr defaultColWidth="9.109375" defaultRowHeight="14.25" customHeight="1" x14ac:dyDescent="0.3"/>
  <cols>
    <col min="1" max="1" width="15.6640625" style="19" customWidth="1"/>
    <col min="2" max="2" width="18" style="19" bestFit="1" customWidth="1"/>
    <col min="3" max="3" width="25" style="40" customWidth="1"/>
    <col min="4" max="6" width="27.33203125" style="40" customWidth="1"/>
    <col min="7" max="7" width="10" style="19" customWidth="1"/>
    <col min="8" max="8" width="10.6640625" style="19" customWidth="1"/>
    <col min="9" max="9" width="20" style="19" customWidth="1"/>
    <col min="10" max="13" width="9.33203125" style="19" customWidth="1"/>
    <col min="14" max="14" width="10" style="19" customWidth="1"/>
    <col min="15" max="15" width="7.44140625" style="19" customWidth="1"/>
    <col min="16" max="16" width="6.6640625" style="19" customWidth="1"/>
    <col min="17" max="17" width="13.5546875" style="19" customWidth="1"/>
    <col min="18" max="18" width="15" style="19" customWidth="1"/>
    <col min="19" max="20" width="28.88671875" style="19" bestFit="1" customWidth="1"/>
    <col min="21" max="22" width="28.88671875" style="19" customWidth="1"/>
    <col min="23" max="23" width="13.88671875" style="19" bestFit="1" customWidth="1"/>
    <col min="24" max="25" width="11.88671875" style="19" bestFit="1" customWidth="1"/>
    <col min="26" max="27" width="13.6640625" style="19" customWidth="1"/>
    <col min="28" max="28" width="9.33203125" style="19" customWidth="1"/>
    <col min="29" max="30" width="9.33203125" style="19" bestFit="1" customWidth="1"/>
    <col min="31" max="31" width="10" style="19" customWidth="1"/>
    <col min="32" max="32" width="12.88671875" style="19" bestFit="1" customWidth="1"/>
    <col min="33" max="35" width="23.44140625" style="19" bestFit="1" customWidth="1"/>
    <col min="36" max="16384" width="9.109375" style="19"/>
  </cols>
  <sheetData>
    <row r="5" spans="1:35" ht="30" customHeight="1" x14ac:dyDescent="0.3">
      <c r="A5" s="4" t="s">
        <v>237</v>
      </c>
      <c r="B5" s="5" t="str">
        <f>BASE!$B$3</f>
        <v>GNPA</v>
      </c>
      <c r="C5" s="4" t="s">
        <v>267</v>
      </c>
      <c r="D5" s="4" t="s">
        <v>84</v>
      </c>
      <c r="E5" s="4" t="s">
        <v>83</v>
      </c>
      <c r="F5" s="4" t="s">
        <v>118</v>
      </c>
      <c r="O5" s="59" t="s">
        <v>221</v>
      </c>
      <c r="P5" s="10" t="s">
        <v>222</v>
      </c>
      <c r="Q5" s="10" t="s">
        <v>238</v>
      </c>
      <c r="R5" s="10" t="s">
        <v>239</v>
      </c>
      <c r="S5" s="10" t="s">
        <v>223</v>
      </c>
      <c r="T5" s="10" t="s">
        <v>224</v>
      </c>
      <c r="U5" s="10" t="s">
        <v>225</v>
      </c>
      <c r="V5" s="10" t="s">
        <v>266</v>
      </c>
      <c r="W5" s="10" t="s">
        <v>226</v>
      </c>
      <c r="X5" s="10" t="s">
        <v>227</v>
      </c>
      <c r="Y5" s="10" t="s">
        <v>228</v>
      </c>
      <c r="Z5" s="10" t="s">
        <v>229</v>
      </c>
      <c r="AA5" s="10" t="s">
        <v>269</v>
      </c>
      <c r="AB5" s="10" t="s">
        <v>230</v>
      </c>
      <c r="AC5" s="10" t="s">
        <v>231</v>
      </c>
      <c r="AD5" s="10" t="s">
        <v>232</v>
      </c>
      <c r="AE5" s="11" t="s">
        <v>233</v>
      </c>
      <c r="AF5" s="11" t="s">
        <v>270</v>
      </c>
      <c r="AG5" s="10" t="s">
        <v>234</v>
      </c>
      <c r="AH5" s="12" t="s">
        <v>235</v>
      </c>
      <c r="AI5" s="13" t="s">
        <v>236</v>
      </c>
    </row>
    <row r="6" spans="1:35" ht="14.4" x14ac:dyDescent="0.3">
      <c r="A6" s="6" t="s">
        <v>44</v>
      </c>
      <c r="B6" s="20">
        <f>IF(B5="","",VLOOKUP($A6,BASE!$A:$AT,MATCH(Reg_Machine!B$5,BASE!$A$3:$AT$3,0),0))</f>
        <v>3.32E-2</v>
      </c>
      <c r="C6" s="41">
        <f>IF(C5="","",VLOOKUP($A6,BASE!$A:$AT,MATCH(Reg_Machine!C$5,BASE!$A$3:$AT$3,0),0))</f>
        <v>0</v>
      </c>
      <c r="D6" s="41" t="str">
        <f>IF(D5="","",VLOOKUP($A6,BASE!$A:$AT,MATCH(Reg_Machine!D$5,BASE!$A$3:$AT$3,0),0))</f>
        <v>-</v>
      </c>
      <c r="E6" s="41">
        <f>IF(E5="","",VLOOKUP($A6,BASE!$A:$AT,MATCH(Reg_Machine!E$5,BASE!$A$3:$AT$3,0),0))</f>
        <v>109.9</v>
      </c>
      <c r="F6" s="41">
        <f>IF(F5="","",VLOOKUP($A6,BASE!$A:$AT,MATCH(Reg_Machine!F$5,BASE!$A$3:$AT$3,0),0))</f>
        <v>470392988016.28003</v>
      </c>
      <c r="I6" s="29"/>
      <c r="J6" s="29"/>
      <c r="O6" s="60">
        <v>1</v>
      </c>
      <c r="P6" s="31">
        <f>COUNTA(Table1[[#This Row],[Variable1]:[Variable4]])</f>
        <v>2</v>
      </c>
      <c r="Q6" s="31" t="s">
        <v>240</v>
      </c>
      <c r="R6" s="31" t="str">
        <f>IF(Table1[[#This Row],[cnt]]=1,"$C6:$C44",IF(Table1[[#This Row],[cnt]]=2,"$C6:$D44",IF(Table1[[#This Row],[cnt]]=3,"$C6:$E44","$C6:$F44")))</f>
        <v>$C6:$D44</v>
      </c>
      <c r="S6" s="14" t="s">
        <v>267</v>
      </c>
      <c r="T6" s="14" t="s">
        <v>108</v>
      </c>
      <c r="U6" s="14"/>
      <c r="V6" s="14"/>
      <c r="W6" s="15">
        <v>1.5717509237693359E-2</v>
      </c>
      <c r="X6" s="15">
        <v>9.9916179758279371E-3</v>
      </c>
      <c r="Y6" s="15">
        <v>2.0781650403917685E-6</v>
      </c>
      <c r="Z6" s="15"/>
      <c r="AA6" s="15"/>
      <c r="AB6" s="16">
        <v>9.1437960607592025E-6</v>
      </c>
      <c r="AC6" s="16">
        <v>4.4877614389241365E-3</v>
      </c>
      <c r="AD6" s="16">
        <v>1.4862276164888078E-10</v>
      </c>
      <c r="AE6" s="16"/>
      <c r="AF6" s="16"/>
      <c r="AG6" s="16">
        <v>0.81537122203832169</v>
      </c>
      <c r="AH6" s="17">
        <v>0.80482100615479724</v>
      </c>
      <c r="AI6" s="18">
        <v>1</v>
      </c>
    </row>
    <row r="7" spans="1:35" ht="15" customHeight="1" x14ac:dyDescent="0.3">
      <c r="A7" s="6" t="s">
        <v>45</v>
      </c>
      <c r="B7" s="20">
        <f>IF(B6="","",VLOOKUP($A7,BASE!$A:$AT,MATCH(Reg_Machine!B$5,BASE!$A$3:$AT$3,0),0))</f>
        <v>3.1899999999999998E-2</v>
      </c>
      <c r="C7" s="41">
        <f>IF(C6="","",VLOOKUP($A7,BASE!$A:$AT,MATCH(Reg_Machine!C$5,BASE!$A$3:$AT$3,0),0))</f>
        <v>0</v>
      </c>
      <c r="D7" s="41" t="str">
        <f>IF(D6="","",VLOOKUP($A7,BASE!$A:$AT,MATCH(Reg_Machine!D$5,BASE!$A$3:$AT$3,0),0))</f>
        <v>-</v>
      </c>
      <c r="E7" s="41">
        <f>IF(E6="","",VLOOKUP($A7,BASE!$A:$AT,MATCH(Reg_Machine!E$5,BASE!$A$3:$AT$3,0),0))</f>
        <v>112.2</v>
      </c>
      <c r="F7" s="41">
        <f>IF(F6="","",VLOOKUP($A7,BASE!$A:$AT,MATCH(Reg_Machine!F$5,BASE!$A$3:$AT$3,0),0))</f>
        <v>507144303713.414</v>
      </c>
      <c r="H7" s="33" t="s">
        <v>241</v>
      </c>
      <c r="I7" s="34"/>
      <c r="J7" s="34"/>
      <c r="K7" s="34"/>
      <c r="L7" s="34"/>
      <c r="M7" s="34"/>
      <c r="O7" s="61">
        <f>O6+1</f>
        <v>2</v>
      </c>
      <c r="P7" s="32">
        <f>COUNTA(Table1[[#This Row],[Variable1]:[Variable4]])</f>
        <v>2</v>
      </c>
      <c r="Q7" s="31" t="s">
        <v>240</v>
      </c>
      <c r="R7" s="32" t="str">
        <f>IF(Table1[[#This Row],[cnt]]=1,"$C6:$C44",IF(Table1[[#This Row],[cnt]]=2,"$C6:$D44",IF(Table1[[#This Row],[cnt]]=3,"$C6:$E44","$C6:$F44")))</f>
        <v>$C6:$D44</v>
      </c>
      <c r="S7" s="14" t="s">
        <v>267</v>
      </c>
      <c r="T7" s="14" t="s">
        <v>84</v>
      </c>
      <c r="U7" s="14"/>
      <c r="V7" s="14"/>
      <c r="W7" s="15">
        <v>1.6175299182527719E-2</v>
      </c>
      <c r="X7" s="15">
        <v>8.3103215436212217E-3</v>
      </c>
      <c r="Y7" s="15">
        <v>6.3168427027386114E-7</v>
      </c>
      <c r="Z7" s="15"/>
      <c r="AA7" s="15"/>
      <c r="AB7" s="16">
        <v>1.4987900181340669E-4</v>
      </c>
      <c r="AC7" s="16">
        <v>5.0205020740010119E-2</v>
      </c>
      <c r="AD7" s="16">
        <v>4.660047293069443E-8</v>
      </c>
      <c r="AE7" s="16"/>
      <c r="AF7" s="16"/>
      <c r="AG7" s="16">
        <v>0.74481758941304876</v>
      </c>
      <c r="AH7" s="17">
        <v>0.73023573737950864</v>
      </c>
      <c r="AI7" s="18">
        <v>0</v>
      </c>
    </row>
    <row r="8" spans="1:35" ht="15" customHeight="1" x14ac:dyDescent="0.3">
      <c r="A8" s="6" t="s">
        <v>46</v>
      </c>
      <c r="B8" s="20">
        <f>IF(B7="","",VLOOKUP($A8,BASE!$A:$AT,MATCH(Reg_Machine!B$5,BASE!$A$3:$AT$3,0),0))</f>
        <v>2.93E-2</v>
      </c>
      <c r="C8" s="41">
        <f>IF(C7="","",VLOOKUP($A8,BASE!$A:$AT,MATCH(Reg_Machine!C$5,BASE!$A$3:$AT$3,0),0))</f>
        <v>0</v>
      </c>
      <c r="D8" s="41" t="str">
        <f>IF(D7="","",VLOOKUP($A8,BASE!$A:$AT,MATCH(Reg_Machine!D$5,BASE!$A$3:$AT$3,0),0))</f>
        <v>-</v>
      </c>
      <c r="E8" s="41">
        <f>IF(E7="","",VLOOKUP($A8,BASE!$A:$AT,MATCH(Reg_Machine!E$5,BASE!$A$3:$AT$3,0),0))</f>
        <v>112.2</v>
      </c>
      <c r="F8" s="41">
        <f>IF(F7="","",VLOOKUP($A8,BASE!$A:$AT,MATCH(Reg_Machine!F$5,BASE!$A$3:$AT$3,0),0))</f>
        <v>547335771665.98499</v>
      </c>
      <c r="H8" s="21"/>
      <c r="I8" s="22">
        <v>0.05</v>
      </c>
      <c r="J8" s="7" t="s">
        <v>242</v>
      </c>
      <c r="K8" s="8"/>
      <c r="L8" s="8"/>
      <c r="M8" s="9"/>
      <c r="O8" s="61">
        <f>O7+1</f>
        <v>3</v>
      </c>
      <c r="P8" s="32">
        <f>COUNTA(Table1[[#This Row],[Variable1]:[Variable4]])</f>
        <v>2</v>
      </c>
      <c r="Q8" s="31" t="s">
        <v>240</v>
      </c>
      <c r="R8" s="32" t="str">
        <f>IF(Table1[[#This Row],[cnt]]=1,"$C6:$C44",IF(Table1[[#This Row],[cnt]]=2,"$C6:$D44",IF(Table1[[#This Row],[cnt]]=3,"$C6:$E44","$C6:$F44")))</f>
        <v>$C6:$D44</v>
      </c>
      <c r="S8" s="14" t="s">
        <v>267</v>
      </c>
      <c r="T8" s="14" t="s">
        <v>83</v>
      </c>
      <c r="U8" s="14"/>
      <c r="V8" s="14"/>
      <c r="W8" s="15">
        <v>-2.1424200099393921E-2</v>
      </c>
      <c r="X8" s="15">
        <v>1.3575283686190773E-2</v>
      </c>
      <c r="Y8" s="15">
        <v>4.0868144021526207E-4</v>
      </c>
      <c r="Z8" s="15"/>
      <c r="AA8" s="15"/>
      <c r="AB8" s="16">
        <v>4.5019322602490221E-3</v>
      </c>
      <c r="AC8" s="16">
        <v>1.0300604235367831E-4</v>
      </c>
      <c r="AD8" s="16">
        <v>1.3556534382960031E-10</v>
      </c>
      <c r="AE8" s="16"/>
      <c r="AF8" s="16"/>
      <c r="AG8" s="16">
        <v>0.81632781724321968</v>
      </c>
      <c r="AH8" s="17">
        <v>0.80583226394283225</v>
      </c>
      <c r="AI8" s="18">
        <v>1</v>
      </c>
    </row>
    <row r="9" spans="1:35" ht="14.4" x14ac:dyDescent="0.3">
      <c r="A9" s="6" t="s">
        <v>47</v>
      </c>
      <c r="B9" s="20">
        <f>IF(B8="","",VLOOKUP($A9,BASE!$A:$AT,MATCH(Reg_Machine!B$5,BASE!$A$3:$AT$3,0),0))</f>
        <v>3.2500000000000001E-2</v>
      </c>
      <c r="C9" s="41">
        <f>IF(C8="","",VLOOKUP($A9,BASE!$A:$AT,MATCH(Reg_Machine!C$5,BASE!$A$3:$AT$3,0),0))</f>
        <v>0</v>
      </c>
      <c r="D9" s="41" t="str">
        <f>IF(D8="","",VLOOKUP($A9,BASE!$A:$AT,MATCH(Reg_Machine!D$5,BASE!$A$3:$AT$3,0),0))</f>
        <v>-</v>
      </c>
      <c r="E9" s="41">
        <f>IF(E8="","",VLOOKUP($A9,BASE!$A:$AT,MATCH(Reg_Machine!E$5,BASE!$A$3:$AT$3,0),0))</f>
        <v>112.8</v>
      </c>
      <c r="F9" s="41">
        <f>IF(F8="","",VLOOKUP($A9,BASE!$A:$AT,MATCH(Reg_Machine!F$5,BASE!$A$3:$AT$3,0),0))</f>
        <v>587527239618.55701</v>
      </c>
      <c r="H9" s="21"/>
      <c r="I9" s="22">
        <v>0.7</v>
      </c>
      <c r="J9" s="7" t="s">
        <v>273</v>
      </c>
      <c r="K9" s="8"/>
      <c r="L9" s="8"/>
      <c r="M9" s="9"/>
      <c r="O9" s="61">
        <f t="shared" ref="O9:O19" si="0">O8+1</f>
        <v>4</v>
      </c>
      <c r="P9" s="32">
        <f>COUNTA(Table1[[#This Row],[Variable1]:[Variable4]])</f>
        <v>2</v>
      </c>
      <c r="Q9" s="31" t="s">
        <v>240</v>
      </c>
      <c r="R9" s="32" t="str">
        <f>IF(Table1[[#This Row],[cnt]]=1,"$C6:$C44",IF(Table1[[#This Row],[cnt]]=2,"$C6:$D44",IF(Table1[[#This Row],[cnt]]=3,"$C6:$E44","$C6:$F44")))</f>
        <v>$C6:$D44</v>
      </c>
      <c r="S9" s="14" t="s">
        <v>267</v>
      </c>
      <c r="T9" s="14" t="s">
        <v>118</v>
      </c>
      <c r="U9" s="14"/>
      <c r="V9" s="14"/>
      <c r="W9" s="15">
        <v>-1.5785492398419365E-4</v>
      </c>
      <c r="X9" s="15">
        <v>8.8702532713076238E-3</v>
      </c>
      <c r="Y9" s="15">
        <v>4.4269458645485707E-14</v>
      </c>
      <c r="Z9" s="15"/>
      <c r="AA9" s="15"/>
      <c r="AB9" s="16">
        <v>0.97977550285742132</v>
      </c>
      <c r="AC9" s="16">
        <v>3.737159244684278E-2</v>
      </c>
      <c r="AD9" s="16">
        <v>6.5259393368998401E-8</v>
      </c>
      <c r="AE9" s="16"/>
      <c r="AF9" s="16"/>
      <c r="AG9" s="16">
        <v>0.73995434751746458</v>
      </c>
      <c r="AH9" s="17">
        <v>0.72509459594703396</v>
      </c>
      <c r="AI9" s="18">
        <v>0</v>
      </c>
    </row>
    <row r="10" spans="1:35" ht="14.4" x14ac:dyDescent="0.3">
      <c r="A10" s="6" t="s">
        <v>48</v>
      </c>
      <c r="B10" s="20">
        <f>IF(B9="","",VLOOKUP($A10,BASE!$A:$AT,MATCH(Reg_Machine!B$5,BASE!$A$3:$AT$3,0),0))</f>
        <v>2.6100000000000002E-2</v>
      </c>
      <c r="C10" s="41">
        <f>IF(C9="","",VLOOKUP($A10,BASE!$A:$AT,MATCH(Reg_Machine!C$5,BASE!$A$3:$AT$3,0),0))</f>
        <v>0</v>
      </c>
      <c r="D10" s="41">
        <f>IF(D9="","",VLOOKUP($A10,BASE!$A:$AT,MATCH(Reg_Machine!D$5,BASE!$A$3:$AT$3,0),0))</f>
        <v>17697.84</v>
      </c>
      <c r="E10" s="41">
        <f>IF(E9="","",VLOOKUP($A10,BASE!$A:$AT,MATCH(Reg_Machine!E$5,BASE!$A$3:$AT$3,0),0))</f>
        <v>114.8</v>
      </c>
      <c r="F10" s="41">
        <f>IF(F9="","",VLOOKUP($A10,BASE!$A:$AT,MATCH(Reg_Machine!F$5,BASE!$A$3:$AT$3,0),0))</f>
        <v>624000000000</v>
      </c>
      <c r="K10" s="30"/>
      <c r="L10" s="30"/>
      <c r="M10" s="30"/>
      <c r="O10" s="61">
        <f t="shared" si="0"/>
        <v>5</v>
      </c>
      <c r="P10" s="32">
        <f>COUNTA(Table1[[#This Row],[Variable1]:[Variable4]])</f>
        <v>3</v>
      </c>
      <c r="Q10" s="31" t="s">
        <v>240</v>
      </c>
      <c r="R10" s="32" t="str">
        <f>IF(Table1[[#This Row],[cnt]]=1,"$C6:$C44",IF(Table1[[#This Row],[cnt]]=2,"$C6:$D44",IF(Table1[[#This Row],[cnt]]=3,"$C6:$E44","$C6:$F44")))</f>
        <v>$C6:$E44</v>
      </c>
      <c r="S10" s="14" t="s">
        <v>267</v>
      </c>
      <c r="T10" s="14" t="s">
        <v>108</v>
      </c>
      <c r="U10" s="14" t="s">
        <v>84</v>
      </c>
      <c r="V10" s="14"/>
      <c r="W10" s="15">
        <v>1.9225056894140002E-2</v>
      </c>
      <c r="X10" s="15">
        <v>1.4954388956387786E-2</v>
      </c>
      <c r="Y10" s="15">
        <v>4.8794391106940283E-6</v>
      </c>
      <c r="Z10" s="15">
        <v>-9.5572417717983859E-7</v>
      </c>
      <c r="AA10" s="15"/>
      <c r="AB10" s="16">
        <v>2.4947766586351931E-7</v>
      </c>
      <c r="AC10" s="16">
        <v>1.1351546388692316E-4</v>
      </c>
      <c r="AD10" s="16">
        <v>1.7819372876099443E-5</v>
      </c>
      <c r="AE10" s="16">
        <v>5.9811900871539914E-3</v>
      </c>
      <c r="AF10" s="16"/>
      <c r="AG10" s="16">
        <v>0.85263914343924729</v>
      </c>
      <c r="AH10" s="17">
        <v>0.8396367149191809</v>
      </c>
      <c r="AI10" s="18">
        <v>1</v>
      </c>
    </row>
    <row r="11" spans="1:35" ht="14.4" x14ac:dyDescent="0.3">
      <c r="A11" s="6" t="s">
        <v>49</v>
      </c>
      <c r="B11" s="20">
        <f>IF(B10="","",VLOOKUP($A11,BASE!$A:$AT,MATCH(Reg_Machine!B$5,BASE!$A$3:$AT$3,0),0))</f>
        <v>2.6599999999999999E-2</v>
      </c>
      <c r="C11" s="41">
        <f>IF(C10="","",VLOOKUP($A11,BASE!$A:$AT,MATCH(Reg_Machine!C$5,BASE!$A$3:$AT$3,0),0))</f>
        <v>0</v>
      </c>
      <c r="D11" s="41">
        <f>IF(D10="","",VLOOKUP($A11,BASE!$A:$AT,MATCH(Reg_Machine!D$5,BASE!$A$3:$AT$3,0),0))</f>
        <v>19010.57</v>
      </c>
      <c r="E11" s="41">
        <f>IF(E10="","",VLOOKUP($A11,BASE!$A:$AT,MATCH(Reg_Machine!E$5,BASE!$A$3:$AT$3,0),0))</f>
        <v>116</v>
      </c>
      <c r="F11" s="41">
        <f>IF(F10="","",VLOOKUP($A11,BASE!$A:$AT,MATCH(Reg_Machine!F$5,BASE!$A$3:$AT$3,0),0))</f>
        <v>654000000000</v>
      </c>
      <c r="O11" s="61">
        <f t="shared" si="0"/>
        <v>6</v>
      </c>
      <c r="P11" s="32">
        <f>COUNTA(Table1[[#This Row],[Variable1]:[Variable4]])</f>
        <v>3</v>
      </c>
      <c r="Q11" s="31" t="s">
        <v>240</v>
      </c>
      <c r="R11" s="32" t="str">
        <f>IF(Table1[[#This Row],[cnt]]=1,"$C6:$C44",IF(Table1[[#This Row],[cnt]]=2,"$C6:$D44",IF(Table1[[#This Row],[cnt]]=3,"$C6:$E44","$C6:$F44")))</f>
        <v>$C6:$E44</v>
      </c>
      <c r="S11" s="14" t="s">
        <v>267</v>
      </c>
      <c r="T11" s="14" t="s">
        <v>108</v>
      </c>
      <c r="U11" s="14" t="s">
        <v>83</v>
      </c>
      <c r="V11" s="14"/>
      <c r="W11" s="15">
        <v>-4.2335115038975961E-3</v>
      </c>
      <c r="X11" s="15">
        <v>1.169319552609422E-2</v>
      </c>
      <c r="Y11" s="15">
        <v>1.0075797688550681E-6</v>
      </c>
      <c r="Z11" s="15">
        <v>2.1587106047704023E-4</v>
      </c>
      <c r="AA11" s="15"/>
      <c r="AB11" s="16">
        <v>0.82419428661066907</v>
      </c>
      <c r="AC11" s="16">
        <v>2.9349326848711267E-3</v>
      </c>
      <c r="AD11" s="16">
        <v>0.33404216599035841</v>
      </c>
      <c r="AE11" s="16">
        <v>0.29268768704440978</v>
      </c>
      <c r="AF11" s="16"/>
      <c r="AG11" s="16">
        <v>0.82137279454809742</v>
      </c>
      <c r="AH11" s="17">
        <v>0.80561157053763544</v>
      </c>
      <c r="AI11" s="18">
        <v>0</v>
      </c>
    </row>
    <row r="12" spans="1:35" ht="14.4" x14ac:dyDescent="0.3">
      <c r="A12" s="6" t="s">
        <v>50</v>
      </c>
      <c r="B12" s="20">
        <f>IF(B11="","",VLOOKUP($A12,BASE!$A:$AT,MATCH(Reg_Machine!B$5,BASE!$A$3:$AT$3,0),0))</f>
        <v>2.7699999999999999E-2</v>
      </c>
      <c r="C12" s="41">
        <f>IF(C11="","",VLOOKUP($A12,BASE!$A:$AT,MATCH(Reg_Machine!C$5,BASE!$A$3:$AT$3,0),0))</f>
        <v>0</v>
      </c>
      <c r="D12" s="41">
        <f>IF(D11="","",VLOOKUP($A12,BASE!$A:$AT,MATCH(Reg_Machine!D$5,BASE!$A$3:$AT$3,0),0))</f>
        <v>19750.349999999999</v>
      </c>
      <c r="E12" s="41">
        <f>IF(E11="","",VLOOKUP($A12,BASE!$A:$AT,MATCH(Reg_Machine!E$5,BASE!$A$3:$AT$3,0),0))</f>
        <v>116.7</v>
      </c>
      <c r="F12" s="41">
        <f>IF(F11="","",VLOOKUP($A12,BASE!$A:$AT,MATCH(Reg_Machine!F$5,BASE!$A$3:$AT$3,0),0))</f>
        <v>674000000000</v>
      </c>
      <c r="O12" s="61">
        <f t="shared" si="0"/>
        <v>7</v>
      </c>
      <c r="P12" s="32">
        <f>COUNTA(Table1[[#This Row],[Variable1]:[Variable4]])</f>
        <v>3</v>
      </c>
      <c r="Q12" s="31" t="s">
        <v>240</v>
      </c>
      <c r="R12" s="32" t="str">
        <f>IF(Table1[[#This Row],[cnt]]=1,"$C6:$C44",IF(Table1[[#This Row],[cnt]]=2,"$C6:$D44",IF(Table1[[#This Row],[cnt]]=3,"$C6:$E44","$C6:$F44")))</f>
        <v>$C6:$E44</v>
      </c>
      <c r="S12" s="14" t="s">
        <v>267</v>
      </c>
      <c r="T12" s="14" t="s">
        <v>108</v>
      </c>
      <c r="U12" s="14" t="s">
        <v>118</v>
      </c>
      <c r="V12" s="14"/>
      <c r="W12" s="15">
        <v>2.1114278347479906E-2</v>
      </c>
      <c r="X12" s="15">
        <v>1.0905786906077923E-2</v>
      </c>
      <c r="Y12" s="15">
        <v>2.560434710731003E-6</v>
      </c>
      <c r="Z12" s="15">
        <v>-1.2107963975354326E-14</v>
      </c>
      <c r="AA12" s="15"/>
      <c r="AB12" s="16">
        <v>9.0596252891524415E-3</v>
      </c>
      <c r="AC12" s="16">
        <v>3.8390025959967049E-3</v>
      </c>
      <c r="AD12" s="16">
        <v>5.1440115613545509E-4</v>
      </c>
      <c r="AE12" s="16">
        <v>0.4455343225589079</v>
      </c>
      <c r="AF12" s="16"/>
      <c r="AG12" s="16">
        <v>0.81855061393356088</v>
      </c>
      <c r="AH12" s="17">
        <v>0.80254037398652212</v>
      </c>
      <c r="AI12" s="18">
        <v>0</v>
      </c>
    </row>
    <row r="13" spans="1:35" ht="14.4" x14ac:dyDescent="0.3">
      <c r="A13" s="6" t="s">
        <v>51</v>
      </c>
      <c r="B13" s="20">
        <f>IF(B12="","",VLOOKUP($A13,BASE!$A:$AT,MATCH(Reg_Machine!B$5,BASE!$A$3:$AT$3,0),0))</f>
        <v>3.1399999999999997E-2</v>
      </c>
      <c r="C13" s="41">
        <f>IF(C12="","",VLOOKUP($A13,BASE!$A:$AT,MATCH(Reg_Machine!C$5,BASE!$A$3:$AT$3,0),0))</f>
        <v>0</v>
      </c>
      <c r="D13" s="41">
        <f>IF(D12="","",VLOOKUP($A13,BASE!$A:$AT,MATCH(Reg_Machine!D$5,BASE!$A$3:$AT$3,0),0))</f>
        <v>22048.01</v>
      </c>
      <c r="E13" s="41">
        <f>IF(E12="","",VLOOKUP($A13,BASE!$A:$AT,MATCH(Reg_Machine!E$5,BASE!$A$3:$AT$3,0),0))</f>
        <v>121.5</v>
      </c>
      <c r="F13" s="41">
        <f>IF(F12="","",VLOOKUP($A13,BASE!$A:$AT,MATCH(Reg_Machine!F$5,BASE!$A$3:$AT$3,0),0))</f>
        <v>681000000000</v>
      </c>
      <c r="H13" s="23"/>
      <c r="I13" s="24"/>
      <c r="J13" s="64" t="s">
        <v>220</v>
      </c>
      <c r="K13" s="65"/>
      <c r="L13" s="65"/>
      <c r="M13" s="66"/>
      <c r="O13" s="61">
        <f t="shared" si="0"/>
        <v>8</v>
      </c>
      <c r="P13" s="32">
        <f>COUNTA(Table1[[#This Row],[Variable1]:[Variable4]])</f>
        <v>3</v>
      </c>
      <c r="Q13" s="31" t="s">
        <v>240</v>
      </c>
      <c r="R13" s="32" t="str">
        <f>IF(Table1[[#This Row],[cnt]]=1,"$C6:$C44",IF(Table1[[#This Row],[cnt]]=2,"$C6:$D44",IF(Table1[[#This Row],[cnt]]=3,"$C6:$E44","$C6:$F44")))</f>
        <v>$C6:$E44</v>
      </c>
      <c r="S13" s="14" t="s">
        <v>267</v>
      </c>
      <c r="T13" s="14" t="s">
        <v>84</v>
      </c>
      <c r="U13" s="14" t="s">
        <v>83</v>
      </c>
      <c r="V13" s="14"/>
      <c r="W13" s="15">
        <v>-6.5183197127885631E-2</v>
      </c>
      <c r="X13" s="15">
        <v>2.2856694165032096E-2</v>
      </c>
      <c r="Y13" s="15">
        <v>-9.0233871140311743E-7</v>
      </c>
      <c r="Z13" s="15">
        <v>9.2750031399131683E-4</v>
      </c>
      <c r="AA13" s="15"/>
      <c r="AB13" s="16">
        <v>4.3763133976515157E-4</v>
      </c>
      <c r="AC13" s="16">
        <v>7.4450336058416176E-6</v>
      </c>
      <c r="AD13" s="16">
        <v>7.7079869031623288E-3</v>
      </c>
      <c r="AE13" s="16">
        <v>2.0662192486843355E-5</v>
      </c>
      <c r="AF13" s="16"/>
      <c r="AG13" s="16">
        <v>0.85139544677026924</v>
      </c>
      <c r="AH13" s="17">
        <v>0.83828328030882238</v>
      </c>
      <c r="AI13" s="18">
        <v>1</v>
      </c>
    </row>
    <row r="14" spans="1:35" ht="14.4" x14ac:dyDescent="0.3">
      <c r="A14" s="6" t="s">
        <v>52</v>
      </c>
      <c r="B14" s="20">
        <f>IF(B13="","",VLOOKUP($A14,BASE!$A:$AT,MATCH(Reg_Machine!B$5,BASE!$A$3:$AT$3,0),0))</f>
        <v>2.9700000000000001E-2</v>
      </c>
      <c r="C14" s="41">
        <f>IF(C13="","",VLOOKUP($A14,BASE!$A:$AT,MATCH(Reg_Machine!C$5,BASE!$A$3:$AT$3,0),0))</f>
        <v>0</v>
      </c>
      <c r="D14" s="41">
        <f>IF(D13="","",VLOOKUP($A14,BASE!$A:$AT,MATCH(Reg_Machine!D$5,BASE!$A$3:$AT$3,0),0))</f>
        <v>22324.37</v>
      </c>
      <c r="E14" s="41">
        <f>IF(E13="","",VLOOKUP($A14,BASE!$A:$AT,MATCH(Reg_Machine!E$5,BASE!$A$3:$AT$3,0),0))</f>
        <v>127.3</v>
      </c>
      <c r="F14" s="41">
        <f>IF(F13="","",VLOOKUP($A14,BASE!$A:$AT,MATCH(Reg_Machine!F$5,BASE!$A$3:$AT$3,0),0))</f>
        <v>680000000000</v>
      </c>
      <c r="H14" s="25"/>
      <c r="I14" s="26"/>
      <c r="J14" s="67"/>
      <c r="K14" s="68"/>
      <c r="L14" s="68"/>
      <c r="M14" s="69"/>
      <c r="O14" s="61">
        <f t="shared" si="0"/>
        <v>9</v>
      </c>
      <c r="P14" s="32">
        <f>COUNTA(Table1[[#This Row],[Variable1]:[Variable4]])</f>
        <v>3</v>
      </c>
      <c r="Q14" s="31" t="s">
        <v>240</v>
      </c>
      <c r="R14" s="32" t="str">
        <f>IF(Table1[[#This Row],[cnt]]=1,"$C6:$C44",IF(Table1[[#This Row],[cnt]]=2,"$C6:$D44",IF(Table1[[#This Row],[cnt]]=3,"$C6:$E44","$C6:$F44")))</f>
        <v>$C6:$E44</v>
      </c>
      <c r="S14" s="14" t="s">
        <v>267</v>
      </c>
      <c r="T14" s="14" t="s">
        <v>84</v>
      </c>
      <c r="U14" s="14" t="s">
        <v>118</v>
      </c>
      <c r="V14" s="14"/>
      <c r="W14" s="15">
        <v>9.7190668833172303E-3</v>
      </c>
      <c r="X14" s="15">
        <v>8.3164813846286923E-3</v>
      </c>
      <c r="Y14" s="15">
        <v>4.0198861713292443E-7</v>
      </c>
      <c r="Z14" s="15">
        <v>1.6651357217350692E-14</v>
      </c>
      <c r="AA14" s="15"/>
      <c r="AB14" s="16">
        <v>0.4103051517844708</v>
      </c>
      <c r="AC14" s="16">
        <v>5.2355247906901548E-2</v>
      </c>
      <c r="AD14" s="16">
        <v>0.32472820309890937</v>
      </c>
      <c r="AE14" s="16">
        <v>0.56140693547917619</v>
      </c>
      <c r="AF14" s="16"/>
      <c r="AG14" s="16">
        <v>0.74737353123112227</v>
      </c>
      <c r="AH14" s="17">
        <v>0.72508296045739773</v>
      </c>
      <c r="AI14" s="18">
        <v>0</v>
      </c>
    </row>
    <row r="15" spans="1:35" ht="14.4" x14ac:dyDescent="0.3">
      <c r="A15" s="6" t="s">
        <v>53</v>
      </c>
      <c r="B15" s="20">
        <f>IF(B14="","",VLOOKUP($A15,BASE!$A:$AT,MATCH(Reg_Machine!B$5,BASE!$A$3:$AT$3,0),0))</f>
        <v>3.2000000000000001E-2</v>
      </c>
      <c r="C15" s="41">
        <f>IF(C14="","",VLOOKUP($A15,BASE!$A:$AT,MATCH(Reg_Machine!C$5,BASE!$A$3:$AT$3,0),0))</f>
        <v>0</v>
      </c>
      <c r="D15" s="41">
        <f>IF(D14="","",VLOOKUP($A15,BASE!$A:$AT,MATCH(Reg_Machine!D$5,BASE!$A$3:$AT$3,0),0))</f>
        <v>23905.41</v>
      </c>
      <c r="E15" s="41">
        <f>IF(E14="","",VLOOKUP($A15,BASE!$A:$AT,MATCH(Reg_Machine!E$5,BASE!$A$3:$AT$3,0),0))</f>
        <v>128.5</v>
      </c>
      <c r="F15" s="41">
        <f>IF(F14="","",VLOOKUP($A15,BASE!$A:$AT,MATCH(Reg_Machine!F$5,BASE!$A$3:$AT$3,0),0))</f>
        <v>676000000000</v>
      </c>
      <c r="H15" s="25"/>
      <c r="I15" s="26"/>
      <c r="J15" s="67"/>
      <c r="K15" s="68"/>
      <c r="L15" s="68"/>
      <c r="M15" s="69"/>
      <c r="O15" s="61">
        <f t="shared" si="0"/>
        <v>10</v>
      </c>
      <c r="P15" s="32">
        <f>COUNTA(Table1[[#This Row],[Variable1]:[Variable4]])</f>
        <v>3</v>
      </c>
      <c r="Q15" s="31" t="s">
        <v>240</v>
      </c>
      <c r="R15" s="32" t="str">
        <f>IF(Table1[[#This Row],[cnt]]=1,"$C6:$C44",IF(Table1[[#This Row],[cnt]]=2,"$C6:$D44",IF(Table1[[#This Row],[cnt]]=3,"$C6:$E44","$C6:$F44")))</f>
        <v>$C6:$E44</v>
      </c>
      <c r="S15" s="14" t="s">
        <v>267</v>
      </c>
      <c r="T15" s="14" t="s">
        <v>83</v>
      </c>
      <c r="U15" s="14" t="s">
        <v>118</v>
      </c>
      <c r="V15" s="14"/>
      <c r="W15" s="15">
        <v>-3.6110719529084519E-2</v>
      </c>
      <c r="X15" s="15">
        <v>2.0196793008060921E-2</v>
      </c>
      <c r="Y15" s="15">
        <v>7.9837450861216391E-4</v>
      </c>
      <c r="Z15" s="15">
        <v>-4.8202373954577573E-14</v>
      </c>
      <c r="AA15" s="15"/>
      <c r="AB15" s="16">
        <v>3.4344808935573732E-4</v>
      </c>
      <c r="AC15" s="16">
        <v>1.695728840828705E-5</v>
      </c>
      <c r="AD15" s="16">
        <v>4.1816225879734433E-5</v>
      </c>
      <c r="AE15" s="16">
        <v>2.3539081718167768E-2</v>
      </c>
      <c r="AF15" s="16"/>
      <c r="AG15" s="16">
        <v>0.84239123428329188</v>
      </c>
      <c r="AH15" s="17">
        <v>0.82848457848475887</v>
      </c>
      <c r="AI15" s="18">
        <v>1</v>
      </c>
    </row>
    <row r="16" spans="1:35" ht="14.4" x14ac:dyDescent="0.3">
      <c r="A16" s="6" t="s">
        <v>54</v>
      </c>
      <c r="B16" s="20">
        <f>IF(B15="","",VLOOKUP($A16,BASE!$A:$AT,MATCH(Reg_Machine!B$5,BASE!$A$3:$AT$3,0),0))</f>
        <v>3.3300000000000003E-2</v>
      </c>
      <c r="C16" s="41">
        <f>IF(C15="","",VLOOKUP($A16,BASE!$A:$AT,MATCH(Reg_Machine!C$5,BASE!$A$3:$AT$3,0),0))</f>
        <v>0</v>
      </c>
      <c r="D16" s="41">
        <f>IF(D15="","",VLOOKUP($A16,BASE!$A:$AT,MATCH(Reg_Machine!D$5,BASE!$A$3:$AT$3,0),0))</f>
        <v>24698.01</v>
      </c>
      <c r="E16" s="41">
        <f>IF(E15="","",VLOOKUP($A16,BASE!$A:$AT,MATCH(Reg_Machine!E$5,BASE!$A$3:$AT$3,0),0))</f>
        <v>124.5</v>
      </c>
      <c r="F16" s="41">
        <f>IF(F15="","",VLOOKUP($A16,BASE!$A:$AT,MATCH(Reg_Machine!F$5,BASE!$A$3:$AT$3,0),0))</f>
        <v>675000000000</v>
      </c>
      <c r="H16" s="27"/>
      <c r="I16" s="28"/>
      <c r="J16" s="70"/>
      <c r="K16" s="71"/>
      <c r="L16" s="71"/>
      <c r="M16" s="72"/>
      <c r="O16" s="61">
        <f t="shared" si="0"/>
        <v>11</v>
      </c>
      <c r="P16" s="32">
        <f>COUNTA(Table1[[#This Row],[Variable1]:[Variable4]])</f>
        <v>4</v>
      </c>
      <c r="Q16" s="31" t="s">
        <v>240</v>
      </c>
      <c r="R16" s="32" t="str">
        <f>IF(Table1[[#This Row],[cnt]]=1,"$C6:$C44",IF(Table1[[#This Row],[cnt]]=2,"$C6:$D44",IF(Table1[[#This Row],[cnt]]=3,"$C6:$E44","$C6:$F44")))</f>
        <v>$C6:$F44</v>
      </c>
      <c r="S16" s="14" t="s">
        <v>267</v>
      </c>
      <c r="T16" s="14" t="s">
        <v>108</v>
      </c>
      <c r="U16" s="14" t="s">
        <v>84</v>
      </c>
      <c r="V16" s="14" t="s">
        <v>83</v>
      </c>
      <c r="W16" s="15">
        <v>-3.7197681344547089E-2</v>
      </c>
      <c r="X16" s="15">
        <v>2.2803572393312821E-2</v>
      </c>
      <c r="Y16" s="15">
        <v>3.3599307444666609E-6</v>
      </c>
      <c r="Z16" s="15">
        <v>-1.5073380421600474E-6</v>
      </c>
      <c r="AA16" s="15">
        <v>6.3240150925166112E-4</v>
      </c>
      <c r="AB16" s="16">
        <v>3.1429575416149581E-2</v>
      </c>
      <c r="AC16" s="16">
        <v>7.6347679671807502E-7</v>
      </c>
      <c r="AD16" s="16">
        <v>1.3323900419040641E-3</v>
      </c>
      <c r="AE16" s="16">
        <v>5.4509466371902152E-5</v>
      </c>
      <c r="AF16" s="16">
        <v>1.5453763111264399E-3</v>
      </c>
      <c r="AG16" s="16">
        <v>0.89173082065039333</v>
      </c>
      <c r="AH16" s="17">
        <v>0.8786072837595319</v>
      </c>
      <c r="AI16" s="18">
        <v>1</v>
      </c>
    </row>
    <row r="17" spans="1:35" s="3" customFormat="1" ht="14.4" x14ac:dyDescent="0.3">
      <c r="A17" s="6" t="s">
        <v>55</v>
      </c>
      <c r="B17" s="20">
        <f>IF(B16="","",VLOOKUP($A17,BASE!$A:$AT,MATCH(Reg_Machine!B$5,BASE!$A$3:$AT$3,0),0))</f>
        <v>3.2800000000000003E-2</v>
      </c>
      <c r="C17" s="41">
        <f>IF(C16="","",VLOOKUP($A17,BASE!$A:$AT,MATCH(Reg_Machine!C$5,BASE!$A$3:$AT$3,0),0))</f>
        <v>0</v>
      </c>
      <c r="D17" s="41">
        <f>IF(D16="","",VLOOKUP($A17,BASE!$A:$AT,MATCH(Reg_Machine!D$5,BASE!$A$3:$AT$3,0),0))</f>
        <v>26018.25</v>
      </c>
      <c r="E17" s="41">
        <f>IF(E16="","",VLOOKUP($A17,BASE!$A:$AT,MATCH(Reg_Machine!E$5,BASE!$A$3:$AT$3,0),0))</f>
        <v>123.5</v>
      </c>
      <c r="F17" s="41">
        <f>IF(F16="","",VLOOKUP($A17,BASE!$A:$AT,MATCH(Reg_Machine!F$5,BASE!$A$3:$AT$3,0),0))</f>
        <v>680000000000</v>
      </c>
      <c r="G17" s="19"/>
      <c r="H17" s="19"/>
      <c r="I17" s="19"/>
      <c r="J17" s="19"/>
      <c r="K17" s="19"/>
      <c r="L17" s="19"/>
      <c r="M17" s="19"/>
      <c r="N17" s="19"/>
      <c r="O17" s="61">
        <f t="shared" si="0"/>
        <v>12</v>
      </c>
      <c r="P17" s="32">
        <f>COUNTA(Table1[[#This Row],[Variable1]:[Variable4]])</f>
        <v>4</v>
      </c>
      <c r="Q17" s="31" t="s">
        <v>240</v>
      </c>
      <c r="R17" s="32" t="str">
        <f>IF(Table1[[#This Row],[cnt]]=1,"$C6:$C44",IF(Table1[[#This Row],[cnt]]=2,"$C6:$D44",IF(Table1[[#This Row],[cnt]]=3,"$C6:$E44","$C6:$F44")))</f>
        <v>$C6:$F44</v>
      </c>
      <c r="S17" s="14" t="s">
        <v>267</v>
      </c>
      <c r="T17" s="14" t="s">
        <v>108</v>
      </c>
      <c r="U17" s="14" t="s">
        <v>84</v>
      </c>
      <c r="V17" s="14" t="s">
        <v>118</v>
      </c>
      <c r="W17" s="15">
        <v>-4.9967413625216783E-4</v>
      </c>
      <c r="X17" s="15">
        <v>1.5889364553518474E-2</v>
      </c>
      <c r="Y17" s="15">
        <v>5.5519747890240467E-6</v>
      </c>
      <c r="Z17" s="15">
        <v>-1.8912261662678734E-6</v>
      </c>
      <c r="AA17" s="15">
        <v>5.1956453892369151E-14</v>
      </c>
      <c r="AB17" s="16">
        <v>0.95343137801475353</v>
      </c>
      <c r="AC17" s="16">
        <v>2.2523300965905709E-5</v>
      </c>
      <c r="AD17" s="16">
        <v>1.6080581157169754E-6</v>
      </c>
      <c r="AE17" s="16">
        <v>4.6707312188994533E-4</v>
      </c>
      <c r="AF17" s="16">
        <v>1.9298955577503971E-2</v>
      </c>
      <c r="AG17" s="16">
        <v>0.87547543150308504</v>
      </c>
      <c r="AH17" s="17">
        <v>0.86038154441254988</v>
      </c>
      <c r="AI17" s="18">
        <v>0</v>
      </c>
    </row>
    <row r="18" spans="1:35" s="3" customFormat="1" ht="14.4" x14ac:dyDescent="0.3">
      <c r="A18" s="6" t="s">
        <v>56</v>
      </c>
      <c r="B18" s="20">
        <f>IF(B17="","",VLOOKUP($A18,BASE!$A:$AT,MATCH(Reg_Machine!B$5,BASE!$A$3:$AT$3,0),0))</f>
        <v>3.32E-2</v>
      </c>
      <c r="C18" s="41">
        <f>IF(C17="","",VLOOKUP($A18,BASE!$A:$AT,MATCH(Reg_Machine!C$5,BASE!$A$3:$AT$3,0),0))</f>
        <v>0</v>
      </c>
      <c r="D18" s="41">
        <f>IF(D17="","",VLOOKUP($A18,BASE!$A:$AT,MATCH(Reg_Machine!D$5,BASE!$A$3:$AT$3,0),0))</f>
        <v>25800.880000000001</v>
      </c>
      <c r="E18" s="41">
        <f>IF(E17="","",VLOOKUP($A18,BASE!$A:$AT,MATCH(Reg_Machine!E$5,BASE!$A$3:$AT$3,0),0))</f>
        <v>126.8</v>
      </c>
      <c r="F18" s="41">
        <f>IF(F17="","",VLOOKUP($A18,BASE!$A:$AT,MATCH(Reg_Machine!F$5,BASE!$A$3:$AT$3,0),0))</f>
        <v>694000000000</v>
      </c>
      <c r="G18" s="19"/>
      <c r="H18" s="19"/>
      <c r="I18" s="19"/>
      <c r="J18" s="19"/>
      <c r="K18" s="19"/>
      <c r="L18" s="19"/>
      <c r="M18" s="19"/>
      <c r="N18" s="19"/>
      <c r="O18" s="61">
        <f t="shared" si="0"/>
        <v>13</v>
      </c>
      <c r="P18" s="32">
        <f>COUNTA(Table1[[#This Row],[Variable1]:[Variable4]])</f>
        <v>4</v>
      </c>
      <c r="Q18" s="31" t="s">
        <v>240</v>
      </c>
      <c r="R18" s="32" t="str">
        <f>IF(Table1[[#This Row],[cnt]]=1,"$C6:$C44",IF(Table1[[#This Row],[cnt]]=2,"$C6:$D44",IF(Table1[[#This Row],[cnt]]=3,"$C6:$E44","$C6:$F44")))</f>
        <v>$C6:$F44</v>
      </c>
      <c r="S18" s="14" t="s">
        <v>267</v>
      </c>
      <c r="T18" s="14" t="s">
        <v>108</v>
      </c>
      <c r="U18" s="14" t="s">
        <v>83</v>
      </c>
      <c r="V18" s="14" t="s">
        <v>118</v>
      </c>
      <c r="W18" s="15">
        <v>-2.2478993139919697E-2</v>
      </c>
      <c r="X18" s="15">
        <v>1.8521605669496344E-2</v>
      </c>
      <c r="Y18" s="15">
        <v>7.6760571866639201E-7</v>
      </c>
      <c r="Z18" s="15">
        <v>6.3728124142201266E-4</v>
      </c>
      <c r="AA18" s="15">
        <v>-4.6445398766110967E-14</v>
      </c>
      <c r="AB18" s="16">
        <v>0.25981004665553764</v>
      </c>
      <c r="AC18" s="16">
        <v>3.0051657816570663E-4</v>
      </c>
      <c r="AD18" s="16">
        <v>0.437712840310164</v>
      </c>
      <c r="AE18" s="16">
        <v>2.282418338917851E-2</v>
      </c>
      <c r="AF18" s="16">
        <v>3.0656127942782701E-2</v>
      </c>
      <c r="AG18" s="16">
        <v>0.84528464464347464</v>
      </c>
      <c r="AH18" s="17">
        <v>0.82653126823662315</v>
      </c>
      <c r="AI18" s="18">
        <v>0</v>
      </c>
    </row>
    <row r="19" spans="1:35" ht="14.4" x14ac:dyDescent="0.3">
      <c r="A19" s="6" t="s">
        <v>57</v>
      </c>
      <c r="B19" s="20">
        <f>IF(B18="","",VLOOKUP($A19,BASE!$A:$AT,MATCH(Reg_Machine!B$5,BASE!$A$3:$AT$3,0),0))</f>
        <v>3.5799999999999998E-2</v>
      </c>
      <c r="C19" s="41">
        <f>IF(C18="","",VLOOKUP($A19,BASE!$A:$AT,MATCH(Reg_Machine!C$5,BASE!$A$3:$AT$3,0),0))</f>
        <v>0</v>
      </c>
      <c r="D19" s="41">
        <f>IF(D18="","",VLOOKUP($A19,BASE!$A:$AT,MATCH(Reg_Machine!D$5,BASE!$A$3:$AT$3,0),0))</f>
        <v>26941.64</v>
      </c>
      <c r="E19" s="41">
        <f>IF(E18="","",VLOOKUP($A19,BASE!$A:$AT,MATCH(Reg_Machine!E$5,BASE!$A$3:$AT$3,0),0))</f>
        <v>130.30000000000001</v>
      </c>
      <c r="F19" s="41">
        <f>IF(F18="","",VLOOKUP($A19,BASE!$A:$AT,MATCH(Reg_Machine!F$5,BASE!$A$3:$AT$3,0),0))</f>
        <v>716000000000</v>
      </c>
      <c r="H19" s="35"/>
      <c r="I19" s="56">
        <f>MAX(O:O)</f>
        <v>14</v>
      </c>
      <c r="J19" s="55" t="s">
        <v>271</v>
      </c>
      <c r="K19" s="8"/>
      <c r="L19" s="8"/>
      <c r="M19" s="9"/>
      <c r="O19" s="61">
        <f t="shared" si="0"/>
        <v>14</v>
      </c>
      <c r="P19" s="32">
        <f>COUNTA(Table1[[#This Row],[Variable1]:[Variable4]])</f>
        <v>4</v>
      </c>
      <c r="Q19" s="31" t="s">
        <v>240</v>
      </c>
      <c r="R19" s="32" t="str">
        <f>IF(Table1[[#This Row],[cnt]]=1,"$C6:$C44",IF(Table1[[#This Row],[cnt]]=2,"$C6:$D44",IF(Table1[[#This Row],[cnt]]=3,"$C6:$E44","$C6:$F44")))</f>
        <v>$C6:$F44</v>
      </c>
      <c r="S19" s="14" t="s">
        <v>267</v>
      </c>
      <c r="T19" s="14" t="s">
        <v>84</v>
      </c>
      <c r="U19" s="14" t="s">
        <v>83</v>
      </c>
      <c r="V19" s="14" t="s">
        <v>118</v>
      </c>
      <c r="W19" s="15">
        <v>-6.2265835354555439E-2</v>
      </c>
      <c r="X19" s="15">
        <v>2.4102704279254865E-2</v>
      </c>
      <c r="Y19" s="15">
        <v>-6.8112260671790286E-7</v>
      </c>
      <c r="Z19" s="15">
        <v>1.0075525975260504E-3</v>
      </c>
      <c r="AA19" s="15">
        <v>-2.5634817068550846E-14</v>
      </c>
      <c r="AB19" s="16">
        <v>8.1337787591176597E-4</v>
      </c>
      <c r="AC19" s="16">
        <v>5.6298989809584832E-6</v>
      </c>
      <c r="AD19" s="16">
        <v>7.9031540436609121E-2</v>
      </c>
      <c r="AE19" s="16">
        <v>1.7599788207205073E-5</v>
      </c>
      <c r="AF19" s="16">
        <v>0.27893305873989516</v>
      </c>
      <c r="AG19" s="16">
        <v>0.85665927027034461</v>
      </c>
      <c r="AH19" s="17">
        <v>0.83928463636371975</v>
      </c>
      <c r="AI19" s="18">
        <v>0</v>
      </c>
    </row>
    <row r="20" spans="1:35" ht="14.4" x14ac:dyDescent="0.3">
      <c r="A20" s="6" t="s">
        <v>58</v>
      </c>
      <c r="B20" s="20">
        <f>IF(B19="","",VLOOKUP($A20,BASE!$A:$AT,MATCH(Reg_Machine!B$5,BASE!$A$3:$AT$3,0),0))</f>
        <v>3.3799999999999997E-2</v>
      </c>
      <c r="C20" s="41">
        <f>IF(C19="","",VLOOKUP($A20,BASE!$A:$AT,MATCH(Reg_Machine!C$5,BASE!$A$3:$AT$3,0),0))</f>
        <v>0</v>
      </c>
      <c r="D20" s="41">
        <f>IF(D19="","",VLOOKUP($A20,BASE!$A:$AT,MATCH(Reg_Machine!D$5,BASE!$A$3:$AT$3,0),0))</f>
        <v>27544.25</v>
      </c>
      <c r="E20" s="41">
        <f>IF(E19="","",VLOOKUP($A20,BASE!$A:$AT,MATCH(Reg_Machine!E$5,BASE!$A$3:$AT$3,0),0))</f>
        <v>133.4</v>
      </c>
      <c r="F20" s="41">
        <f>IF(F19="","",VLOOKUP($A20,BASE!$A:$AT,MATCH(Reg_Machine!F$5,BASE!$A$3:$AT$3,0),0))</f>
        <v>746000000000</v>
      </c>
      <c r="H20" s="35">
        <v>1</v>
      </c>
      <c r="I20" s="56" t="s">
        <v>272</v>
      </c>
      <c r="J20" s="55" t="s">
        <v>244</v>
      </c>
      <c r="K20" s="8"/>
      <c r="L20" s="8"/>
      <c r="M20" s="9"/>
    </row>
    <row r="21" spans="1:35" ht="14.4" x14ac:dyDescent="0.3">
      <c r="A21" s="6" t="s">
        <v>59</v>
      </c>
      <c r="B21" s="20">
        <f>IF(B20="","",VLOOKUP($A21,BASE!$A:$AT,MATCH(Reg_Machine!B$5,BASE!$A$3:$AT$3,0),0))</f>
        <v>3.3500000000000002E-2</v>
      </c>
      <c r="C21" s="41">
        <f>IF(C20="","",VLOOKUP($A21,BASE!$A:$AT,MATCH(Reg_Machine!C$5,BASE!$A$3:$AT$3,0),0))</f>
        <v>0</v>
      </c>
      <c r="D21" s="41">
        <f>IF(D20="","",VLOOKUP($A21,BASE!$A:$AT,MATCH(Reg_Machine!D$5,BASE!$A$3:$AT$3,0),0))</f>
        <v>30396.15</v>
      </c>
      <c r="E21" s="41">
        <f>IF(E20="","",VLOOKUP($A21,BASE!$A:$AT,MATCH(Reg_Machine!E$5,BASE!$A$3:$AT$3,0),0))</f>
        <v>136.30000000000001</v>
      </c>
      <c r="F21" s="41">
        <f>IF(F20="","",VLOOKUP($A21,BASE!$A:$AT,MATCH(Reg_Machine!F$5,BASE!$A$3:$AT$3,0),0))</f>
        <v>784000000000</v>
      </c>
      <c r="H21" s="57"/>
      <c r="I21" s="58">
        <f>SUM(Table1[Eligible Combinations])</f>
        <v>6</v>
      </c>
      <c r="J21" s="55" t="s">
        <v>236</v>
      </c>
      <c r="K21" s="8"/>
      <c r="L21" s="8"/>
      <c r="M21" s="9"/>
    </row>
    <row r="22" spans="1:35" ht="14.4" x14ac:dyDescent="0.3">
      <c r="A22" s="6" t="s">
        <v>60</v>
      </c>
      <c r="B22" s="20">
        <f>IF(B21="","",VLOOKUP($A22,BASE!$A:$AT,MATCH(Reg_Machine!B$5,BASE!$A$3:$AT$3,0),0))</f>
        <v>3.49E-2</v>
      </c>
      <c r="C22" s="41">
        <f>IF(C21="","",VLOOKUP($A22,BASE!$A:$AT,MATCH(Reg_Machine!C$5,BASE!$A$3:$AT$3,0),0))</f>
        <v>0</v>
      </c>
      <c r="D22" s="41">
        <f>IF(D21="","",VLOOKUP($A22,BASE!$A:$AT,MATCH(Reg_Machine!D$5,BASE!$A$3:$AT$3,0),0))</f>
        <v>31002.17</v>
      </c>
      <c r="E22" s="41">
        <f>IF(E21="","",VLOOKUP($A22,BASE!$A:$AT,MATCH(Reg_Machine!E$5,BASE!$A$3:$AT$3,0),0))</f>
        <v>139.80000000000001</v>
      </c>
      <c r="F22" s="41">
        <f>IF(F21="","",VLOOKUP($A22,BASE!$A:$AT,MATCH(Reg_Machine!F$5,BASE!$A$3:$AT$3,0),0))</f>
        <v>827000000000</v>
      </c>
    </row>
    <row r="23" spans="1:35" ht="14.4" x14ac:dyDescent="0.3">
      <c r="A23" s="6" t="s">
        <v>61</v>
      </c>
      <c r="B23" s="20">
        <f>IF(B22="","",VLOOKUP($A23,BASE!$A:$AT,MATCH(Reg_Machine!B$5,BASE!$A$3:$AT$3,0),0))</f>
        <v>4.3400000000000001E-2</v>
      </c>
      <c r="C23" s="41">
        <f>IF(C22="","",VLOOKUP($A23,BASE!$A:$AT,MATCH(Reg_Machine!C$5,BASE!$A$3:$AT$3,0),0))</f>
        <v>0</v>
      </c>
      <c r="D23" s="41">
        <f>IF(D22="","",VLOOKUP($A23,BASE!$A:$AT,MATCH(Reg_Machine!D$5,BASE!$A$3:$AT$3,0),0))</f>
        <v>31991.51</v>
      </c>
      <c r="E23" s="41">
        <f>IF(E22="","",VLOOKUP($A23,BASE!$A:$AT,MATCH(Reg_Machine!E$5,BASE!$A$3:$AT$3,0),0))</f>
        <v>142</v>
      </c>
      <c r="F23" s="41">
        <f>IF(F22="","",VLOOKUP($A23,BASE!$A:$AT,MATCH(Reg_Machine!F$5,BASE!$A$3:$AT$3,0),0))</f>
        <v>872000000000</v>
      </c>
    </row>
    <row r="24" spans="1:35" ht="14.4" x14ac:dyDescent="0.3">
      <c r="A24" s="6" t="s">
        <v>62</v>
      </c>
      <c r="B24" s="20">
        <f>IF(B23="","",VLOOKUP($A24,BASE!$A:$AT,MATCH(Reg_Machine!B$5,BASE!$A$3:$AT$3,0),0))</f>
        <v>4.6899999999999997E-2</v>
      </c>
      <c r="C24" s="41">
        <f>IF(C23="","",VLOOKUP($A24,BASE!$A:$AT,MATCH(Reg_Machine!C$5,BASE!$A$3:$AT$3,0),0))</f>
        <v>0</v>
      </c>
      <c r="D24" s="41">
        <f>IF(D23="","",VLOOKUP($A24,BASE!$A:$AT,MATCH(Reg_Machine!D$5,BASE!$A$3:$AT$3,0),0))</f>
        <v>35048.230000000003</v>
      </c>
      <c r="E24" s="41">
        <f>IF(E23="","",VLOOKUP($A24,BASE!$A:$AT,MATCH(Reg_Machine!E$5,BASE!$A$3:$AT$3,0),0))</f>
        <v>146</v>
      </c>
      <c r="F24" s="41">
        <f>IF(F23="","",VLOOKUP($A24,BASE!$A:$AT,MATCH(Reg_Machine!F$5,BASE!$A$3:$AT$3,0),0))</f>
        <v>914000000000</v>
      </c>
    </row>
    <row r="25" spans="1:35" ht="14.4" x14ac:dyDescent="0.3">
      <c r="A25" s="6" t="s">
        <v>63</v>
      </c>
      <c r="B25" s="20">
        <f>IF(B24="","",VLOOKUP($A25,BASE!$A:$AT,MATCH(Reg_Machine!B$5,BASE!$A$3:$AT$3,0),0))</f>
        <v>4.58E-2</v>
      </c>
      <c r="C25" s="41">
        <f>IF(C24="","",VLOOKUP($A25,BASE!$A:$AT,MATCH(Reg_Machine!C$5,BASE!$A$3:$AT$3,0),0))</f>
        <v>0</v>
      </c>
      <c r="D25" s="41">
        <f>IF(D24="","",VLOOKUP($A25,BASE!$A:$AT,MATCH(Reg_Machine!D$5,BASE!$A$3:$AT$3,0),0))</f>
        <v>36673.54</v>
      </c>
      <c r="E25" s="41">
        <f>IF(E24="","",VLOOKUP($A25,BASE!$A:$AT,MATCH(Reg_Machine!E$5,BASE!$A$3:$AT$3,0),0))</f>
        <v>149.5</v>
      </c>
      <c r="F25" s="41">
        <f>IF(F24="","",VLOOKUP($A25,BASE!$A:$AT,MATCH(Reg_Machine!F$5,BASE!$A$3:$AT$3,0),0))</f>
        <v>951000000000</v>
      </c>
    </row>
    <row r="26" spans="1:35" ht="14.4" x14ac:dyDescent="0.3">
      <c r="A26" s="6" t="s">
        <v>64</v>
      </c>
      <c r="B26" s="20">
        <f>IF(B25="","",VLOOKUP($A26,BASE!$A:$AT,MATCH(Reg_Machine!B$5,BASE!$A$3:$AT$3,0),0))</f>
        <v>5.0900000000000001E-2</v>
      </c>
      <c r="C26" s="41">
        <f>IF(C25="","",VLOOKUP($A26,BASE!$A:$AT,MATCH(Reg_Machine!C$5,BASE!$A$3:$AT$3,0),0))</f>
        <v>0</v>
      </c>
      <c r="D26" s="41">
        <f>IF(D25="","",VLOOKUP($A26,BASE!$A:$AT,MATCH(Reg_Machine!D$5,BASE!$A$3:$AT$3,0),0))</f>
        <v>37238.94</v>
      </c>
      <c r="E26" s="41">
        <f>IF(E25="","",VLOOKUP($A26,BASE!$A:$AT,MATCH(Reg_Machine!E$5,BASE!$A$3:$AT$3,0),0))</f>
        <v>153.1</v>
      </c>
      <c r="F26" s="41">
        <f>IF(F25="","",VLOOKUP($A26,BASE!$A:$AT,MATCH(Reg_Machine!F$5,BASE!$A$3:$AT$3,0),0))</f>
        <v>983000000000</v>
      </c>
    </row>
    <row r="27" spans="1:35" ht="14.4" x14ac:dyDescent="0.3">
      <c r="A27" s="6" t="s">
        <v>65</v>
      </c>
      <c r="B27" s="20">
        <f>IF(B26="","",VLOOKUP($A27,BASE!$A:$AT,MATCH(Reg_Machine!B$5,BASE!$A$3:$AT$3,0),0))</f>
        <v>5.3199999999999997E-2</v>
      </c>
      <c r="C27" s="41">
        <f>IF(C26="","",VLOOKUP($A27,BASE!$A:$AT,MATCH(Reg_Machine!C$5,BASE!$A$3:$AT$3,0),0))</f>
        <v>0</v>
      </c>
      <c r="D27" s="41">
        <f>IF(D26="","",VLOOKUP($A27,BASE!$A:$AT,MATCH(Reg_Machine!D$5,BASE!$A$3:$AT$3,0),0))</f>
        <v>37968.93</v>
      </c>
      <c r="E27" s="41">
        <f>IF(E26="","",VLOOKUP($A27,BASE!$A:$AT,MATCH(Reg_Machine!E$5,BASE!$A$3:$AT$3,0),0))</f>
        <v>156.19999999999999</v>
      </c>
      <c r="F27" s="41">
        <f>IF(F26="","",VLOOKUP($A27,BASE!$A:$AT,MATCH(Reg_Machine!F$5,BASE!$A$3:$AT$3,0),0))</f>
        <v>1010000000000</v>
      </c>
    </row>
    <row r="28" spans="1:35" ht="14.4" x14ac:dyDescent="0.3">
      <c r="A28" s="6" t="s">
        <v>66</v>
      </c>
      <c r="B28" s="20">
        <f>IF(B27="","",VLOOKUP($A28,BASE!$A:$AT,MATCH(Reg_Machine!B$5,BASE!$A$3:$AT$3,0),0))</f>
        <v>5.5100000000000003E-2</v>
      </c>
      <c r="C28" s="41">
        <f>IF(C27="","",VLOOKUP($A28,BASE!$A:$AT,MATCH(Reg_Machine!C$5,BASE!$A$3:$AT$3,0),0))</f>
        <v>0</v>
      </c>
      <c r="D28" s="41">
        <f>IF(D27="","",VLOOKUP($A28,BASE!$A:$AT,MATCH(Reg_Machine!D$5,BASE!$A$3:$AT$3,0),0))</f>
        <v>40457.760000000002</v>
      </c>
      <c r="E28" s="41">
        <f>IF(E27="","",VLOOKUP($A28,BASE!$A:$AT,MATCH(Reg_Machine!E$5,BASE!$A$3:$AT$3,0),0))</f>
        <v>157.30000000000001</v>
      </c>
      <c r="F28" s="41">
        <f>IF(F27="","",VLOOKUP($A28,BASE!$A:$AT,MATCH(Reg_Machine!F$5,BASE!$A$3:$AT$3,0),0))</f>
        <v>1020000000000</v>
      </c>
    </row>
    <row r="29" spans="1:35" ht="14.4" x14ac:dyDescent="0.3">
      <c r="A29" s="6" t="s">
        <v>67</v>
      </c>
      <c r="B29" s="20">
        <f>IF(B28="","",VLOOKUP($A29,BASE!$A:$AT,MATCH(Reg_Machine!B$5,BASE!$A$3:$AT$3,0),0))</f>
        <v>4.9299999999999997E-2</v>
      </c>
      <c r="C29" s="41">
        <f>IF(C28="","",VLOOKUP($A29,BASE!$A:$AT,MATCH(Reg_Machine!C$5,BASE!$A$3:$AT$3,0),0))</f>
        <v>0</v>
      </c>
      <c r="D29" s="41">
        <f>IF(D28="","",VLOOKUP($A29,BASE!$A:$AT,MATCH(Reg_Machine!D$5,BASE!$A$3:$AT$3,0),0))</f>
        <v>42897.45</v>
      </c>
      <c r="E29" s="41">
        <f>IF(E28="","",VLOOKUP($A29,BASE!$A:$AT,MATCH(Reg_Machine!E$5,BASE!$A$3:$AT$3,0),0))</f>
        <v>161</v>
      </c>
      <c r="F29" s="41">
        <f>IF(F28="","",VLOOKUP($A29,BASE!$A:$AT,MATCH(Reg_Machine!F$5,BASE!$A$3:$AT$3,0),0))</f>
        <v>1030000000000</v>
      </c>
    </row>
    <row r="30" spans="1:35" ht="14.4" x14ac:dyDescent="0.3">
      <c r="A30" s="6" t="s">
        <v>68</v>
      </c>
      <c r="B30" s="20">
        <f>IF(B29="","",VLOOKUP($A30,BASE!$A:$AT,MATCH(Reg_Machine!B$5,BASE!$A$3:$AT$3,0),0))</f>
        <v>5.79E-2</v>
      </c>
      <c r="C30" s="41">
        <f>IF(C29="","",VLOOKUP($A30,BASE!$A:$AT,MATCH(Reg_Machine!C$5,BASE!$A$3:$AT$3,0),0))</f>
        <v>0</v>
      </c>
      <c r="D30" s="41">
        <f>IF(D29="","",VLOOKUP($A30,BASE!$A:$AT,MATCH(Reg_Machine!D$5,BASE!$A$3:$AT$3,0),0))</f>
        <v>43989.26</v>
      </c>
      <c r="E30" s="41">
        <f>IF(E29="","",VLOOKUP($A30,BASE!$A:$AT,MATCH(Reg_Machine!E$5,BASE!$A$3:$AT$3,0),0))</f>
        <v>164.7</v>
      </c>
      <c r="F30" s="41">
        <f>IF(F29="","",VLOOKUP($A30,BASE!$A:$AT,MATCH(Reg_Machine!F$5,BASE!$A$3:$AT$3,0),0))</f>
        <v>1040000000000</v>
      </c>
    </row>
    <row r="31" spans="1:35" ht="14.4" x14ac:dyDescent="0.3">
      <c r="A31" s="6" t="s">
        <v>69</v>
      </c>
      <c r="B31" s="20">
        <f>IF(B30="","",VLOOKUP($A31,BASE!$A:$AT,MATCH(Reg_Machine!B$5,BASE!$A$3:$AT$3,0),0))</f>
        <v>5.8400000000000001E-2</v>
      </c>
      <c r="C31" s="41">
        <f>IF(C30="","",VLOOKUP($A31,BASE!$A:$AT,MATCH(Reg_Machine!C$5,BASE!$A$3:$AT$3,0),0))</f>
        <v>0</v>
      </c>
      <c r="D31" s="41">
        <f>IF(D30="","",VLOOKUP($A31,BASE!$A:$AT,MATCH(Reg_Machine!D$5,BASE!$A$3:$AT$3,0),0))</f>
        <v>44019.69</v>
      </c>
      <c r="E31" s="41">
        <f>IF(E30="","",VLOOKUP($A31,BASE!$A:$AT,MATCH(Reg_Machine!E$5,BASE!$A$3:$AT$3,0),0))</f>
        <v>168.8</v>
      </c>
      <c r="F31" s="41">
        <f>IF(F30="","",VLOOKUP($A31,BASE!$A:$AT,MATCH(Reg_Machine!F$5,BASE!$A$3:$AT$3,0),0))</f>
        <v>1040000000000</v>
      </c>
    </row>
    <row r="32" spans="1:35" ht="14.4" x14ac:dyDescent="0.3">
      <c r="A32" s="6" t="s">
        <v>70</v>
      </c>
      <c r="B32" s="20">
        <f>IF(B31="","",VLOOKUP($A32,BASE!$A:$AT,MATCH(Reg_Machine!B$5,BASE!$A$3:$AT$3,0),0))</f>
        <v>6.6199999999999995E-2</v>
      </c>
      <c r="C32" s="41">
        <f>IF(C31="","",VLOOKUP($A32,BASE!$A:$AT,MATCH(Reg_Machine!C$5,BASE!$A$3:$AT$3,0),0))</f>
        <v>0</v>
      </c>
      <c r="D32" s="41">
        <f>IF(D31="","",VLOOKUP($A32,BASE!$A:$AT,MATCH(Reg_Machine!D$5,BASE!$A$3:$AT$3,0),0))</f>
        <v>46231.03</v>
      </c>
      <c r="E32" s="41">
        <f>IF(E31="","",VLOOKUP($A32,BASE!$A:$AT,MATCH(Reg_Machine!E$5,BASE!$A$3:$AT$3,0),0))</f>
        <v>168.8</v>
      </c>
      <c r="F32" s="41">
        <f>IF(F31="","",VLOOKUP($A32,BASE!$A:$AT,MATCH(Reg_Machine!F$5,BASE!$A$3:$AT$3,0),0))</f>
        <v>1040000000000</v>
      </c>
    </row>
    <row r="33" spans="1:6" ht="14.4" x14ac:dyDescent="0.3">
      <c r="A33" s="6" t="s">
        <v>71</v>
      </c>
      <c r="B33" s="20">
        <f>IF(B32="","",VLOOKUP($A33,BASE!$A:$AT,MATCH(Reg_Machine!B$5,BASE!$A$3:$AT$3,0),0))</f>
        <v>5.6099999999999997E-2</v>
      </c>
      <c r="C33" s="41">
        <f>IF(C32="","",VLOOKUP($A33,BASE!$A:$AT,MATCH(Reg_Machine!C$5,BASE!$A$3:$AT$3,0),0))</f>
        <v>0</v>
      </c>
      <c r="D33" s="41">
        <f>IF(D32="","",VLOOKUP($A33,BASE!$A:$AT,MATCH(Reg_Machine!D$5,BASE!$A$3:$AT$3,0),0))</f>
        <v>48695.63</v>
      </c>
      <c r="E33" s="41">
        <f>IF(E32="","",VLOOKUP($A33,BASE!$A:$AT,MATCH(Reg_Machine!E$5,BASE!$A$3:$AT$3,0),0))</f>
        <v>170.1</v>
      </c>
      <c r="F33" s="41">
        <f>IF(F32="","",VLOOKUP($A33,BASE!$A:$AT,MATCH(Reg_Machine!F$5,BASE!$A$3:$AT$3,0),0))</f>
        <v>1040000000000</v>
      </c>
    </row>
    <row r="34" spans="1:6" ht="14.4" x14ac:dyDescent="0.3">
      <c r="A34" s="6" t="s">
        <v>72</v>
      </c>
      <c r="B34" s="20">
        <f>IF(B33="","",VLOOKUP($A34,BASE!$A:$AT,MATCH(Reg_Machine!B$5,BASE!$A$3:$AT$3,0),0))</f>
        <v>4.6100000000000002E-2</v>
      </c>
      <c r="C34" s="41">
        <f>IF(C33="","",VLOOKUP($A34,BASE!$A:$AT,MATCH(Reg_Machine!C$5,BASE!$A$3:$AT$3,0),0))</f>
        <v>0</v>
      </c>
      <c r="D34" s="41">
        <f>IF(D33="","",VLOOKUP($A34,BASE!$A:$AT,MATCH(Reg_Machine!D$5,BASE!$A$3:$AT$3,0),0))</f>
        <v>49585.677600000003</v>
      </c>
      <c r="E34" s="41">
        <f>IF(E33="","",VLOOKUP($A34,BASE!$A:$AT,MATCH(Reg_Machine!E$5,BASE!$A$3:$AT$3,0),0))</f>
        <v>173.2</v>
      </c>
      <c r="F34" s="41">
        <f>IF(F33="","",VLOOKUP($A34,BASE!$A:$AT,MATCH(Reg_Machine!F$5,BASE!$A$3:$AT$3,0),0))</f>
        <v>1050000000000</v>
      </c>
    </row>
    <row r="35" spans="1:6" ht="14.4" x14ac:dyDescent="0.3">
      <c r="A35" s="6" t="s">
        <v>73</v>
      </c>
      <c r="B35" s="20">
        <f>IF(B34="","",VLOOKUP($A35,BASE!$A:$AT,MATCH(Reg_Machine!B$5,BASE!$A$3:$AT$3,0),0))</f>
        <v>4.8899999999999999E-2</v>
      </c>
      <c r="C35" s="41">
        <f>IF(C34="","",VLOOKUP($A35,BASE!$A:$AT,MATCH(Reg_Machine!C$5,BASE!$A$3:$AT$3,0),0))</f>
        <v>0</v>
      </c>
      <c r="D35" s="41">
        <f>IF(D34="","",VLOOKUP($A35,BASE!$A:$AT,MATCH(Reg_Machine!D$5,BASE!$A$3:$AT$3,0),0))</f>
        <v>51701.599999999999</v>
      </c>
      <c r="E35" s="41">
        <f>IF(E34="","",VLOOKUP($A35,BASE!$A:$AT,MATCH(Reg_Machine!E$5,BASE!$A$3:$AT$3,0),0))</f>
        <v>180.7</v>
      </c>
      <c r="F35" s="41">
        <f>IF(F34="","",VLOOKUP($A35,BASE!$A:$AT,MATCH(Reg_Machine!F$5,BASE!$A$3:$AT$3,0),0))</f>
        <v>1060000000000</v>
      </c>
    </row>
    <row r="36" spans="1:6" ht="14.4" x14ac:dyDescent="0.3">
      <c r="A36" s="6" t="s">
        <v>74</v>
      </c>
      <c r="B36" s="20">
        <f>IF(B35="","",VLOOKUP($A36,BASE!$A:$AT,MATCH(Reg_Machine!B$5,BASE!$A$3:$AT$3,0),0))</f>
        <v>4.9000000000000002E-2</v>
      </c>
      <c r="C36" s="41">
        <f>IF(C35="","",VLOOKUP($A36,BASE!$A:$AT,MATCH(Reg_Machine!C$5,BASE!$A$3:$AT$3,0),0))</f>
        <v>0</v>
      </c>
      <c r="D36" s="41">
        <f>IF(D35="","",VLOOKUP($A36,BASE!$A:$AT,MATCH(Reg_Machine!D$5,BASE!$A$3:$AT$3,0),0))</f>
        <v>52754.080000000002</v>
      </c>
      <c r="E36" s="41">
        <f>IF(E35="","",VLOOKUP($A36,BASE!$A:$AT,MATCH(Reg_Machine!E$5,BASE!$A$3:$AT$3,0),0))</f>
        <v>179.6</v>
      </c>
      <c r="F36" s="41">
        <f>IF(F35="","",VLOOKUP($A36,BASE!$A:$AT,MATCH(Reg_Machine!F$5,BASE!$A$3:$AT$3,0),0))</f>
        <v>1080000000000</v>
      </c>
    </row>
    <row r="37" spans="1:6" ht="14.4" x14ac:dyDescent="0.3">
      <c r="A37" s="6" t="s">
        <v>75</v>
      </c>
      <c r="B37" s="20">
        <f>IF(B36="","",VLOOKUP($A37,BASE!$A:$AT,MATCH(Reg_Machine!B$5,BASE!$A$3:$AT$3,0),0))</f>
        <v>4.2500000000000003E-2</v>
      </c>
      <c r="C37" s="41">
        <f>IF(C36="","",VLOOKUP($A37,BASE!$A:$AT,MATCH(Reg_Machine!C$5,BASE!$A$3:$AT$3,0),0))</f>
        <v>0</v>
      </c>
      <c r="D37" s="41">
        <f>IF(D36="","",VLOOKUP($A37,BASE!$A:$AT,MATCH(Reg_Machine!D$5,BASE!$A$3:$AT$3,0),0))</f>
        <v>55296.01</v>
      </c>
      <c r="E37" s="41">
        <f>IF(E36="","",VLOOKUP($A37,BASE!$A:$AT,MATCH(Reg_Machine!E$5,BASE!$A$3:$AT$3,0),0))</f>
        <v>180.3</v>
      </c>
      <c r="F37" s="41">
        <f>IF(F36="","",VLOOKUP($A37,BASE!$A:$AT,MATCH(Reg_Machine!F$5,BASE!$A$3:$AT$3,0),0))</f>
        <v>1100000000000</v>
      </c>
    </row>
    <row r="38" spans="1:6" ht="14.4" x14ac:dyDescent="0.3">
      <c r="A38" s="6" t="s">
        <v>76</v>
      </c>
      <c r="B38" s="20">
        <f>IF(B37="","",VLOOKUP($A38,BASE!$A:$AT,MATCH(Reg_Machine!B$5,BASE!$A$3:$AT$3,0),0))</f>
        <v>4.2900000000000001E-2</v>
      </c>
      <c r="C38" s="41">
        <f>IF(C37="","",VLOOKUP($A38,BASE!$A:$AT,MATCH(Reg_Machine!C$5,BASE!$A$3:$AT$3,0),0))</f>
        <v>0</v>
      </c>
      <c r="D38" s="41">
        <f>IF(D37="","",VLOOKUP($A38,BASE!$A:$AT,MATCH(Reg_Machine!D$5,BASE!$A$3:$AT$3,0),0))</f>
        <v>56012.05</v>
      </c>
      <c r="E38" s="41">
        <f>IF(E37="","",VLOOKUP($A38,BASE!$A:$AT,MATCH(Reg_Machine!E$5,BASE!$A$3:$AT$3,0),0))</f>
        <v>183</v>
      </c>
      <c r="F38" s="41">
        <f>IF(F37="","",VLOOKUP($A38,BASE!$A:$AT,MATCH(Reg_Machine!F$5,BASE!$A$3:$AT$3,0),0))</f>
        <v>1120000000000</v>
      </c>
    </row>
    <row r="39" spans="1:6" ht="14.4" x14ac:dyDescent="0.3">
      <c r="A39" s="6" t="s">
        <v>77</v>
      </c>
      <c r="B39" s="20">
        <f>IF(B38="","",VLOOKUP($A39,BASE!$A:$AT,MATCH(Reg_Machine!B$5,BASE!$A$3:$AT$3,0),0))</f>
        <v>4.1500000000000002E-2</v>
      </c>
      <c r="C39" s="41">
        <f>IF(C38="","",VLOOKUP($A39,BASE!$A:$AT,MATCH(Reg_Machine!C$5,BASE!$A$3:$AT$3,0),0))</f>
        <v>0</v>
      </c>
      <c r="D39" s="41">
        <f>IF(D38="","",VLOOKUP($A39,BASE!$A:$AT,MATCH(Reg_Machine!D$5,BASE!$A$3:$AT$3,0),0))</f>
        <v>56138.48</v>
      </c>
      <c r="E39" s="41">
        <f>IF(E38="","",VLOOKUP($A39,BASE!$A:$AT,MATCH(Reg_Machine!E$5,BASE!$A$3:$AT$3,0),0))</f>
        <v>185</v>
      </c>
      <c r="F39" s="41">
        <f>IF(F38="","",VLOOKUP($A39,BASE!$A:$AT,MATCH(Reg_Machine!F$5,BASE!$A$3:$AT$3,0),0))</f>
        <v>1150000000000</v>
      </c>
    </row>
    <row r="40" spans="1:6" ht="14.4" x14ac:dyDescent="0.3">
      <c r="A40" s="6" t="s">
        <v>78</v>
      </c>
      <c r="B40" s="20">
        <f>IF(B39="","",VLOOKUP($A40,BASE!$A:$AT,MATCH(Reg_Machine!B$5,BASE!$A$3:$AT$3,0),0))</f>
        <v>5.0999999999999997E-2</v>
      </c>
      <c r="C40" s="41">
        <f>IF(C39="","",VLOOKUP($A40,BASE!$A:$AT,MATCH(Reg_Machine!C$5,BASE!$A$3:$AT$3,0),0))</f>
        <v>1</v>
      </c>
      <c r="D40" s="41">
        <f>IF(D39="","",VLOOKUP($A40,BASE!$A:$AT,MATCH(Reg_Machine!D$5,BASE!$A$3:$AT$3,0),0))</f>
        <v>57869.55</v>
      </c>
      <c r="E40" s="41">
        <f>IF(E39="","",VLOOKUP($A40,BASE!$A:$AT,MATCH(Reg_Machine!E$5,BASE!$A$3:$AT$3,0),0))</f>
        <v>178.7</v>
      </c>
      <c r="F40" s="41">
        <f>IF(F39="","",VLOOKUP($A40,BASE!$A:$AT,MATCH(Reg_Machine!F$5,BASE!$A$3:$AT$3,0),0))</f>
        <v>1180000000000</v>
      </c>
    </row>
    <row r="41" spans="1:6" ht="14.4" x14ac:dyDescent="0.3">
      <c r="A41" s="6" t="s">
        <v>79</v>
      </c>
      <c r="B41" s="20">
        <f>IF(B40="","",VLOOKUP($A41,BASE!$A:$AT,MATCH(Reg_Machine!B$5,BASE!$A$3:$AT$3,0),0))</f>
        <v>6.5000000000000002E-2</v>
      </c>
      <c r="C41" s="41">
        <f>IF(C40="","",VLOOKUP($A41,BASE!$A:$AT,MATCH(Reg_Machine!C$5,BASE!$A$3:$AT$3,0),0))</f>
        <v>1</v>
      </c>
      <c r="D41" s="41">
        <f>IF(D40="","",VLOOKUP($A41,BASE!$A:$AT,MATCH(Reg_Machine!D$5,BASE!$A$3:$AT$3,0),0))</f>
        <v>60029.52</v>
      </c>
      <c r="E41" s="41">
        <f>IF(E40="","",VLOOKUP($A41,BASE!$A:$AT,MATCH(Reg_Machine!E$5,BASE!$A$3:$AT$3,0),0))</f>
        <v>176.1</v>
      </c>
      <c r="F41" s="41">
        <f>IF(F40="","",VLOOKUP($A41,BASE!$A:$AT,MATCH(Reg_Machine!F$5,BASE!$A$3:$AT$3,0),0))</f>
        <v>1200000000000</v>
      </c>
    </row>
    <row r="42" spans="1:6" ht="14.4" x14ac:dyDescent="0.3">
      <c r="A42" s="6" t="s">
        <v>80</v>
      </c>
      <c r="B42" s="20">
        <f>IF(B41="","",VLOOKUP($A42,BASE!$A:$AT,MATCH(Reg_Machine!B$5,BASE!$A$3:$AT$3,0),0))</f>
        <v>6.9400000000000003E-2</v>
      </c>
      <c r="C42" s="41">
        <f>IF(C41="","",VLOOKUP($A42,BASE!$A:$AT,MATCH(Reg_Machine!C$5,BASE!$A$3:$AT$3,0),0))</f>
        <v>1</v>
      </c>
      <c r="D42" s="41">
        <f>IF(D41="","",VLOOKUP($A42,BASE!$A:$AT,MATCH(Reg_Machine!D$5,BASE!$A$3:$AT$3,0),0))</f>
        <v>60713.97</v>
      </c>
      <c r="E42" s="41">
        <f>IF(E41="","",VLOOKUP($A42,BASE!$A:$AT,MATCH(Reg_Machine!E$5,BASE!$A$3:$AT$3,0),0))</f>
        <v>179.1</v>
      </c>
      <c r="F42" s="41">
        <f>IF(F41="","",VLOOKUP($A42,BASE!$A:$AT,MATCH(Reg_Machine!F$5,BASE!$A$3:$AT$3,0),0))</f>
        <v>1210000000000</v>
      </c>
    </row>
    <row r="43" spans="1:6" ht="14.4" x14ac:dyDescent="0.3">
      <c r="A43" s="6" t="s">
        <v>81</v>
      </c>
      <c r="B43" s="20">
        <f>IF(B42="","",VLOOKUP($A43,BASE!$A:$AT,MATCH(Reg_Machine!B$5,BASE!$A$3:$AT$3,0),0))</f>
        <v>7.1400000000000005E-2</v>
      </c>
      <c r="C43" s="41">
        <f>IF(C42="","",VLOOKUP($A43,BASE!$A:$AT,MATCH(Reg_Machine!C$5,BASE!$A$3:$AT$3,0),0))</f>
        <v>1</v>
      </c>
      <c r="D43" s="41">
        <f>IF(D42="","",VLOOKUP($A43,BASE!$A:$AT,MATCH(Reg_Machine!D$5,BASE!$A$3:$AT$3,0),0))</f>
        <v>60986.57</v>
      </c>
      <c r="E43" s="41">
        <f>IF(E42="","",VLOOKUP($A43,BASE!$A:$AT,MATCH(Reg_Machine!E$5,BASE!$A$3:$AT$3,0),0))</f>
        <v>176.5</v>
      </c>
      <c r="F43" s="41">
        <f>IF(F42="","",VLOOKUP($A43,BASE!$A:$AT,MATCH(Reg_Machine!F$5,BASE!$A$3:$AT$3,0),0))</f>
        <v>1230000000000</v>
      </c>
    </row>
    <row r="44" spans="1:6" ht="14.4" x14ac:dyDescent="0.3">
      <c r="A44" s="6" t="s">
        <v>82</v>
      </c>
      <c r="B44" s="20">
        <f>IF(B43="","",VLOOKUP($A44,BASE!$A:$AT,MATCH(Reg_Machine!B$5,BASE!$A$3:$AT$3,0),0))</f>
        <v>7.2300000000000003E-2</v>
      </c>
      <c r="C44" s="41">
        <f>IF(C43="","",VLOOKUP($A44,BASE!$A:$AT,MATCH(Reg_Machine!C$5,BASE!$A$3:$AT$3,0),0))</f>
        <v>1</v>
      </c>
      <c r="D44" s="41">
        <f>IF(D43="","",VLOOKUP($A44,BASE!$A:$AT,MATCH(Reg_Machine!D$5,BASE!$A$3:$AT$3,0),0))</f>
        <v>63251.09</v>
      </c>
      <c r="E44" s="41">
        <f>IF(E43="","",VLOOKUP($A44,BASE!$A:$AT,MATCH(Reg_Machine!E$5,BASE!$A$3:$AT$3,0),0))</f>
        <v>176.8</v>
      </c>
      <c r="F44" s="41">
        <f>IF(F43="","",VLOOKUP($A44,BASE!$A:$AT,MATCH(Reg_Machine!F$5,BASE!$A$3:$AT$3,0),0))</f>
        <v>1250000000000</v>
      </c>
    </row>
  </sheetData>
  <mergeCells count="1">
    <mergeCell ref="J13:M16"/>
  </mergeCells>
  <conditionalFormatting sqref="AB6:AF19">
    <cfRule type="cellIs" dxfId="7" priority="4" operator="lessThan">
      <formula>0.11</formula>
    </cfRule>
  </conditionalFormatting>
  <conditionalFormatting sqref="AG6:AH19">
    <cfRule type="cellIs" dxfId="6" priority="3" operator="greaterThan">
      <formula>0.7</formula>
    </cfRule>
  </conditionalFormatting>
  <conditionalFormatting sqref="AI6:AI19">
    <cfRule type="cellIs" dxfId="5" priority="1" operator="equal">
      <formula>1</formula>
    </cfRule>
    <cfRule type="cellIs" dxfId="4" priority="2" operator="equal">
      <formula>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2"/>
  <sheetViews>
    <sheetView showGridLines="0" zoomScale="80" zoomScaleNormal="80" workbookViewId="0">
      <selection activeCell="Q9" sqref="Q9"/>
    </sheetView>
  </sheetViews>
  <sheetFormatPr defaultRowHeight="14.4" x14ac:dyDescent="0.3"/>
  <cols>
    <col min="1" max="1" width="12.6640625" customWidth="1"/>
    <col min="2" max="2" width="20.109375" customWidth="1"/>
    <col min="3" max="3" width="12.6640625" customWidth="1"/>
    <col min="4" max="4" width="19.44140625" bestFit="1" customWidth="1"/>
    <col min="5" max="5" width="12" customWidth="1"/>
    <col min="6" max="6" width="10" customWidth="1"/>
    <col min="7" max="7" width="9.44140625" customWidth="1"/>
    <col min="8" max="8" width="10" customWidth="1"/>
    <col min="9" max="9" width="9.44140625" customWidth="1"/>
    <col min="10" max="10" width="13.6640625" bestFit="1" customWidth="1"/>
    <col min="11" max="14" width="9.33203125" customWidth="1"/>
    <col min="15" max="15" width="10" bestFit="1" customWidth="1"/>
    <col min="16" max="16" width="12.88671875" bestFit="1" customWidth="1"/>
    <col min="17" max="17" width="23.44140625" bestFit="1" customWidth="1"/>
    <col min="18" max="18" width="9.33203125" bestFit="1" customWidth="1"/>
    <col min="19" max="19" width="10" bestFit="1" customWidth="1"/>
    <col min="20" max="20" width="12.88671875" bestFit="1" customWidth="1"/>
    <col min="21" max="21" width="23.44140625" bestFit="1" customWidth="1"/>
  </cols>
  <sheetData>
    <row r="1" spans="1:17" x14ac:dyDescent="0.3">
      <c r="A1" s="10" t="s">
        <v>223</v>
      </c>
      <c r="B1" s="10" t="s">
        <v>224</v>
      </c>
      <c r="C1" s="10" t="s">
        <v>225</v>
      </c>
      <c r="D1" s="10" t="s">
        <v>266</v>
      </c>
      <c r="E1" s="10" t="s">
        <v>226</v>
      </c>
      <c r="F1" s="10" t="s">
        <v>227</v>
      </c>
      <c r="G1" s="10" t="s">
        <v>228</v>
      </c>
      <c r="H1" s="10" t="s">
        <v>229</v>
      </c>
      <c r="I1" s="10" t="s">
        <v>269</v>
      </c>
      <c r="J1" s="10" t="s">
        <v>230</v>
      </c>
      <c r="K1" s="10" t="s">
        <v>231</v>
      </c>
      <c r="L1" s="10" t="s">
        <v>232</v>
      </c>
      <c r="M1" s="11" t="s">
        <v>233</v>
      </c>
      <c r="N1" s="11" t="s">
        <v>270</v>
      </c>
      <c r="O1" s="10" t="s">
        <v>234</v>
      </c>
      <c r="P1" s="12" t="s">
        <v>235</v>
      </c>
      <c r="Q1" s="13" t="s">
        <v>236</v>
      </c>
    </row>
    <row r="2" spans="1:17" x14ac:dyDescent="0.3">
      <c r="A2" s="14"/>
      <c r="B2" s="14"/>
      <c r="C2" s="14"/>
      <c r="D2" s="14"/>
      <c r="E2" s="15"/>
      <c r="F2" s="15"/>
      <c r="G2" s="15"/>
      <c r="H2" s="15"/>
      <c r="I2" s="15"/>
      <c r="J2" s="16"/>
      <c r="K2" s="16"/>
      <c r="L2" s="16"/>
      <c r="M2" s="16"/>
      <c r="N2" s="16"/>
      <c r="O2" s="16"/>
      <c r="P2" s="17"/>
      <c r="Q2" s="18"/>
    </row>
  </sheetData>
  <conditionalFormatting sqref="J2:N2">
    <cfRule type="cellIs" dxfId="3" priority="4" operator="lessThan">
      <formula>0.11</formula>
    </cfRule>
  </conditionalFormatting>
  <conditionalFormatting sqref="O2:P2">
    <cfRule type="cellIs" dxfId="2" priority="3" operator="greaterThan">
      <formula>0.7</formula>
    </cfRule>
  </conditionalFormatting>
  <conditionalFormatting sqref="Q2">
    <cfRule type="cellIs" dxfId="1" priority="1" operator="equal">
      <formula>1</formula>
    </cfRule>
    <cfRule type="cellIs" dxfId="0" priority="2" operator="equal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5"/>
  <sheetViews>
    <sheetView workbookViewId="0"/>
  </sheetViews>
  <sheetFormatPr defaultRowHeight="14.4" x14ac:dyDescent="0.3"/>
  <cols>
    <col min="1" max="4" width="18.6640625" bestFit="1" customWidth="1"/>
    <col min="5" max="5" width="19.109375" bestFit="1" customWidth="1"/>
    <col min="12" max="12" width="19.109375" bestFit="1" customWidth="1"/>
    <col min="13" max="15" width="18.44140625" bestFit="1" customWidth="1"/>
  </cols>
  <sheetData>
    <row r="1" spans="1:15" x14ac:dyDescent="0.3">
      <c r="A1" s="52" t="s">
        <v>108</v>
      </c>
      <c r="B1" s="52" t="s">
        <v>108</v>
      </c>
      <c r="C1" s="52" t="s">
        <v>108</v>
      </c>
      <c r="D1" s="52" t="s">
        <v>108</v>
      </c>
      <c r="K1" s="52" t="s">
        <v>267</v>
      </c>
      <c r="L1" s="52" t="s">
        <v>108</v>
      </c>
    </row>
    <row r="2" spans="1:15" x14ac:dyDescent="0.3">
      <c r="A2" s="52" t="s">
        <v>84</v>
      </c>
      <c r="B2" s="52" t="s">
        <v>84</v>
      </c>
      <c r="C2" s="52" t="s">
        <v>84</v>
      </c>
      <c r="D2" s="52" t="s">
        <v>84</v>
      </c>
      <c r="K2" s="52" t="s">
        <v>267</v>
      </c>
      <c r="L2" s="52" t="s">
        <v>84</v>
      </c>
    </row>
    <row r="3" spans="1:15" x14ac:dyDescent="0.3">
      <c r="A3" s="52" t="s">
        <v>83</v>
      </c>
      <c r="B3" s="52" t="s">
        <v>83</v>
      </c>
      <c r="C3" s="52" t="s">
        <v>83</v>
      </c>
      <c r="D3" s="52" t="s">
        <v>83</v>
      </c>
      <c r="K3" s="52" t="s">
        <v>267</v>
      </c>
      <c r="L3" s="52" t="s">
        <v>83</v>
      </c>
    </row>
    <row r="4" spans="1:15" x14ac:dyDescent="0.3">
      <c r="A4" s="52" t="s">
        <v>118</v>
      </c>
      <c r="B4" s="52" t="s">
        <v>118</v>
      </c>
      <c r="C4" s="52" t="s">
        <v>118</v>
      </c>
      <c r="D4" s="52" t="s">
        <v>118</v>
      </c>
      <c r="K4" s="52" t="s">
        <v>267</v>
      </c>
      <c r="L4" s="52" t="s">
        <v>118</v>
      </c>
    </row>
    <row r="5" spans="1:15" x14ac:dyDescent="0.3">
      <c r="A5" s="63"/>
      <c r="B5" s="63"/>
      <c r="C5" s="63"/>
      <c r="D5" s="63"/>
      <c r="K5" s="52" t="s">
        <v>267</v>
      </c>
      <c r="L5" s="52" t="s">
        <v>84</v>
      </c>
      <c r="M5" s="52" t="s">
        <v>108</v>
      </c>
    </row>
    <row r="6" spans="1:15" x14ac:dyDescent="0.3">
      <c r="K6" s="52" t="s">
        <v>267</v>
      </c>
      <c r="L6" s="52" t="s">
        <v>83</v>
      </c>
      <c r="M6" s="52" t="s">
        <v>108</v>
      </c>
    </row>
    <row r="7" spans="1:15" x14ac:dyDescent="0.3">
      <c r="K7" s="52" t="s">
        <v>267</v>
      </c>
      <c r="L7" s="52" t="s">
        <v>83</v>
      </c>
      <c r="M7" s="52" t="s">
        <v>84</v>
      </c>
    </row>
    <row r="8" spans="1:15" x14ac:dyDescent="0.3">
      <c r="K8" s="52" t="s">
        <v>267</v>
      </c>
      <c r="L8" s="52" t="s">
        <v>118</v>
      </c>
      <c r="M8" s="52" t="s">
        <v>108</v>
      </c>
    </row>
    <row r="9" spans="1:15" x14ac:dyDescent="0.3">
      <c r="K9" s="52" t="s">
        <v>267</v>
      </c>
      <c r="L9" s="52" t="s">
        <v>118</v>
      </c>
      <c r="M9" s="52" t="s">
        <v>84</v>
      </c>
    </row>
    <row r="10" spans="1:15" x14ac:dyDescent="0.3">
      <c r="K10" s="52" t="s">
        <v>267</v>
      </c>
      <c r="L10" s="52" t="s">
        <v>118</v>
      </c>
      <c r="M10" s="52" t="s">
        <v>83</v>
      </c>
    </row>
    <row r="11" spans="1:15" x14ac:dyDescent="0.3">
      <c r="K11" s="52" t="s">
        <v>267</v>
      </c>
      <c r="L11" s="52" t="s">
        <v>83</v>
      </c>
      <c r="M11" s="52" t="s">
        <v>84</v>
      </c>
      <c r="N11" s="52" t="s">
        <v>108</v>
      </c>
    </row>
    <row r="12" spans="1:15" x14ac:dyDescent="0.3">
      <c r="K12" s="52" t="s">
        <v>267</v>
      </c>
      <c r="L12" s="52" t="s">
        <v>118</v>
      </c>
      <c r="M12" s="52" t="s">
        <v>84</v>
      </c>
      <c r="N12" s="52" t="s">
        <v>108</v>
      </c>
    </row>
    <row r="13" spans="1:15" x14ac:dyDescent="0.3">
      <c r="K13" s="52" t="s">
        <v>267</v>
      </c>
      <c r="L13" s="52" t="s">
        <v>118</v>
      </c>
      <c r="M13" s="52" t="s">
        <v>83</v>
      </c>
      <c r="N13" s="52" t="s">
        <v>108</v>
      </c>
    </row>
    <row r="14" spans="1:15" x14ac:dyDescent="0.3">
      <c r="K14" s="52" t="s">
        <v>267</v>
      </c>
      <c r="L14" s="52" t="s">
        <v>118</v>
      </c>
      <c r="M14" s="52" t="s">
        <v>83</v>
      </c>
      <c r="N14" s="52" t="s">
        <v>84</v>
      </c>
    </row>
    <row r="15" spans="1:15" x14ac:dyDescent="0.3">
      <c r="K15" s="52" t="s">
        <v>267</v>
      </c>
      <c r="L15" s="52" t="s">
        <v>118</v>
      </c>
      <c r="M15" s="52" t="s">
        <v>83</v>
      </c>
      <c r="N15" s="52" t="s">
        <v>84</v>
      </c>
      <c r="O15" s="52" t="s">
        <v>108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showGridLines="0" workbookViewId="0">
      <selection sqref="A1:G24"/>
    </sheetView>
  </sheetViews>
  <sheetFormatPr defaultRowHeight="14.4" x14ac:dyDescent="0.3"/>
  <cols>
    <col min="1" max="1" width="18" bestFit="1" customWidth="1"/>
    <col min="2" max="2" width="12.6640625" bestFit="1" customWidth="1"/>
    <col min="3" max="3" width="14.5546875" bestFit="1" customWidth="1"/>
    <col min="4" max="4" width="12.6640625" bestFit="1" customWidth="1"/>
    <col min="5" max="5" width="12" bestFit="1" customWidth="1"/>
    <col min="6" max="6" width="13.44140625" bestFit="1" customWidth="1"/>
    <col min="7" max="7" width="12" bestFit="1" customWidth="1"/>
    <col min="8" max="8" width="12.6640625" bestFit="1" customWidth="1"/>
    <col min="9" max="9" width="12.5546875" bestFit="1" customWidth="1"/>
  </cols>
  <sheetData>
    <row r="1" spans="1:9" x14ac:dyDescent="0.3">
      <c r="A1" t="s">
        <v>245</v>
      </c>
    </row>
    <row r="2" spans="1:9" ht="15" thickBot="1" x14ac:dyDescent="0.35"/>
    <row r="3" spans="1:9" x14ac:dyDescent="0.3">
      <c r="A3" s="39" t="s">
        <v>246</v>
      </c>
      <c r="B3" s="39"/>
    </row>
    <row r="4" spans="1:9" x14ac:dyDescent="0.3">
      <c r="A4" s="36" t="s">
        <v>247</v>
      </c>
      <c r="B4" s="36">
        <v>0.92555889616509257</v>
      </c>
    </row>
    <row r="5" spans="1:9" x14ac:dyDescent="0.3">
      <c r="A5" s="36" t="s">
        <v>248</v>
      </c>
      <c r="B5" s="36">
        <v>0.85665927027034461</v>
      </c>
    </row>
    <row r="6" spans="1:9" x14ac:dyDescent="0.3">
      <c r="A6" s="36" t="s">
        <v>249</v>
      </c>
      <c r="B6" s="36">
        <v>0.83928463636371975</v>
      </c>
    </row>
    <row r="7" spans="1:9" x14ac:dyDescent="0.3">
      <c r="A7" s="36" t="s">
        <v>250</v>
      </c>
      <c r="B7" s="36">
        <v>5.390890117949021E-3</v>
      </c>
    </row>
    <row r="8" spans="1:9" ht="15" thickBot="1" x14ac:dyDescent="0.35">
      <c r="A8" s="37" t="s">
        <v>251</v>
      </c>
      <c r="B8" s="37">
        <v>38</v>
      </c>
    </row>
    <row r="10" spans="1:9" ht="15" thickBot="1" x14ac:dyDescent="0.35">
      <c r="A10" t="s">
        <v>252</v>
      </c>
    </row>
    <row r="11" spans="1:9" x14ac:dyDescent="0.3">
      <c r="A11" s="38"/>
      <c r="B11" s="38" t="s">
        <v>256</v>
      </c>
      <c r="C11" s="38" t="s">
        <v>257</v>
      </c>
      <c r="D11" s="38" t="s">
        <v>258</v>
      </c>
      <c r="E11" s="38" t="s">
        <v>259</v>
      </c>
      <c r="F11" s="38" t="s">
        <v>260</v>
      </c>
    </row>
    <row r="12" spans="1:9" x14ac:dyDescent="0.3">
      <c r="A12" s="36" t="s">
        <v>253</v>
      </c>
      <c r="B12" s="36">
        <v>4</v>
      </c>
      <c r="C12" s="36">
        <v>5.7315674443472178E-3</v>
      </c>
      <c r="D12" s="36">
        <v>1.4328918610868044E-3</v>
      </c>
      <c r="E12" s="36">
        <v>49.305169528993787</v>
      </c>
      <c r="F12" s="36">
        <v>1.820025639580142E-13</v>
      </c>
    </row>
    <row r="13" spans="1:9" x14ac:dyDescent="0.3">
      <c r="A13" s="36" t="s">
        <v>254</v>
      </c>
      <c r="B13" s="36">
        <v>33</v>
      </c>
      <c r="C13" s="36">
        <v>9.590359767054135E-4</v>
      </c>
      <c r="D13" s="36">
        <v>2.9061696263800408E-5</v>
      </c>
      <c r="E13" s="36"/>
      <c r="F13" s="36"/>
    </row>
    <row r="14" spans="1:9" ht="15" thickBot="1" x14ac:dyDescent="0.35">
      <c r="A14" s="37" t="s">
        <v>255</v>
      </c>
      <c r="B14" s="37">
        <v>37</v>
      </c>
      <c r="C14" s="37">
        <v>6.690603421052631E-3</v>
      </c>
      <c r="D14" s="37"/>
      <c r="E14" s="37"/>
      <c r="F14" s="37"/>
    </row>
    <row r="15" spans="1:9" ht="15" thickBot="1" x14ac:dyDescent="0.35"/>
    <row r="16" spans="1:9" x14ac:dyDescent="0.3">
      <c r="A16" s="38"/>
      <c r="B16" s="38" t="s">
        <v>261</v>
      </c>
      <c r="C16" s="38" t="s">
        <v>250</v>
      </c>
      <c r="D16" s="38" t="s">
        <v>262</v>
      </c>
      <c r="E16" s="38" t="s">
        <v>263</v>
      </c>
      <c r="F16" s="38" t="s">
        <v>264</v>
      </c>
      <c r="G16" s="38" t="s">
        <v>265</v>
      </c>
      <c r="H16" s="38"/>
      <c r="I16" s="38"/>
    </row>
    <row r="17" spans="1:9" x14ac:dyDescent="0.3">
      <c r="A17" s="36" t="s">
        <v>226</v>
      </c>
      <c r="B17" s="36">
        <v>-6.2265835354555439E-2</v>
      </c>
      <c r="C17" s="36">
        <v>1.6894290696495583E-2</v>
      </c>
      <c r="D17" s="36">
        <v>-3.6856140617653375</v>
      </c>
      <c r="E17" s="36">
        <v>8.1337787591176597E-4</v>
      </c>
      <c r="F17" s="36">
        <v>-9.6637528216131752E-2</v>
      </c>
      <c r="G17" s="36">
        <v>-2.789414249297912E-2</v>
      </c>
      <c r="H17" s="36"/>
      <c r="I17" s="36"/>
    </row>
    <row r="18" spans="1:9" x14ac:dyDescent="0.3">
      <c r="A18" s="36">
        <v>0</v>
      </c>
      <c r="B18" s="36">
        <v>2.4102704279254865E-2</v>
      </c>
      <c r="C18" s="36">
        <v>4.4617279736306574E-3</v>
      </c>
      <c r="D18" s="36">
        <v>5.4021008052720187</v>
      </c>
      <c r="E18" s="36">
        <v>5.6298989809584832E-6</v>
      </c>
      <c r="F18" s="36">
        <v>1.5025250463845648E-2</v>
      </c>
      <c r="G18" s="36">
        <v>3.3180158094664083E-2</v>
      </c>
      <c r="H18" s="36"/>
      <c r="I18" s="36"/>
    </row>
    <row r="19" spans="1:9" x14ac:dyDescent="0.3">
      <c r="A19" s="36">
        <v>17697.84</v>
      </c>
      <c r="B19" s="36">
        <v>-6.8112260671790286E-7</v>
      </c>
      <c r="C19" s="36">
        <v>3.7581233671474004E-7</v>
      </c>
      <c r="D19" s="36">
        <v>-1.812400871860969</v>
      </c>
      <c r="E19" s="36">
        <v>7.9031540436609121E-2</v>
      </c>
      <c r="F19" s="36">
        <v>-1.4457185547342236E-6</v>
      </c>
      <c r="G19" s="36">
        <v>8.3473341298417849E-8</v>
      </c>
      <c r="H19" s="36"/>
      <c r="I19" s="36"/>
    </row>
    <row r="20" spans="1:9" x14ac:dyDescent="0.3">
      <c r="A20" s="36">
        <v>114.8</v>
      </c>
      <c r="B20" s="36">
        <v>1.0075525975260504E-3</v>
      </c>
      <c r="C20" s="36">
        <v>2.0086941549913746E-4</v>
      </c>
      <c r="D20" s="36">
        <v>5.0159582284958502</v>
      </c>
      <c r="E20" s="36">
        <v>1.7599788207205073E-5</v>
      </c>
      <c r="F20" s="36">
        <v>5.9888069890334772E-4</v>
      </c>
      <c r="G20" s="36">
        <v>1.4162244961487532E-3</v>
      </c>
      <c r="H20" s="36"/>
      <c r="I20" s="36"/>
    </row>
    <row r="21" spans="1:9" ht="15" thickBot="1" x14ac:dyDescent="0.35">
      <c r="A21" s="37">
        <v>624000000000</v>
      </c>
      <c r="B21" s="37">
        <v>-2.5634817068550846E-14</v>
      </c>
      <c r="C21" s="37">
        <v>2.3286670545515865E-14</v>
      </c>
      <c r="D21" s="37">
        <v>-1.1008365072389941</v>
      </c>
      <c r="E21" s="37">
        <v>0.27893305873989516</v>
      </c>
      <c r="F21" s="37">
        <v>-7.3011904520065836E-14</v>
      </c>
      <c r="G21" s="37">
        <v>2.1742270382964141E-14</v>
      </c>
      <c r="H21" s="37"/>
      <c r="I21" s="3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VARIABLES</vt:lpstr>
      <vt:lpstr>BASE</vt:lpstr>
      <vt:lpstr>ShortListing</vt:lpstr>
      <vt:lpstr>Reg_Machine</vt:lpstr>
      <vt:lpstr>Final_Models</vt:lpstr>
      <vt:lpstr>Combo_prep</vt:lpstr>
      <vt:lpstr>reg</vt:lpstr>
      <vt:lpstr>D_1</vt:lpstr>
      <vt:lpstr>V_1</vt:lpstr>
      <vt:lpstr>V_10</vt:lpstr>
      <vt:lpstr>V_11</vt:lpstr>
      <vt:lpstr>V_12</vt:lpstr>
      <vt:lpstr>V_13</vt:lpstr>
      <vt:lpstr>V_14</vt:lpstr>
      <vt:lpstr>V_15</vt:lpstr>
      <vt:lpstr>V_16</vt:lpstr>
      <vt:lpstr>V_17</vt:lpstr>
      <vt:lpstr>V_18</vt:lpstr>
      <vt:lpstr>V_19</vt:lpstr>
      <vt:lpstr>V_2</vt:lpstr>
      <vt:lpstr>V_20</vt:lpstr>
      <vt:lpstr>V_21</vt:lpstr>
      <vt:lpstr>V_22</vt:lpstr>
      <vt:lpstr>V_23</vt:lpstr>
      <vt:lpstr>V_24</vt:lpstr>
      <vt:lpstr>V_25</vt:lpstr>
      <vt:lpstr>V_26</vt:lpstr>
      <vt:lpstr>V_27</vt:lpstr>
      <vt:lpstr>V_28</vt:lpstr>
      <vt:lpstr>V_29</vt:lpstr>
      <vt:lpstr>V_3</vt:lpstr>
      <vt:lpstr>V_30</vt:lpstr>
      <vt:lpstr>V_31</vt:lpstr>
      <vt:lpstr>V_32</vt:lpstr>
      <vt:lpstr>V_33</vt:lpstr>
      <vt:lpstr>V_34</vt:lpstr>
      <vt:lpstr>V_35</vt:lpstr>
      <vt:lpstr>V_36</vt:lpstr>
      <vt:lpstr>V_37</vt:lpstr>
      <vt:lpstr>V_38</vt:lpstr>
      <vt:lpstr>V_39</vt:lpstr>
      <vt:lpstr>V_4</vt:lpstr>
      <vt:lpstr>V_40</vt:lpstr>
      <vt:lpstr>V_41</vt:lpstr>
      <vt:lpstr>V_42</vt:lpstr>
      <vt:lpstr>V_43</vt:lpstr>
      <vt:lpstr>V_5</vt:lpstr>
      <vt:lpstr>V_6</vt:lpstr>
      <vt:lpstr>V_7</vt:lpstr>
      <vt:lpstr>V_8</vt:lpstr>
      <vt:lpstr>V_9</vt:lpstr>
    </vt:vector>
  </TitlesOfParts>
  <Company>Ernst &amp; Young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Kumar</dc:creator>
  <cp:lastModifiedBy>Narendra Sahu</cp:lastModifiedBy>
  <dcterms:created xsi:type="dcterms:W3CDTF">2018-07-15T18:07:21Z</dcterms:created>
  <dcterms:modified xsi:type="dcterms:W3CDTF">2018-07-26T16:56:22Z</dcterms:modified>
</cp:coreProperties>
</file>