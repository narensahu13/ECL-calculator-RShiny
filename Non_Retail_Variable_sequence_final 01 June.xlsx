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vishal5.kumar\Desktop\Vishal\Work\QNB\ECL_Tools\Excel++\Excel++ Tool Data\"/>
    </mc:Choice>
  </mc:AlternateContent>
  <bookViews>
    <workbookView xWindow="0" yWindow="0" windowWidth="20490" windowHeight="7305"/>
  </bookViews>
  <sheets>
    <sheet name="Non Retail Data" sheetId="4" r:id="rId1"/>
    <sheet name="Default" sheetId="5" state="hidden" r:id="rId2"/>
    <sheet name="Guarantee" sheetId="6" state="hidden" r:id="rId3"/>
    <sheet name="Facility" sheetId="10" state="hidden" r:id="rId4"/>
    <sheet name="Rating" sheetId="11" state="hidden" r:id="rId5"/>
    <sheet name="Customer_demo_old" sheetId="12" state="hidden" r:id="rId6"/>
    <sheet name="Customer_Demo" sheetId="13" state="hidden" r:id="rId7"/>
  </sheets>
  <definedNames>
    <definedName name="_xlnm._FilterDatabase" localSheetId="1" hidden="1">Default!$B$3:$H$25</definedName>
    <definedName name="_xlnm._FilterDatabase" localSheetId="3" hidden="1">Facility!$F$3:$F$38</definedName>
    <definedName name="_xlnm._FilterDatabase" localSheetId="2" hidden="1">Guarantee!$B$3:$H$25</definedName>
    <definedName name="_xlnm._FilterDatabase" localSheetId="0" hidden="1">'Non Retail Data'!$B$3:$G$40</definedName>
    <definedName name="_xlnm._FilterDatabase" localSheetId="4" hidden="1">Rating!$B$3:$H$18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5" i="4" l="1"/>
  <c r="B46" i="4"/>
  <c r="B47" i="4"/>
  <c r="B48" i="4"/>
  <c r="B49" i="4"/>
  <c r="B50" i="4"/>
  <c r="B51" i="4"/>
  <c r="B52" i="4"/>
  <c r="B53" i="4"/>
  <c r="B5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9" i="4"/>
  <c r="E70" i="4"/>
  <c r="E71" i="4"/>
  <c r="E72" i="4"/>
  <c r="E73" i="4"/>
  <c r="E74" i="4"/>
  <c r="E75" i="4"/>
  <c r="E76" i="4"/>
  <c r="E77" i="4"/>
  <c r="E7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B76" i="4"/>
  <c r="B77" i="4"/>
  <c r="B78" i="4"/>
  <c r="B79" i="4"/>
  <c r="B80" i="4"/>
  <c r="B81" i="4"/>
  <c r="B82" i="4"/>
  <c r="B83" i="4"/>
  <c r="B84" i="4"/>
  <c r="B59" i="4"/>
  <c r="B60" i="4"/>
  <c r="B61" i="4"/>
  <c r="B62" i="4"/>
  <c r="B63" i="4"/>
  <c r="B64" i="4"/>
  <c r="B65" i="4"/>
  <c r="B66" i="4"/>
  <c r="B67" i="4"/>
  <c r="B68" i="4"/>
  <c r="B69" i="4"/>
  <c r="B70" i="4"/>
  <c r="B71" i="4"/>
  <c r="B72" i="4"/>
  <c r="B26" i="13"/>
  <c r="B25" i="13"/>
  <c r="B14" i="13"/>
  <c r="B15" i="13"/>
  <c r="B16" i="13"/>
  <c r="B5" i="13"/>
  <c r="B6" i="13"/>
  <c r="B7" i="13"/>
  <c r="B8" i="13"/>
  <c r="B9" i="13"/>
  <c r="B10" i="13"/>
  <c r="B11" i="13"/>
  <c r="B12" i="13"/>
  <c r="B13" i="13"/>
  <c r="B26" i="11"/>
  <c r="B27" i="11"/>
  <c r="B28" i="11"/>
  <c r="B29" i="11"/>
  <c r="B30" i="11"/>
  <c r="B31" i="11"/>
  <c r="B32" i="11"/>
  <c r="B33" i="11"/>
  <c r="B24" i="11"/>
  <c r="B25" i="11"/>
  <c r="B44" i="10"/>
  <c r="B45" i="10"/>
  <c r="B46" i="10"/>
  <c r="B47" i="10"/>
  <c r="B48" i="10"/>
  <c r="B49" i="10"/>
  <c r="B50" i="10"/>
  <c r="B51" i="10"/>
  <c r="B52" i="10"/>
  <c r="B53" i="10"/>
  <c r="B54" i="10"/>
  <c r="B55" i="10"/>
  <c r="B56" i="10"/>
  <c r="B57" i="10"/>
  <c r="B58" i="10"/>
  <c r="B59" i="10"/>
  <c r="B60" i="10"/>
  <c r="B61" i="10"/>
  <c r="B62" i="10"/>
  <c r="B63" i="10"/>
  <c r="B33" i="6"/>
  <c r="B34" i="6"/>
  <c r="B35" i="6"/>
  <c r="B36" i="6"/>
  <c r="B37" i="6"/>
  <c r="B38" i="6"/>
  <c r="B39" i="6"/>
  <c r="B40" i="6"/>
  <c r="B41" i="6"/>
  <c r="B42" i="6"/>
  <c r="B31" i="6"/>
  <c r="B32" i="6"/>
  <c r="B33" i="5"/>
  <c r="B34" i="5"/>
  <c r="B35" i="5"/>
  <c r="B36" i="5"/>
  <c r="B37" i="5"/>
  <c r="B38" i="5"/>
  <c r="B39" i="5"/>
  <c r="B40" i="5"/>
  <c r="B41" i="5"/>
  <c r="B42" i="5"/>
  <c r="B43" i="5"/>
  <c r="B44" i="5"/>
  <c r="B31" i="5"/>
  <c r="B32" i="5"/>
  <c r="B17" i="13"/>
  <c r="B18" i="13"/>
  <c r="B19" i="13"/>
  <c r="B20" i="13"/>
  <c r="B21" i="13"/>
  <c r="B22" i="13"/>
  <c r="B23" i="13"/>
  <c r="B24" i="13"/>
</calcChain>
</file>

<file path=xl/sharedStrings.xml><?xml version="1.0" encoding="utf-8"?>
<sst xmlns="http://schemas.openxmlformats.org/spreadsheetml/2006/main" count="1035" uniqueCount="321">
  <si>
    <t>Dummy data name</t>
  </si>
  <si>
    <t>ETL file name</t>
  </si>
  <si>
    <t>New name</t>
  </si>
  <si>
    <t>Variable Type</t>
  </si>
  <si>
    <t>Seq no.</t>
  </si>
  <si>
    <t>To be Dropped</t>
  </si>
  <si>
    <t>Customer ID</t>
  </si>
  <si>
    <t>MIS_date</t>
  </si>
  <si>
    <t>Guarantor ID</t>
  </si>
  <si>
    <t>Guarantor Name</t>
  </si>
  <si>
    <t>Currency of Guarantee</t>
  </si>
  <si>
    <t>Start Date of Guarantee</t>
  </si>
  <si>
    <t>End Date of Guarantee</t>
  </si>
  <si>
    <t>Type of Guarantor</t>
  </si>
  <si>
    <t>Type of Guarantee Cover</t>
  </si>
  <si>
    <t>Guarantee Value</t>
  </si>
  <si>
    <t>Percentage Guaranteed</t>
  </si>
  <si>
    <t>Internal Guarantor Rating</t>
  </si>
  <si>
    <t>External Guarantor Rating</t>
  </si>
  <si>
    <t>Date of External Rating</t>
  </si>
  <si>
    <t>Eligible Guarantee Flag</t>
  </si>
  <si>
    <t>Customer Type</t>
  </si>
  <si>
    <t>Facility ID</t>
  </si>
  <si>
    <t>LID</t>
  </si>
  <si>
    <t>Unique ID</t>
  </si>
  <si>
    <t>DPD</t>
  </si>
  <si>
    <t>Current Default Flag</t>
  </si>
  <si>
    <t>Rating at Default</t>
  </si>
  <si>
    <t>Resch/ Restructured Flag</t>
  </si>
  <si>
    <t>Resch/ Restructured Reason</t>
  </si>
  <si>
    <t>Write-Off Date</t>
  </si>
  <si>
    <t>Write-off Amount</t>
  </si>
  <si>
    <t>Non Accrual Indicator</t>
  </si>
  <si>
    <t>Non Accrual Date</t>
  </si>
  <si>
    <t>Collections Flag (Y/ N)</t>
  </si>
  <si>
    <t>Date of Internal Rating</t>
  </si>
  <si>
    <t>Name of Rating Agency</t>
  </si>
  <si>
    <t>Guarantee type</t>
  </si>
  <si>
    <t>Src of Guarantor Int Risk Rat</t>
  </si>
  <si>
    <t>Collateral Description</t>
  </si>
  <si>
    <t>Prob of Deft (Bef Guartee)</t>
  </si>
  <si>
    <t>Prob of Deft (Post Guartee)</t>
  </si>
  <si>
    <t>Num of days int past due</t>
  </si>
  <si>
    <t>Numr of days prin pass due</t>
  </si>
  <si>
    <t>Default cure date</t>
  </si>
  <si>
    <t>Later stg flg befwrite-off</t>
  </si>
  <si>
    <t>Collateral ID</t>
  </si>
  <si>
    <t>Collateral Type</t>
  </si>
  <si>
    <t>Collateral Expiry Date</t>
  </si>
  <si>
    <t>Value of Collateral</t>
  </si>
  <si>
    <t>Internal/External valuation</t>
  </si>
  <si>
    <t>Collateral Valuation Date</t>
  </si>
  <si>
    <t>Revaluation frequency</t>
  </si>
  <si>
    <t>Collateral Currency</t>
  </si>
  <si>
    <t>Collateral Lien Priority</t>
  </si>
  <si>
    <t>Haircut for collateral</t>
  </si>
  <si>
    <t>Name of the scrip</t>
  </si>
  <si>
    <t>Number of instrument</t>
  </si>
  <si>
    <t>Price(clos market /MTM value )</t>
  </si>
  <si>
    <t>Listed stock exch(yes/no)</t>
  </si>
  <si>
    <t>Historic Volatility Scrip</t>
  </si>
  <si>
    <t>Col address</t>
  </si>
  <si>
    <t>Col country code</t>
  </si>
  <si>
    <t>Real estate type</t>
  </si>
  <si>
    <t>Bond price</t>
  </si>
  <si>
    <t>Bond issuer type</t>
  </si>
  <si>
    <t>Bond issuer ID</t>
  </si>
  <si>
    <t>Bond rating</t>
  </si>
  <si>
    <t>Bond rating date</t>
  </si>
  <si>
    <t>Bond mat date</t>
  </si>
  <si>
    <t>Bond Face Value</t>
  </si>
  <si>
    <t>Collateral Valuation Source</t>
  </si>
  <si>
    <t>Currency Mismatch Flag</t>
  </si>
  <si>
    <t>Collateral Location Domicile</t>
  </si>
  <si>
    <t>Credit Rating</t>
  </si>
  <si>
    <t>Re-margining Frequency</t>
  </si>
  <si>
    <t>Re-valuation Frequency</t>
  </si>
  <si>
    <t>Holding Period</t>
  </si>
  <si>
    <t>Insurance status</t>
  </si>
  <si>
    <t>Customer name</t>
  </si>
  <si>
    <t>Obligor counterparty type</t>
  </si>
  <si>
    <t>Internal Classification Type</t>
  </si>
  <si>
    <t>Obligor External Rating</t>
  </si>
  <si>
    <t>Obligor External Rating - S&amp;P</t>
  </si>
  <si>
    <t>Obligor Ext rating agncy</t>
  </si>
  <si>
    <t>Obligor External Rating - Moody's</t>
  </si>
  <si>
    <t>Obligor Initial ext Rating</t>
  </si>
  <si>
    <t>Obligor External Rating - Fitch</t>
  </si>
  <si>
    <t>Obligor Initial risk rating</t>
  </si>
  <si>
    <t>Industry Code/Type</t>
  </si>
  <si>
    <t>Obligor Curnt risk rating</t>
  </si>
  <si>
    <t>Region Code</t>
  </si>
  <si>
    <t>Obligor External Rating Date</t>
  </si>
  <si>
    <t>Country Code</t>
  </si>
  <si>
    <t>Source of ORR</t>
  </si>
  <si>
    <t>Ownership Type</t>
  </si>
  <si>
    <t>Obligor NPA ratio</t>
  </si>
  <si>
    <t>Trade License Number</t>
  </si>
  <si>
    <t>ORR Initial Numerical Equivalent</t>
  </si>
  <si>
    <t>Obligor's Annual Sales</t>
  </si>
  <si>
    <t>ORR Current Numerical Equivalent</t>
  </si>
  <si>
    <t>Obligor's Total Assets</t>
  </si>
  <si>
    <t>Obligor Capital Adequacy Ratio</t>
  </si>
  <si>
    <t>Obligor External Rating Source</t>
  </si>
  <si>
    <t>Industry Rating</t>
  </si>
  <si>
    <t>Customer Join Date</t>
  </si>
  <si>
    <t>Date of Birth</t>
  </si>
  <si>
    <t>Gender</t>
  </si>
  <si>
    <t>Marital Status</t>
  </si>
  <si>
    <t>Nationality</t>
  </si>
  <si>
    <t>City</t>
  </si>
  <si>
    <t>Number of Years at Residence</t>
  </si>
  <si>
    <t>Region</t>
  </si>
  <si>
    <t>Number of Dependents</t>
  </si>
  <si>
    <t>Customer Residence Type</t>
  </si>
  <si>
    <t>Customer Residence Since</t>
  </si>
  <si>
    <t>Housing</t>
  </si>
  <si>
    <t>Education</t>
  </si>
  <si>
    <t>Profession</t>
  </si>
  <si>
    <t>Employer Code</t>
  </si>
  <si>
    <t>Customer Employer Name</t>
  </si>
  <si>
    <t>Num</t>
  </si>
  <si>
    <t>Industry of Employer</t>
  </si>
  <si>
    <t>Employ Start dt</t>
  </si>
  <si>
    <t>Designation</t>
  </si>
  <si>
    <t>Monthly Salary</t>
  </si>
  <si>
    <t>Years of experience</t>
  </si>
  <si>
    <t>Months on Books</t>
  </si>
  <si>
    <t>Number of Product Held</t>
  </si>
  <si>
    <t>Customer Employment Status</t>
  </si>
  <si>
    <t>Branch code</t>
  </si>
  <si>
    <t>LTV (Loan to value Ratio)</t>
  </si>
  <si>
    <t>DBR(Debt to Burden ratio)</t>
  </si>
  <si>
    <t>ID Num</t>
  </si>
  <si>
    <t>ID Type</t>
  </si>
  <si>
    <t>Years in Qatar</t>
  </si>
  <si>
    <t>Employment type</t>
  </si>
  <si>
    <t>Salary date</t>
  </si>
  <si>
    <t>Non salary income</t>
  </si>
  <si>
    <t>Salary linked</t>
  </si>
  <si>
    <t>Auto debit flag</t>
  </si>
  <si>
    <t>MRA rating</t>
  </si>
  <si>
    <t>MRA rating (override)</t>
  </si>
  <si>
    <t>Eqn Rating</t>
  </si>
  <si>
    <t>Risk Rating Date</t>
  </si>
  <si>
    <t>Rating Methodology</t>
  </si>
  <si>
    <t>Pre-override Obligor Risk Rating (Pre-approval)</t>
  </si>
  <si>
    <t>Pre-guarantee Obligor Risk Rating</t>
  </si>
  <si>
    <t>Rating Review Date</t>
  </si>
  <si>
    <t>Post-guarantee Obligor Risk Rating</t>
  </si>
  <si>
    <t>Override Flag</t>
  </si>
  <si>
    <t>Override criteria</t>
  </si>
  <si>
    <t>Pre override PD</t>
  </si>
  <si>
    <t>Post override PD</t>
  </si>
  <si>
    <t>Raw ETL file name</t>
  </si>
  <si>
    <t>Group ID</t>
  </si>
  <si>
    <t>Open_date</t>
  </si>
  <si>
    <t>Maturity_date</t>
  </si>
  <si>
    <t>Loan Tenor</t>
  </si>
  <si>
    <t>Payment Frequency</t>
  </si>
  <si>
    <t>First Instalment Date</t>
  </si>
  <si>
    <t>Principal Payment Frequency</t>
  </si>
  <si>
    <t>Instalment Amount</t>
  </si>
  <si>
    <t>Interest Payment Frequency</t>
  </si>
  <si>
    <t>Outstanding Balance FC</t>
  </si>
  <si>
    <t>CCF</t>
  </si>
  <si>
    <t>CRR Code</t>
  </si>
  <si>
    <t>Outstanding Balance</t>
  </si>
  <si>
    <t>Undrawn Amount</t>
  </si>
  <si>
    <t>Currency</t>
  </si>
  <si>
    <t>Currency Conversion Ratio</t>
  </si>
  <si>
    <t>Interest rate</t>
  </si>
  <si>
    <t>Interest rate type</t>
  </si>
  <si>
    <t>Yield</t>
  </si>
  <si>
    <t>Product code</t>
  </si>
  <si>
    <t>Product Type</t>
  </si>
  <si>
    <t>Product description</t>
  </si>
  <si>
    <t>Revolving flag</t>
  </si>
  <si>
    <t>Limit Amount</t>
  </si>
  <si>
    <t>Utilization (% of limit)</t>
  </si>
  <si>
    <t>Curnt Specific Prov Amt</t>
  </si>
  <si>
    <t>Watch list flag</t>
  </si>
  <si>
    <t>Average Balance</t>
  </si>
  <si>
    <t>Bankruptcy Date</t>
  </si>
  <si>
    <t>Customer_ID</t>
  </si>
  <si>
    <t>Guarantor_ID</t>
  </si>
  <si>
    <t>Guarantor_Name</t>
  </si>
  <si>
    <t>Currency_of_Guarantee</t>
  </si>
  <si>
    <t>Start_Date_of_Guarantee</t>
  </si>
  <si>
    <t>End_Date_of_Guarantee</t>
  </si>
  <si>
    <t>Type_of_Guarantor</t>
  </si>
  <si>
    <t>Type_of_Guarantee_Cover</t>
  </si>
  <si>
    <t>Guarantee_Value</t>
  </si>
  <si>
    <t>Percentage_Guaranteed</t>
  </si>
  <si>
    <t>Internal_Guarantor_Rating</t>
  </si>
  <si>
    <t>External_Guarantor_Rating</t>
  </si>
  <si>
    <t>Date_of_External_Rating</t>
  </si>
  <si>
    <t>Eligible_Guarantee_Flag</t>
  </si>
  <si>
    <t>Yes</t>
  </si>
  <si>
    <t>Character</t>
  </si>
  <si>
    <t>Facility_ID</t>
  </si>
  <si>
    <t>Unique_ID</t>
  </si>
  <si>
    <t>Current_Default_Flag</t>
  </si>
  <si>
    <t>Rating_at_Default</t>
  </si>
  <si>
    <t>Non_Accrual_Indicator</t>
  </si>
  <si>
    <t>Non_Accrual_Date</t>
  </si>
  <si>
    <t>Rescheduled_Restructured_Flag</t>
  </si>
  <si>
    <t>Rescheduled_Restructured_Reason</t>
  </si>
  <si>
    <t>Write_Off_Date</t>
  </si>
  <si>
    <t>Write_off_Amount</t>
  </si>
  <si>
    <t>Collections_Flag</t>
  </si>
  <si>
    <t>Numeric</t>
  </si>
  <si>
    <t>Date Format</t>
  </si>
  <si>
    <t>NA</t>
  </si>
  <si>
    <t>No</t>
  </si>
  <si>
    <t>Collateral_ID</t>
  </si>
  <si>
    <t>Collateral_Type</t>
  </si>
  <si>
    <t>Value_of_Collateral</t>
  </si>
  <si>
    <t>Collateral_Valuation_Date</t>
  </si>
  <si>
    <t>Collateral_Currency</t>
  </si>
  <si>
    <t>Collateral_Lien_Priority</t>
  </si>
  <si>
    <t>Haircut_for_collateral</t>
  </si>
  <si>
    <t>Holding_Period</t>
  </si>
  <si>
    <t>Insurance_status</t>
  </si>
  <si>
    <t>Reason for Dropping</t>
  </si>
  <si>
    <t>Only available for internal customers and their ratings are covered in ratings files</t>
  </si>
  <si>
    <t>All currency to be in QAR</t>
  </si>
  <si>
    <t>Dropped in the template as discussed earlier</t>
  </si>
  <si>
    <t>Revaluation_Date</t>
  </si>
  <si>
    <t>Drop From</t>
  </si>
  <si>
    <t>Number</t>
  </si>
  <si>
    <t xml:space="preserve">1. All the strings must be converted to number format.
2. </t>
  </si>
  <si>
    <t>Text</t>
  </si>
  <si>
    <t>Date</t>
  </si>
  <si>
    <t>1. All the Date should be either in Date format or ddmmyyyy format or dd/mm/yyyy format</t>
  </si>
  <si>
    <t>To Be Requested</t>
  </si>
  <si>
    <t>Group_ID</t>
  </si>
  <si>
    <t>Loan_Tenor</t>
  </si>
  <si>
    <t>Payment_Frequency</t>
  </si>
  <si>
    <t>Principal_Payment_Frequency</t>
  </si>
  <si>
    <t>Interest_Payment_Frequency</t>
  </si>
  <si>
    <t>First_Instalment_Date</t>
  </si>
  <si>
    <t>Instalment_Amount</t>
  </si>
  <si>
    <t>Outstanding_Balance</t>
  </si>
  <si>
    <t>CRR_Code</t>
  </si>
  <si>
    <t>Undrawn_Amount</t>
  </si>
  <si>
    <t>Currency_Conversion_Ratio</t>
  </si>
  <si>
    <t>Interest_rate</t>
  </si>
  <si>
    <t>Interest_rate_type</t>
  </si>
  <si>
    <t>Product_code</t>
  </si>
  <si>
    <t>Product_Type</t>
  </si>
  <si>
    <t>Product_description</t>
  </si>
  <si>
    <t>Revolving_flag</t>
  </si>
  <si>
    <t>Limit_Amount</t>
  </si>
  <si>
    <t>Utilization_percent_of_limit</t>
  </si>
  <si>
    <t>Curnt_Specific_Prov_Amt</t>
  </si>
  <si>
    <t>Watch_list_flag</t>
  </si>
  <si>
    <t>Both</t>
  </si>
  <si>
    <t>Branch_code</t>
  </si>
  <si>
    <t>ETL Data</t>
  </si>
  <si>
    <t>MRA_rating</t>
  </si>
  <si>
    <t>MRA_override_rating</t>
  </si>
  <si>
    <t>Eqn_Rating</t>
  </si>
  <si>
    <t>Risk_Rating_Date</t>
  </si>
  <si>
    <t>Rating_Methodology</t>
  </si>
  <si>
    <t>Pre-approval_Obligor_Risk_Rating</t>
  </si>
  <si>
    <t>Rating_Review_Date</t>
  </si>
  <si>
    <t>Override_Flag</t>
  </si>
  <si>
    <t>Override_criteria</t>
  </si>
  <si>
    <t>Customer_name</t>
  </si>
  <si>
    <t>Obligor_Counterparty_Type</t>
  </si>
  <si>
    <t>Internal_Classification_Type</t>
  </si>
  <si>
    <t>Obligor External Rating Final</t>
  </si>
  <si>
    <t>Obligor_current_external_Rating_Final</t>
  </si>
  <si>
    <t>To be Requested</t>
  </si>
  <si>
    <t>Obligor External Rating Agency Final</t>
  </si>
  <si>
    <t>Obligor_current_external_rating_agency_final</t>
  </si>
  <si>
    <t>Obligor Initial ext Rating Final</t>
  </si>
  <si>
    <t>Obligor_initial_external_rating_final</t>
  </si>
  <si>
    <t>Obligor_initial_external_rating_agency_final</t>
  </si>
  <si>
    <t>Obligor_External_Rating_Date_Final</t>
  </si>
  <si>
    <t>Obligor_current_Rating_Date_Final</t>
  </si>
  <si>
    <t>Source_of_ORR</t>
  </si>
  <si>
    <t>Obligor_NPA_ratio</t>
  </si>
  <si>
    <t>ORR_Initial_Numerical_Equivalent</t>
  </si>
  <si>
    <t>ORR_Current_Numerical_Equivalent</t>
  </si>
  <si>
    <t>Obligor_Initial_External_Rating_S&amp;P</t>
  </si>
  <si>
    <t>Obligor_Current_External_Rating_SP</t>
  </si>
  <si>
    <t>Obligor_Initial_External_Rating_Moody's</t>
  </si>
  <si>
    <t>Obligor_Current_External_Rating_Moody</t>
  </si>
  <si>
    <t>Obligor_Initial_External_Rating_Fitch</t>
  </si>
  <si>
    <t>Obligor_Current_External_Rating_Fitch</t>
  </si>
  <si>
    <t>Obligor_Initial_External_Rating_SP</t>
  </si>
  <si>
    <t>Obligor_Initial_External_Rating_Moody</t>
  </si>
  <si>
    <t>New Data</t>
  </si>
  <si>
    <t>Tab name - Default</t>
  </si>
  <si>
    <t>Tab name - Guarantee</t>
  </si>
  <si>
    <t>Tab name - Facility</t>
  </si>
  <si>
    <t>Tab name - Collateral</t>
  </si>
  <si>
    <t>Tab name - Rating</t>
  </si>
  <si>
    <t>ORR_Current</t>
  </si>
  <si>
    <t>ORR_Initial</t>
  </si>
  <si>
    <t>Tab name - Customer_Demo</t>
  </si>
  <si>
    <t>LCR_Flag*</t>
  </si>
  <si>
    <t>* Based on External rating and GOV collateral type</t>
  </si>
  <si>
    <t>Covered in ratings data</t>
  </si>
  <si>
    <t>Covered in rating file</t>
  </si>
  <si>
    <t>UDC_Interest</t>
  </si>
  <si>
    <t>Unit Code</t>
  </si>
  <si>
    <t>Exempt_Flag</t>
  </si>
  <si>
    <t>Interest_rate*</t>
  </si>
  <si>
    <t>*To have interest rate for UDC rows as well</t>
  </si>
  <si>
    <t>First_Installment_Date</t>
  </si>
  <si>
    <t>Obligor_External_Rating_Date_Initial</t>
  </si>
  <si>
    <t>Collateral_Expiry_Date</t>
  </si>
  <si>
    <t>Obligor_External_Rating_Date_Current</t>
  </si>
  <si>
    <t>Obligor_current_external_Rating</t>
  </si>
  <si>
    <t>Obligor_current_external_rating_agency</t>
  </si>
  <si>
    <t>Obligor_initial_external_rating</t>
  </si>
  <si>
    <t>Obligor_initial_external_rating_agency</t>
  </si>
  <si>
    <t>LCR_Flag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</si>
</sst>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>
    <font>
      <sz val="11"/>
      <color theme="1"/>
      <name val="Calibri"/>
      <family val="2"/>
      <charset val="178"/>
      <scheme val="minor"/>
    </font>
    <font>
      <sz val="11"/>
      <color rgb="FFFF0000"/>
      <name val="Calibri"/>
      <family val="2"/>
      <charset val="178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FF0000"/>
      <name val="Calibri"/>
      <family val="2"/>
      <charset val="178"/>
      <scheme val="minor"/>
    </font>
    <font>
      <i/>
      <sz val="11"/>
      <color rgb="FFFF0000"/>
      <name val="Calibri"/>
      <family val="2"/>
      <charset val="178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/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/>
    <xf numFmtId="0" fontId="2" fillId="0" borderId="1" xfId="0" applyFont="1" applyBorder="1"/>
    <xf numFmtId="0" fontId="3" fillId="0" borderId="0" xfId="0" applyFont="1"/>
    <xf numFmtId="0" fontId="2" fillId="2" borderId="1" xfId="0" applyFont="1" applyFill="1" applyBorder="1"/>
    <xf numFmtId="0" fontId="2" fillId="0" borderId="1" xfId="0" applyFont="1" applyFill="1" applyBorder="1"/>
    <xf numFmtId="0" fontId="0" fillId="0" borderId="1" xfId="0" applyFill="1" applyBorder="1"/>
    <xf numFmtId="0" fontId="0" fillId="0" borderId="0" xfId="0" applyAlignment="1">
      <alignment wrapText="1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0" fillId="0" borderId="0" xfId="0" applyAlignment="1">
      <alignment horizontal="left"/>
    </xf>
    <xf numFmtId="0" fontId="2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4" borderId="1" xfId="0" applyFill="1" applyBorder="1" applyAlignment="1">
      <alignment horizontal="left"/>
    </xf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0" fillId="0" borderId="1" xfId="0" applyFill="1" applyBorder="1" applyAlignment="1">
      <alignment horizontal="left"/>
    </xf>
    <xf numFmtId="0" fontId="0" fillId="5" borderId="1" xfId="0" applyFill="1" applyBorder="1" applyAlignment="1">
      <alignment horizontal="left"/>
    </xf>
    <xf numFmtId="0" fontId="0" fillId="6" borderId="1" xfId="0" applyFill="1" applyBorder="1" applyAlignment="1">
      <alignment horizontal="left"/>
    </xf>
    <xf numFmtId="0" fontId="4" fillId="0" borderId="0" xfId="0" applyFont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Border="1"/>
    <xf numFmtId="0" fontId="5" fillId="0" borderId="0" xfId="0" applyFont="1"/>
    <xf numFmtId="0" fontId="5" fillId="0" borderId="1" xfId="0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Fill="1" applyBorder="1" applyAlignment="1">
      <alignment horizontal="left"/>
    </xf>
    <xf numFmtId="0" fontId="6" fillId="0" borderId="0" xfId="0" applyFont="1"/>
    <xf numFmtId="0" fontId="5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88"/>
  <sheetViews>
    <sheetView showGridLines="0" tabSelected="1" topLeftCell="A41" zoomScale="80" zoomScaleNormal="80" workbookViewId="0">
      <selection activeCell="A42" sqref="A42:XFD1048576"/>
    </sheetView>
  </sheetViews>
  <sheetFormatPr defaultRowHeight="15"/>
  <cols>
    <col min="1" max="1" width="9.140625" style="1"/>
    <col min="2" max="2" width="10.28515625" style="1" customWidth="1"/>
    <col min="3" max="3" width="36.7109375" style="1" bestFit="1" customWidth="1"/>
    <col min="4" max="4" width="7.140625" style="1" customWidth="1"/>
    <col min="5" max="5" width="9.85546875" style="1" customWidth="1"/>
    <col min="6" max="6" width="41" style="1" bestFit="1" customWidth="1"/>
    <col min="7" max="7" width="4" style="1" customWidth="1"/>
    <col min="8" max="8" width="9.140625" style="1"/>
    <col min="9" max="9" width="42.85546875" style="1" bestFit="1" customWidth="1"/>
    <col min="10" max="16384" width="9.140625" style="1"/>
  </cols>
  <sheetData>
    <row r="1" spans="2:7" customFormat="1" hidden="1">
      <c r="C1" s="6"/>
      <c r="D1" s="6"/>
      <c r="E1" s="6"/>
    </row>
    <row r="2" spans="2:7" customFormat="1" hidden="1"/>
    <row r="3" spans="2:7" customFormat="1" hidden="1">
      <c r="B3" s="5" t="s">
        <v>4</v>
      </c>
      <c r="C3" s="5" t="s">
        <v>0</v>
      </c>
      <c r="D3" s="5" t="s">
        <v>1</v>
      </c>
      <c r="E3" s="5" t="s">
        <v>2</v>
      </c>
      <c r="F3" s="5" t="s">
        <v>3</v>
      </c>
      <c r="G3" s="5" t="s">
        <v>5</v>
      </c>
    </row>
    <row r="4" spans="2:7" customFormat="1" hidden="1">
      <c r="B4" s="4">
        <v>1</v>
      </c>
      <c r="C4" s="4" t="s">
        <v>6</v>
      </c>
      <c r="D4" s="4" t="s">
        <v>6</v>
      </c>
      <c r="E4" s="4" t="s">
        <v>184</v>
      </c>
      <c r="F4" s="4" t="s">
        <v>199</v>
      </c>
      <c r="G4" s="4" t="s">
        <v>214</v>
      </c>
    </row>
    <row r="5" spans="2:7" customFormat="1" hidden="1">
      <c r="B5" s="4">
        <v>2</v>
      </c>
      <c r="C5" s="4" t="s">
        <v>7</v>
      </c>
      <c r="D5" s="4" t="s">
        <v>7</v>
      </c>
      <c r="E5" s="4" t="s">
        <v>7</v>
      </c>
      <c r="F5" s="4" t="s">
        <v>212</v>
      </c>
      <c r="G5" s="4" t="s">
        <v>198</v>
      </c>
    </row>
    <row r="6" spans="2:7" customFormat="1" hidden="1">
      <c r="B6" s="4">
        <v>3</v>
      </c>
      <c r="C6" s="4" t="s">
        <v>46</v>
      </c>
      <c r="D6" s="4" t="s">
        <v>46</v>
      </c>
      <c r="E6" s="4" t="s">
        <v>215</v>
      </c>
      <c r="F6" s="4" t="s">
        <v>199</v>
      </c>
      <c r="G6" s="4" t="s">
        <v>214</v>
      </c>
    </row>
    <row r="7" spans="2:7" customFormat="1" hidden="1">
      <c r="B7" s="4">
        <v>4</v>
      </c>
      <c r="C7" s="4" t="s">
        <v>47</v>
      </c>
      <c r="D7" s="4" t="s">
        <v>47</v>
      </c>
      <c r="E7" s="4" t="s">
        <v>216</v>
      </c>
      <c r="F7" s="4" t="s">
        <v>199</v>
      </c>
      <c r="G7" s="4" t="s">
        <v>214</v>
      </c>
    </row>
    <row r="8" spans="2:7" customFormat="1" hidden="1">
      <c r="B8" s="4">
        <v>5</v>
      </c>
      <c r="C8" s="4" t="s">
        <v>49</v>
      </c>
      <c r="D8" s="4" t="s">
        <v>49</v>
      </c>
      <c r="E8" s="4" t="s">
        <v>217</v>
      </c>
      <c r="F8" s="4" t="s">
        <v>211</v>
      </c>
      <c r="G8" s="4" t="s">
        <v>214</v>
      </c>
    </row>
    <row r="9" spans="2:7" customFormat="1" hidden="1">
      <c r="B9" s="4">
        <v>6</v>
      </c>
      <c r="C9" s="4" t="s">
        <v>51</v>
      </c>
      <c r="D9" s="4" t="s">
        <v>51</v>
      </c>
      <c r="E9" s="4" t="s">
        <v>218</v>
      </c>
      <c r="F9" s="4" t="s">
        <v>212</v>
      </c>
      <c r="G9" s="4" t="s">
        <v>214</v>
      </c>
    </row>
    <row r="10" spans="2:7" customFormat="1" hidden="1">
      <c r="B10" s="4">
        <v>7</v>
      </c>
      <c r="C10" s="4" t="s">
        <v>53</v>
      </c>
      <c r="D10" s="4" t="s">
        <v>53</v>
      </c>
      <c r="E10" s="4" t="s">
        <v>219</v>
      </c>
      <c r="F10" s="4" t="s">
        <v>199</v>
      </c>
      <c r="G10" s="4" t="s">
        <v>214</v>
      </c>
    </row>
    <row r="11" spans="2:7" customFormat="1" hidden="1">
      <c r="B11" s="4">
        <v>8</v>
      </c>
      <c r="C11" s="4" t="s">
        <v>54</v>
      </c>
      <c r="D11" s="4" t="s">
        <v>54</v>
      </c>
      <c r="E11" s="4" t="s">
        <v>220</v>
      </c>
      <c r="F11" s="4" t="s">
        <v>199</v>
      </c>
      <c r="G11" s="4" t="s">
        <v>214</v>
      </c>
    </row>
    <row r="12" spans="2:7" customFormat="1" hidden="1">
      <c r="B12" s="4">
        <v>9</v>
      </c>
      <c r="C12" s="4" t="s">
        <v>55</v>
      </c>
      <c r="D12" s="4" t="s">
        <v>55</v>
      </c>
      <c r="E12" s="4" t="s">
        <v>221</v>
      </c>
      <c r="F12" s="4" t="s">
        <v>211</v>
      </c>
      <c r="G12" s="4" t="s">
        <v>198</v>
      </c>
    </row>
    <row r="13" spans="2:7" customFormat="1" hidden="1">
      <c r="B13" s="4">
        <v>10</v>
      </c>
      <c r="C13" s="4" t="s">
        <v>76</v>
      </c>
      <c r="D13" s="4" t="s">
        <v>76</v>
      </c>
      <c r="E13" s="4" t="s">
        <v>228</v>
      </c>
      <c r="F13" s="4" t="s">
        <v>212</v>
      </c>
      <c r="G13" s="4" t="s">
        <v>214</v>
      </c>
    </row>
    <row r="14" spans="2:7" customFormat="1" hidden="1">
      <c r="B14" s="4">
        <v>11</v>
      </c>
      <c r="C14" s="4" t="s">
        <v>77</v>
      </c>
      <c r="D14" s="4" t="s">
        <v>77</v>
      </c>
      <c r="E14" s="4" t="s">
        <v>222</v>
      </c>
      <c r="F14" s="4" t="s">
        <v>212</v>
      </c>
      <c r="G14" s="4" t="s">
        <v>214</v>
      </c>
    </row>
    <row r="15" spans="2:7" customFormat="1" hidden="1">
      <c r="B15" s="4">
        <v>12</v>
      </c>
      <c r="C15" s="4" t="s">
        <v>78</v>
      </c>
      <c r="D15" s="4" t="s">
        <v>78</v>
      </c>
      <c r="E15" s="4" t="s">
        <v>223</v>
      </c>
      <c r="F15" s="4" t="s">
        <v>199</v>
      </c>
      <c r="G15" s="4" t="s">
        <v>214</v>
      </c>
    </row>
    <row r="16" spans="2:7" customFormat="1" hidden="1">
      <c r="B16" s="4"/>
      <c r="C16" s="4"/>
      <c r="D16" s="4" t="s">
        <v>57</v>
      </c>
      <c r="E16" s="4" t="s">
        <v>213</v>
      </c>
      <c r="F16" s="4" t="s">
        <v>213</v>
      </c>
      <c r="G16" s="4" t="s">
        <v>198</v>
      </c>
    </row>
    <row r="17" spans="2:7" customFormat="1" hidden="1">
      <c r="B17" s="4"/>
      <c r="C17" s="4"/>
      <c r="D17" s="4" t="s">
        <v>58</v>
      </c>
      <c r="E17" s="4" t="s">
        <v>213</v>
      </c>
      <c r="F17" s="4" t="s">
        <v>213</v>
      </c>
      <c r="G17" s="4" t="s">
        <v>198</v>
      </c>
    </row>
    <row r="18" spans="2:7" customFormat="1" hidden="1">
      <c r="B18" s="4"/>
      <c r="C18" s="4"/>
      <c r="D18" s="4" t="s">
        <v>59</v>
      </c>
      <c r="E18" s="4" t="s">
        <v>213</v>
      </c>
      <c r="F18" s="4" t="s">
        <v>213</v>
      </c>
      <c r="G18" s="4" t="s">
        <v>198</v>
      </c>
    </row>
    <row r="19" spans="2:7" customFormat="1" hidden="1">
      <c r="B19" s="4"/>
      <c r="C19" s="4"/>
      <c r="D19" s="4" t="s">
        <v>60</v>
      </c>
      <c r="E19" s="4" t="s">
        <v>213</v>
      </c>
      <c r="F19" s="4" t="s">
        <v>213</v>
      </c>
      <c r="G19" s="4" t="s">
        <v>198</v>
      </c>
    </row>
    <row r="20" spans="2:7" customFormat="1" hidden="1">
      <c r="B20" s="4"/>
      <c r="C20" s="4"/>
      <c r="D20" s="4" t="s">
        <v>61</v>
      </c>
      <c r="E20" s="4" t="s">
        <v>213</v>
      </c>
      <c r="F20" s="4" t="s">
        <v>213</v>
      </c>
      <c r="G20" s="4" t="s">
        <v>198</v>
      </c>
    </row>
    <row r="21" spans="2:7" customFormat="1" hidden="1">
      <c r="B21" s="4"/>
      <c r="C21" s="4"/>
      <c r="D21" s="4" t="s">
        <v>62</v>
      </c>
      <c r="E21" s="4" t="s">
        <v>213</v>
      </c>
      <c r="F21" s="4" t="s">
        <v>213</v>
      </c>
      <c r="G21" s="4" t="s">
        <v>198</v>
      </c>
    </row>
    <row r="22" spans="2:7" customFormat="1" hidden="1">
      <c r="B22" s="4"/>
      <c r="C22" s="4"/>
      <c r="D22" s="4" t="s">
        <v>63</v>
      </c>
      <c r="E22" s="4" t="s">
        <v>213</v>
      </c>
      <c r="F22" s="4" t="s">
        <v>213</v>
      </c>
      <c r="G22" s="4" t="s">
        <v>198</v>
      </c>
    </row>
    <row r="23" spans="2:7" customFormat="1" hidden="1">
      <c r="B23" s="4"/>
      <c r="C23" s="4"/>
      <c r="D23" s="4" t="s">
        <v>64</v>
      </c>
      <c r="E23" s="4" t="s">
        <v>213</v>
      </c>
      <c r="F23" s="4" t="s">
        <v>213</v>
      </c>
      <c r="G23" s="4" t="s">
        <v>198</v>
      </c>
    </row>
    <row r="24" spans="2:7" customFormat="1" hidden="1">
      <c r="B24" s="4"/>
      <c r="C24" s="4"/>
      <c r="D24" s="4" t="s">
        <v>65</v>
      </c>
      <c r="E24" s="4" t="s">
        <v>213</v>
      </c>
      <c r="F24" s="4" t="s">
        <v>213</v>
      </c>
      <c r="G24" s="4" t="s">
        <v>198</v>
      </c>
    </row>
    <row r="25" spans="2:7" customFormat="1" hidden="1">
      <c r="B25" s="4"/>
      <c r="C25" s="4"/>
      <c r="D25" s="4" t="s">
        <v>66</v>
      </c>
      <c r="E25" s="4" t="s">
        <v>213</v>
      </c>
      <c r="F25" s="4" t="s">
        <v>213</v>
      </c>
      <c r="G25" s="4" t="s">
        <v>198</v>
      </c>
    </row>
    <row r="26" spans="2:7" customFormat="1" hidden="1">
      <c r="B26" s="4"/>
      <c r="C26" s="4"/>
      <c r="D26" s="4" t="s">
        <v>67</v>
      </c>
      <c r="E26" s="4" t="s">
        <v>213</v>
      </c>
      <c r="F26" s="4" t="s">
        <v>213</v>
      </c>
      <c r="G26" s="4" t="s">
        <v>198</v>
      </c>
    </row>
    <row r="27" spans="2:7" customFormat="1" hidden="1">
      <c r="B27" s="4"/>
      <c r="C27" s="4"/>
      <c r="D27" s="4" t="s">
        <v>68</v>
      </c>
      <c r="E27" s="4" t="s">
        <v>213</v>
      </c>
      <c r="F27" s="4" t="s">
        <v>213</v>
      </c>
      <c r="G27" s="4" t="s">
        <v>198</v>
      </c>
    </row>
    <row r="28" spans="2:7" customFormat="1" hidden="1">
      <c r="B28" s="4"/>
      <c r="C28" s="4"/>
      <c r="D28" s="4" t="s">
        <v>69</v>
      </c>
      <c r="E28" s="4" t="s">
        <v>213</v>
      </c>
      <c r="F28" s="4" t="s">
        <v>213</v>
      </c>
      <c r="G28" s="4" t="s">
        <v>198</v>
      </c>
    </row>
    <row r="29" spans="2:7" customFormat="1" hidden="1">
      <c r="B29" s="4"/>
      <c r="C29" s="4"/>
      <c r="D29" s="4" t="s">
        <v>70</v>
      </c>
      <c r="E29" s="4" t="s">
        <v>213</v>
      </c>
      <c r="F29" s="4" t="s">
        <v>213</v>
      </c>
      <c r="G29" s="4" t="s">
        <v>198</v>
      </c>
    </row>
    <row r="30" spans="2:7" customFormat="1" hidden="1">
      <c r="B30" s="4"/>
      <c r="C30" s="4"/>
      <c r="D30" s="4" t="s">
        <v>71</v>
      </c>
      <c r="E30" s="4" t="s">
        <v>213</v>
      </c>
      <c r="F30" s="4" t="s">
        <v>213</v>
      </c>
      <c r="G30" s="4" t="s">
        <v>198</v>
      </c>
    </row>
    <row r="31" spans="2:7" customFormat="1" hidden="1">
      <c r="B31" s="4"/>
      <c r="C31" s="4"/>
      <c r="D31" s="4" t="s">
        <v>72</v>
      </c>
      <c r="E31" s="4" t="s">
        <v>213</v>
      </c>
      <c r="F31" s="4" t="s">
        <v>213</v>
      </c>
      <c r="G31" s="4" t="s">
        <v>198</v>
      </c>
    </row>
    <row r="32" spans="2:7" customFormat="1" hidden="1">
      <c r="B32" s="4"/>
      <c r="C32" s="4"/>
      <c r="D32" s="4" t="s">
        <v>73</v>
      </c>
      <c r="E32" s="4" t="s">
        <v>213</v>
      </c>
      <c r="F32" s="4" t="s">
        <v>213</v>
      </c>
      <c r="G32" s="4" t="s">
        <v>198</v>
      </c>
    </row>
    <row r="33" spans="2:7" customFormat="1" hidden="1">
      <c r="B33" s="4"/>
      <c r="C33" s="4"/>
      <c r="D33" s="4" t="s">
        <v>74</v>
      </c>
      <c r="E33" s="4" t="s">
        <v>213</v>
      </c>
      <c r="F33" s="4" t="s">
        <v>213</v>
      </c>
      <c r="G33" s="4" t="s">
        <v>198</v>
      </c>
    </row>
    <row r="34" spans="2:7" customFormat="1" hidden="1">
      <c r="B34" s="4"/>
      <c r="C34" s="4"/>
      <c r="D34" s="4" t="s">
        <v>75</v>
      </c>
      <c r="E34" s="4" t="s">
        <v>213</v>
      </c>
      <c r="F34" s="4" t="s">
        <v>213</v>
      </c>
      <c r="G34" s="4" t="s">
        <v>198</v>
      </c>
    </row>
    <row r="35" spans="2:7" customFormat="1" hidden="1">
      <c r="B35" s="4"/>
      <c r="C35" s="4"/>
      <c r="D35" s="4" t="s">
        <v>21</v>
      </c>
      <c r="E35" s="4" t="s">
        <v>213</v>
      </c>
      <c r="F35" s="4" t="s">
        <v>213</v>
      </c>
      <c r="G35" s="4" t="s">
        <v>198</v>
      </c>
    </row>
    <row r="36" spans="2:7" customFormat="1" hidden="1">
      <c r="B36" s="4"/>
      <c r="C36" s="4"/>
      <c r="D36" s="4" t="s">
        <v>22</v>
      </c>
      <c r="E36" s="4" t="s">
        <v>213</v>
      </c>
      <c r="F36" s="4" t="s">
        <v>213</v>
      </c>
      <c r="G36" s="4" t="s">
        <v>198</v>
      </c>
    </row>
    <row r="37" spans="2:7" customFormat="1" hidden="1">
      <c r="B37" s="4"/>
      <c r="C37" s="4"/>
      <c r="D37" s="4" t="s">
        <v>48</v>
      </c>
      <c r="E37" s="4" t="s">
        <v>213</v>
      </c>
      <c r="F37" s="4" t="s">
        <v>213</v>
      </c>
      <c r="G37" s="4" t="s">
        <v>198</v>
      </c>
    </row>
    <row r="38" spans="2:7" customFormat="1" hidden="1">
      <c r="B38" s="4"/>
      <c r="C38" s="4"/>
      <c r="D38" s="4" t="s">
        <v>50</v>
      </c>
      <c r="E38" s="4" t="s">
        <v>213</v>
      </c>
      <c r="F38" s="4" t="s">
        <v>213</v>
      </c>
      <c r="G38" s="4" t="s">
        <v>198</v>
      </c>
    </row>
    <row r="39" spans="2:7" customFormat="1" hidden="1">
      <c r="B39" s="4"/>
      <c r="C39" s="4"/>
      <c r="D39" s="4" t="s">
        <v>52</v>
      </c>
      <c r="E39" s="4" t="s">
        <v>213</v>
      </c>
      <c r="F39" s="4" t="s">
        <v>213</v>
      </c>
      <c r="G39" s="4" t="s">
        <v>198</v>
      </c>
    </row>
    <row r="40" spans="2:7" customFormat="1" hidden="1">
      <c r="B40" s="4"/>
      <c r="C40" s="4"/>
      <c r="D40" s="4" t="s">
        <v>56</v>
      </c>
      <c r="E40" s="4" t="s">
        <v>213</v>
      </c>
      <c r="F40" s="4" t="s">
        <v>213</v>
      </c>
      <c r="G40" s="4" t="s">
        <v>198</v>
      </c>
    </row>
    <row r="41" spans="2:7" customFormat="1"/>
    <row r="42" spans="2:7">
      <c r="C42" s="27"/>
      <c r="D42" s="27"/>
    </row>
    <row r="43" spans="2:7">
      <c r="B43" s="27" t="s">
        <v>298</v>
      </c>
      <c r="E43" s="27" t="s">
        <v>302</v>
      </c>
    </row>
    <row r="44" spans="2:7">
      <c r="B44" s="28" t="s">
        <v>4</v>
      </c>
      <c r="C44" s="28" t="s">
        <v>2</v>
      </c>
      <c r="E44" s="28" t="s">
        <v>4</v>
      </c>
      <c r="F44" s="28" t="s">
        <v>2</v>
      </c>
    </row>
    <row r="45" spans="2:7">
      <c r="B45" s="26">
        <f>1</f>
        <v>1</v>
      </c>
      <c r="C45" s="26" t="s">
        <v>184</v>
      </c>
      <c r="E45" s="26">
        <f>1</f>
        <v>1</v>
      </c>
      <c r="F45" s="29" t="s">
        <v>184</v>
      </c>
    </row>
    <row r="46" spans="2:7">
      <c r="B46" s="26">
        <f>B45+1</f>
        <v>2</v>
      </c>
      <c r="C46" s="26" t="s">
        <v>215</v>
      </c>
      <c r="E46" s="26">
        <f t="shared" ref="E46:E60" si="0">E45+1</f>
        <v>2</v>
      </c>
      <c r="F46" s="29" t="s">
        <v>269</v>
      </c>
    </row>
    <row r="47" spans="2:7">
      <c r="B47" s="26">
        <f t="shared" ref="B47:B54" si="1">B46+1</f>
        <v>3</v>
      </c>
      <c r="C47" s="26" t="s">
        <v>216</v>
      </c>
      <c r="E47" s="26">
        <f t="shared" si="0"/>
        <v>3</v>
      </c>
      <c r="F47" s="29" t="s">
        <v>270</v>
      </c>
    </row>
    <row r="48" spans="2:7">
      <c r="B48" s="26">
        <f t="shared" si="1"/>
        <v>4</v>
      </c>
      <c r="C48" s="26" t="s">
        <v>314</v>
      </c>
      <c r="E48" s="26">
        <f t="shared" si="0"/>
        <v>4</v>
      </c>
      <c r="F48" s="29" t="s">
        <v>271</v>
      </c>
    </row>
    <row r="49" spans="2:7">
      <c r="B49" s="26">
        <f t="shared" si="1"/>
        <v>5</v>
      </c>
      <c r="C49" s="26" t="s">
        <v>217</v>
      </c>
      <c r="E49" s="26">
        <f t="shared" si="0"/>
        <v>5</v>
      </c>
      <c r="F49" s="30" t="s">
        <v>316</v>
      </c>
    </row>
    <row r="50" spans="2:7">
      <c r="B50" s="26">
        <f t="shared" si="1"/>
        <v>6</v>
      </c>
      <c r="C50" s="26" t="s">
        <v>218</v>
      </c>
      <c r="E50" s="26">
        <f t="shared" si="0"/>
        <v>6</v>
      </c>
      <c r="F50" s="30" t="s">
        <v>317</v>
      </c>
    </row>
    <row r="51" spans="2:7">
      <c r="B51" s="26">
        <f t="shared" si="1"/>
        <v>7</v>
      </c>
      <c r="C51" s="26" t="s">
        <v>220</v>
      </c>
      <c r="E51" s="26">
        <f t="shared" si="0"/>
        <v>7</v>
      </c>
      <c r="F51" s="30" t="s">
        <v>318</v>
      </c>
    </row>
    <row r="52" spans="2:7">
      <c r="B52" s="26">
        <f t="shared" si="1"/>
        <v>8</v>
      </c>
      <c r="C52" s="26" t="s">
        <v>228</v>
      </c>
      <c r="E52" s="26">
        <f t="shared" si="0"/>
        <v>8</v>
      </c>
      <c r="F52" s="30" t="s">
        <v>319</v>
      </c>
    </row>
    <row r="53" spans="2:7">
      <c r="B53" s="26">
        <f t="shared" si="1"/>
        <v>9</v>
      </c>
      <c r="C53" s="26" t="s">
        <v>222</v>
      </c>
      <c r="E53" s="26">
        <f t="shared" si="0"/>
        <v>9</v>
      </c>
      <c r="F53" s="30" t="s">
        <v>300</v>
      </c>
    </row>
    <row r="54" spans="2:7">
      <c r="B54" s="26">
        <f t="shared" si="1"/>
        <v>10</v>
      </c>
      <c r="C54" s="26" t="s">
        <v>223</v>
      </c>
      <c r="E54" s="26">
        <f t="shared" si="0"/>
        <v>10</v>
      </c>
      <c r="F54" s="30" t="s">
        <v>315</v>
      </c>
    </row>
    <row r="55" spans="2:7">
      <c r="E55" s="26">
        <f t="shared" si="0"/>
        <v>11</v>
      </c>
      <c r="F55" s="30" t="s">
        <v>313</v>
      </c>
    </row>
    <row r="56" spans="2:7">
      <c r="E56" s="26">
        <f t="shared" si="0"/>
        <v>12</v>
      </c>
      <c r="F56" s="30" t="s">
        <v>301</v>
      </c>
    </row>
    <row r="57" spans="2:7">
      <c r="B57" s="27" t="s">
        <v>295</v>
      </c>
      <c r="E57" s="26">
        <f t="shared" si="0"/>
        <v>13</v>
      </c>
      <c r="F57" s="30" t="s">
        <v>284</v>
      </c>
    </row>
    <row r="58" spans="2:7">
      <c r="B58" s="28" t="s">
        <v>4</v>
      </c>
      <c r="C58" s="28" t="s">
        <v>2</v>
      </c>
      <c r="E58" s="26">
        <f t="shared" si="0"/>
        <v>14</v>
      </c>
      <c r="F58" s="30" t="s">
        <v>285</v>
      </c>
    </row>
    <row r="59" spans="2:7">
      <c r="B59" s="26">
        <f>1</f>
        <v>1</v>
      </c>
      <c r="C59" s="26" t="s">
        <v>184</v>
      </c>
      <c r="E59" s="26">
        <f t="shared" si="0"/>
        <v>15</v>
      </c>
      <c r="F59" s="30" t="s">
        <v>320</v>
      </c>
      <c r="G59" s="31"/>
    </row>
    <row r="60" spans="2:7">
      <c r="B60" s="26">
        <f>B59+1</f>
        <v>2</v>
      </c>
      <c r="C60" s="26" t="s">
        <v>200</v>
      </c>
      <c r="E60" s="26">
        <f t="shared" si="0"/>
        <v>16</v>
      </c>
      <c r="F60" s="30" t="s">
        <v>309</v>
      </c>
    </row>
    <row r="61" spans="2:7">
      <c r="B61" s="26">
        <f t="shared" ref="B61:B72" si="2">B60+1</f>
        <v>3</v>
      </c>
      <c r="C61" s="26" t="s">
        <v>23</v>
      </c>
    </row>
    <row r="62" spans="2:7">
      <c r="B62" s="26">
        <f t="shared" si="2"/>
        <v>4</v>
      </c>
      <c r="C62" s="26" t="s">
        <v>201</v>
      </c>
    </row>
    <row r="63" spans="2:7">
      <c r="B63" s="26">
        <f t="shared" si="2"/>
        <v>5</v>
      </c>
      <c r="C63" s="26" t="s">
        <v>25</v>
      </c>
    </row>
    <row r="64" spans="2:7">
      <c r="B64" s="26">
        <f t="shared" si="2"/>
        <v>6</v>
      </c>
      <c r="C64" s="26" t="s">
        <v>202</v>
      </c>
    </row>
    <row r="65" spans="2:9">
      <c r="B65" s="26">
        <f t="shared" si="2"/>
        <v>7</v>
      </c>
      <c r="C65" s="26" t="s">
        <v>203</v>
      </c>
    </row>
    <row r="66" spans="2:9">
      <c r="B66" s="26">
        <f t="shared" si="2"/>
        <v>8</v>
      </c>
      <c r="C66" s="26" t="s">
        <v>206</v>
      </c>
    </row>
    <row r="67" spans="2:9">
      <c r="B67" s="26">
        <f t="shared" si="2"/>
        <v>9</v>
      </c>
      <c r="C67" s="26" t="s">
        <v>207</v>
      </c>
      <c r="E67" s="27" t="s">
        <v>299</v>
      </c>
      <c r="H67" s="27" t="s">
        <v>297</v>
      </c>
    </row>
    <row r="68" spans="2:9">
      <c r="B68" s="26">
        <f t="shared" si="2"/>
        <v>10</v>
      </c>
      <c r="C68" s="26" t="s">
        <v>208</v>
      </c>
      <c r="E68" s="28" t="s">
        <v>4</v>
      </c>
      <c r="F68" s="28" t="s">
        <v>2</v>
      </c>
      <c r="H68" s="32" t="s">
        <v>4</v>
      </c>
      <c r="I68" s="32" t="s">
        <v>2</v>
      </c>
    </row>
    <row r="69" spans="2:9">
      <c r="B69" s="26">
        <f t="shared" si="2"/>
        <v>11</v>
      </c>
      <c r="C69" s="26" t="s">
        <v>209</v>
      </c>
      <c r="E69" s="26">
        <f>1</f>
        <v>1</v>
      </c>
      <c r="F69" s="33" t="s">
        <v>184</v>
      </c>
      <c r="H69" s="26">
        <f>1</f>
        <v>1</v>
      </c>
      <c r="I69" s="33" t="s">
        <v>184</v>
      </c>
    </row>
    <row r="70" spans="2:9">
      <c r="B70" s="26">
        <f t="shared" si="2"/>
        <v>12</v>
      </c>
      <c r="C70" s="26" t="s">
        <v>204</v>
      </c>
      <c r="E70" s="26">
        <f>E69+1</f>
        <v>2</v>
      </c>
      <c r="F70" s="33" t="s">
        <v>260</v>
      </c>
      <c r="H70" s="26">
        <f>H69+1</f>
        <v>2</v>
      </c>
      <c r="I70" s="33" t="s">
        <v>200</v>
      </c>
    </row>
    <row r="71" spans="2:9">
      <c r="B71" s="26">
        <f t="shared" si="2"/>
        <v>13</v>
      </c>
      <c r="C71" s="26" t="s">
        <v>205</v>
      </c>
      <c r="E71" s="26">
        <f t="shared" ref="E71:E78" si="3">E70+1</f>
        <v>3</v>
      </c>
      <c r="F71" s="33" t="s">
        <v>261</v>
      </c>
      <c r="H71" s="26">
        <f t="shared" ref="H71:H88" si="4">H70+1</f>
        <v>3</v>
      </c>
      <c r="I71" s="33" t="s">
        <v>23</v>
      </c>
    </row>
    <row r="72" spans="2:9">
      <c r="B72" s="26">
        <f t="shared" si="2"/>
        <v>14</v>
      </c>
      <c r="C72" s="26" t="s">
        <v>210</v>
      </c>
      <c r="E72" s="26">
        <f t="shared" si="3"/>
        <v>4</v>
      </c>
      <c r="F72" s="33" t="s">
        <v>262</v>
      </c>
      <c r="H72" s="26">
        <f t="shared" si="4"/>
        <v>4</v>
      </c>
      <c r="I72" s="33" t="s">
        <v>201</v>
      </c>
    </row>
    <row r="73" spans="2:9">
      <c r="E73" s="26">
        <f t="shared" si="3"/>
        <v>5</v>
      </c>
      <c r="F73" s="33" t="s">
        <v>7</v>
      </c>
      <c r="H73" s="26">
        <f t="shared" si="4"/>
        <v>5</v>
      </c>
      <c r="I73" s="33" t="s">
        <v>156</v>
      </c>
    </row>
    <row r="74" spans="2:9">
      <c r="B74" s="27" t="s">
        <v>296</v>
      </c>
      <c r="E74" s="26">
        <f t="shared" si="3"/>
        <v>6</v>
      </c>
      <c r="F74" s="33" t="s">
        <v>263</v>
      </c>
      <c r="H74" s="26">
        <f t="shared" si="4"/>
        <v>6</v>
      </c>
      <c r="I74" s="33" t="s">
        <v>157</v>
      </c>
    </row>
    <row r="75" spans="2:9">
      <c r="B75" s="28" t="s">
        <v>4</v>
      </c>
      <c r="C75" s="28" t="s">
        <v>2</v>
      </c>
      <c r="E75" s="26">
        <f t="shared" si="3"/>
        <v>7</v>
      </c>
      <c r="F75" s="33" t="s">
        <v>264</v>
      </c>
      <c r="H75" s="26">
        <f t="shared" si="4"/>
        <v>7</v>
      </c>
      <c r="I75" s="33" t="s">
        <v>237</v>
      </c>
    </row>
    <row r="76" spans="2:9">
      <c r="B76" s="26">
        <f>1</f>
        <v>1</v>
      </c>
      <c r="C76" s="26" t="s">
        <v>184</v>
      </c>
      <c r="E76" s="26">
        <f t="shared" si="3"/>
        <v>8</v>
      </c>
      <c r="F76" s="33" t="s">
        <v>266</v>
      </c>
      <c r="H76" s="26">
        <f t="shared" si="4"/>
        <v>8</v>
      </c>
      <c r="I76" s="33" t="s">
        <v>239</v>
      </c>
    </row>
    <row r="77" spans="2:9">
      <c r="B77" s="26">
        <f>B76+1</f>
        <v>2</v>
      </c>
      <c r="C77" s="26" t="s">
        <v>185</v>
      </c>
      <c r="E77" s="26">
        <f t="shared" si="3"/>
        <v>9</v>
      </c>
      <c r="F77" s="33" t="s">
        <v>267</v>
      </c>
      <c r="H77" s="26">
        <f t="shared" si="4"/>
        <v>9</v>
      </c>
      <c r="I77" s="33" t="s">
        <v>240</v>
      </c>
    </row>
    <row r="78" spans="2:9">
      <c r="B78" s="26">
        <f t="shared" ref="B78:B84" si="5">B77+1</f>
        <v>3</v>
      </c>
      <c r="C78" s="26" t="s">
        <v>186</v>
      </c>
      <c r="E78" s="26">
        <f t="shared" si="3"/>
        <v>10</v>
      </c>
      <c r="F78" s="33" t="s">
        <v>268</v>
      </c>
      <c r="H78" s="26">
        <f t="shared" si="4"/>
        <v>10</v>
      </c>
      <c r="I78" s="33" t="s">
        <v>312</v>
      </c>
    </row>
    <row r="79" spans="2:9">
      <c r="B79" s="26">
        <f t="shared" si="5"/>
        <v>4</v>
      </c>
      <c r="C79" s="26" t="s">
        <v>188</v>
      </c>
      <c r="H79" s="26">
        <f t="shared" si="4"/>
        <v>11</v>
      </c>
      <c r="I79" s="33" t="s">
        <v>242</v>
      </c>
    </row>
    <row r="80" spans="2:9">
      <c r="B80" s="26">
        <f t="shared" si="5"/>
        <v>5</v>
      </c>
      <c r="C80" s="26" t="s">
        <v>189</v>
      </c>
      <c r="H80" s="26">
        <f t="shared" si="4"/>
        <v>12</v>
      </c>
      <c r="I80" s="33" t="s">
        <v>243</v>
      </c>
    </row>
    <row r="81" spans="2:10">
      <c r="B81" s="26">
        <f t="shared" si="5"/>
        <v>6</v>
      </c>
      <c r="C81" s="26" t="s">
        <v>192</v>
      </c>
      <c r="H81" s="26">
        <f t="shared" si="4"/>
        <v>13</v>
      </c>
      <c r="I81" s="33" t="s">
        <v>310</v>
      </c>
      <c r="J81" s="31" t="s">
        <v>311</v>
      </c>
    </row>
    <row r="82" spans="2:10">
      <c r="B82" s="26">
        <f t="shared" si="5"/>
        <v>7</v>
      </c>
      <c r="C82" s="26" t="s">
        <v>193</v>
      </c>
      <c r="H82" s="26">
        <f t="shared" si="4"/>
        <v>14</v>
      </c>
      <c r="I82" s="33" t="s">
        <v>248</v>
      </c>
    </row>
    <row r="83" spans="2:10">
      <c r="B83" s="26">
        <f t="shared" si="5"/>
        <v>8</v>
      </c>
      <c r="C83" s="26" t="s">
        <v>195</v>
      </c>
      <c r="H83" s="26">
        <f t="shared" si="4"/>
        <v>15</v>
      </c>
      <c r="I83" s="33" t="s">
        <v>249</v>
      </c>
    </row>
    <row r="84" spans="2:10">
      <c r="B84" s="26">
        <f t="shared" si="5"/>
        <v>9</v>
      </c>
      <c r="C84" s="26" t="s">
        <v>197</v>
      </c>
      <c r="H84" s="26">
        <f t="shared" si="4"/>
        <v>16</v>
      </c>
      <c r="I84" s="33" t="s">
        <v>250</v>
      </c>
    </row>
    <row r="85" spans="2:10">
      <c r="H85" s="26">
        <f t="shared" si="4"/>
        <v>17</v>
      </c>
      <c r="I85" s="33" t="s">
        <v>252</v>
      </c>
    </row>
    <row r="86" spans="2:10">
      <c r="H86" s="26">
        <f t="shared" si="4"/>
        <v>18</v>
      </c>
      <c r="I86" s="33" t="s">
        <v>255</v>
      </c>
    </row>
    <row r="87" spans="2:10">
      <c r="H87" s="26">
        <f t="shared" si="4"/>
        <v>19</v>
      </c>
      <c r="I87" s="33" t="s">
        <v>256</v>
      </c>
    </row>
    <row r="88" spans="2:10">
      <c r="H88" s="26">
        <f t="shared" si="4"/>
        <v>20</v>
      </c>
      <c r="I88" s="33" t="s">
        <v>308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44"/>
  <sheetViews>
    <sheetView showGridLines="0" topLeftCell="A26" zoomScale="90" zoomScaleNormal="90" workbookViewId="0">
      <selection activeCell="B27" sqref="B27:C44"/>
    </sheetView>
  </sheetViews>
  <sheetFormatPr defaultRowHeight="15"/>
  <cols>
    <col min="1" max="1" width="3.28515625" customWidth="1"/>
    <col min="2" max="2" width="7.5703125" bestFit="1" customWidth="1"/>
    <col min="3" max="3" width="33" bestFit="1" customWidth="1"/>
    <col min="4" max="4" width="26.28515625" bestFit="1" customWidth="1"/>
    <col min="5" max="5" width="33" bestFit="1" customWidth="1"/>
    <col min="6" max="6" width="13.28515625" bestFit="1" customWidth="1"/>
    <col min="7" max="7" width="14.140625" bestFit="1" customWidth="1"/>
    <col min="8" max="8" width="21" bestFit="1" customWidth="1"/>
  </cols>
  <sheetData>
    <row r="1" spans="2:8" hidden="1">
      <c r="C1" s="6"/>
      <c r="D1" s="6"/>
      <c r="E1" s="6"/>
    </row>
    <row r="2" spans="2:8" hidden="1"/>
    <row r="3" spans="2:8" hidden="1">
      <c r="B3" s="5" t="s">
        <v>4</v>
      </c>
      <c r="C3" s="5" t="s">
        <v>0</v>
      </c>
      <c r="D3" s="5" t="s">
        <v>1</v>
      </c>
      <c r="E3" s="5" t="s">
        <v>2</v>
      </c>
      <c r="F3" s="5" t="s">
        <v>3</v>
      </c>
      <c r="G3" s="5" t="s">
        <v>5</v>
      </c>
      <c r="H3" s="8" t="s">
        <v>224</v>
      </c>
    </row>
    <row r="4" spans="2:8" hidden="1">
      <c r="B4" s="4">
        <v>1</v>
      </c>
      <c r="C4" s="4" t="s">
        <v>6</v>
      </c>
      <c r="D4" s="4" t="s">
        <v>6</v>
      </c>
      <c r="E4" s="4" t="s">
        <v>184</v>
      </c>
      <c r="F4" s="4" t="s">
        <v>199</v>
      </c>
      <c r="G4" s="4" t="s">
        <v>214</v>
      </c>
    </row>
    <row r="5" spans="2:8" hidden="1">
      <c r="B5" s="4">
        <v>2</v>
      </c>
      <c r="C5" s="4" t="s">
        <v>22</v>
      </c>
      <c r="D5" s="4" t="s">
        <v>22</v>
      </c>
      <c r="E5" s="4" t="s">
        <v>200</v>
      </c>
      <c r="F5" s="4" t="s">
        <v>199</v>
      </c>
      <c r="G5" s="4" t="s">
        <v>214</v>
      </c>
    </row>
    <row r="6" spans="2:8" hidden="1">
      <c r="B6" s="4">
        <v>3</v>
      </c>
      <c r="C6" s="4" t="s">
        <v>23</v>
      </c>
      <c r="D6" s="4" t="s">
        <v>23</v>
      </c>
      <c r="E6" s="4" t="s">
        <v>23</v>
      </c>
      <c r="F6" s="4" t="s">
        <v>199</v>
      </c>
      <c r="G6" s="4" t="s">
        <v>214</v>
      </c>
    </row>
    <row r="7" spans="2:8" hidden="1">
      <c r="B7" s="4">
        <v>4</v>
      </c>
      <c r="C7" s="4" t="s">
        <v>24</v>
      </c>
      <c r="E7" s="4" t="s">
        <v>201</v>
      </c>
      <c r="F7" s="4" t="s">
        <v>199</v>
      </c>
      <c r="G7" s="4" t="s">
        <v>214</v>
      </c>
    </row>
    <row r="8" spans="2:8" hidden="1">
      <c r="B8" s="4">
        <v>5</v>
      </c>
      <c r="C8" s="4" t="s">
        <v>7</v>
      </c>
      <c r="D8" s="4" t="s">
        <v>7</v>
      </c>
      <c r="E8" s="4" t="s">
        <v>7</v>
      </c>
      <c r="F8" s="4" t="s">
        <v>212</v>
      </c>
      <c r="G8" s="4" t="s">
        <v>198</v>
      </c>
      <c r="H8" s="9" t="s">
        <v>306</v>
      </c>
    </row>
    <row r="9" spans="2:8" hidden="1">
      <c r="B9" s="4">
        <v>6</v>
      </c>
      <c r="C9" s="4" t="s">
        <v>25</v>
      </c>
      <c r="D9" s="4" t="s">
        <v>25</v>
      </c>
      <c r="E9" s="4" t="s">
        <v>25</v>
      </c>
      <c r="F9" s="4" t="s">
        <v>211</v>
      </c>
      <c r="G9" s="4" t="s">
        <v>214</v>
      </c>
    </row>
    <row r="10" spans="2:8" hidden="1">
      <c r="B10" s="4">
        <v>7</v>
      </c>
      <c r="C10" s="4" t="s">
        <v>26</v>
      </c>
      <c r="D10" s="4" t="s">
        <v>26</v>
      </c>
      <c r="E10" s="4" t="s">
        <v>202</v>
      </c>
      <c r="F10" s="4" t="s">
        <v>199</v>
      </c>
      <c r="G10" s="4" t="s">
        <v>214</v>
      </c>
    </row>
    <row r="11" spans="2:8" hidden="1">
      <c r="B11" s="4">
        <v>8</v>
      </c>
      <c r="C11" s="4" t="s">
        <v>27</v>
      </c>
      <c r="D11" s="4" t="s">
        <v>27</v>
      </c>
      <c r="E11" s="4" t="s">
        <v>203</v>
      </c>
      <c r="F11" s="4" t="s">
        <v>199</v>
      </c>
      <c r="G11" s="4" t="s">
        <v>214</v>
      </c>
    </row>
    <row r="12" spans="2:8" hidden="1">
      <c r="B12" s="4">
        <v>9</v>
      </c>
      <c r="C12" s="4" t="s">
        <v>28</v>
      </c>
      <c r="D12" s="4" t="s">
        <v>28</v>
      </c>
      <c r="E12" s="4" t="s">
        <v>206</v>
      </c>
      <c r="F12" s="4" t="s">
        <v>199</v>
      </c>
      <c r="G12" s="4" t="s">
        <v>214</v>
      </c>
    </row>
    <row r="13" spans="2:8" hidden="1">
      <c r="B13" s="4">
        <v>10</v>
      </c>
      <c r="C13" s="4" t="s">
        <v>29</v>
      </c>
      <c r="D13" s="4" t="s">
        <v>29</v>
      </c>
      <c r="E13" s="4" t="s">
        <v>207</v>
      </c>
      <c r="F13" s="4" t="s">
        <v>199</v>
      </c>
      <c r="G13" s="4" t="s">
        <v>214</v>
      </c>
    </row>
    <row r="14" spans="2:8" hidden="1">
      <c r="B14" s="4">
        <v>11</v>
      </c>
      <c r="C14" s="4" t="s">
        <v>30</v>
      </c>
      <c r="D14" s="4" t="s">
        <v>30</v>
      </c>
      <c r="E14" s="4" t="s">
        <v>208</v>
      </c>
      <c r="F14" s="4" t="s">
        <v>212</v>
      </c>
      <c r="G14" s="4" t="s">
        <v>214</v>
      </c>
    </row>
    <row r="15" spans="2:8" hidden="1">
      <c r="B15" s="4">
        <v>12</v>
      </c>
      <c r="C15" s="4" t="s">
        <v>31</v>
      </c>
      <c r="D15" s="4" t="s">
        <v>31</v>
      </c>
      <c r="E15" s="4" t="s">
        <v>209</v>
      </c>
      <c r="F15" s="4" t="s">
        <v>199</v>
      </c>
      <c r="G15" s="4" t="s">
        <v>214</v>
      </c>
    </row>
    <row r="16" spans="2:8" hidden="1">
      <c r="B16" s="4">
        <v>13</v>
      </c>
      <c r="C16" s="4" t="s">
        <v>32</v>
      </c>
      <c r="D16" s="4" t="s">
        <v>32</v>
      </c>
      <c r="E16" s="4" t="s">
        <v>204</v>
      </c>
      <c r="F16" s="4" t="s">
        <v>199</v>
      </c>
      <c r="G16" s="4" t="s">
        <v>214</v>
      </c>
    </row>
    <row r="17" spans="2:7" hidden="1">
      <c r="B17" s="4">
        <v>14</v>
      </c>
      <c r="C17" s="4" t="s">
        <v>33</v>
      </c>
      <c r="D17" s="4" t="s">
        <v>33</v>
      </c>
      <c r="E17" s="4" t="s">
        <v>205</v>
      </c>
      <c r="F17" s="4" t="s">
        <v>199</v>
      </c>
      <c r="G17" s="4" t="s">
        <v>214</v>
      </c>
    </row>
    <row r="18" spans="2:7" hidden="1">
      <c r="B18" s="4">
        <v>15</v>
      </c>
      <c r="C18" s="4" t="s">
        <v>34</v>
      </c>
      <c r="D18" s="4" t="s">
        <v>34</v>
      </c>
      <c r="E18" s="4" t="s">
        <v>210</v>
      </c>
      <c r="F18" s="4" t="s">
        <v>199</v>
      </c>
      <c r="G18" s="4" t="s">
        <v>214</v>
      </c>
    </row>
    <row r="19" spans="2:7" hidden="1">
      <c r="B19" s="4"/>
      <c r="C19" s="4"/>
      <c r="D19" s="4" t="s">
        <v>45</v>
      </c>
      <c r="E19" s="4" t="s">
        <v>213</v>
      </c>
      <c r="F19" s="4" t="s">
        <v>213</v>
      </c>
      <c r="G19" s="4" t="s">
        <v>198</v>
      </c>
    </row>
    <row r="20" spans="2:7" hidden="1">
      <c r="B20" s="4"/>
      <c r="C20" s="4"/>
      <c r="D20" s="4" t="s">
        <v>21</v>
      </c>
      <c r="E20" s="4" t="s">
        <v>213</v>
      </c>
      <c r="F20" s="4" t="s">
        <v>213</v>
      </c>
      <c r="G20" s="4" t="s">
        <v>198</v>
      </c>
    </row>
    <row r="21" spans="2:7" hidden="1">
      <c r="B21" s="4"/>
      <c r="C21" s="4"/>
      <c r="D21" s="4" t="s">
        <v>40</v>
      </c>
      <c r="E21" s="4" t="s">
        <v>213</v>
      </c>
      <c r="F21" s="4" t="s">
        <v>213</v>
      </c>
      <c r="G21" s="4" t="s">
        <v>198</v>
      </c>
    </row>
    <row r="22" spans="2:7" hidden="1">
      <c r="B22" s="4"/>
      <c r="C22" s="4"/>
      <c r="D22" s="4" t="s">
        <v>41</v>
      </c>
      <c r="E22" s="4" t="s">
        <v>213</v>
      </c>
      <c r="F22" s="4" t="s">
        <v>213</v>
      </c>
      <c r="G22" s="4" t="s">
        <v>198</v>
      </c>
    </row>
    <row r="23" spans="2:7" hidden="1">
      <c r="B23" s="4"/>
      <c r="C23" s="4"/>
      <c r="D23" s="4" t="s">
        <v>42</v>
      </c>
      <c r="E23" s="4" t="s">
        <v>213</v>
      </c>
      <c r="F23" s="4" t="s">
        <v>213</v>
      </c>
      <c r="G23" s="4" t="s">
        <v>198</v>
      </c>
    </row>
    <row r="24" spans="2:7" hidden="1">
      <c r="B24" s="4"/>
      <c r="C24" s="4"/>
      <c r="D24" s="4" t="s">
        <v>43</v>
      </c>
      <c r="E24" s="4" t="s">
        <v>213</v>
      </c>
      <c r="F24" s="4" t="s">
        <v>213</v>
      </c>
      <c r="G24" s="4" t="s">
        <v>198</v>
      </c>
    </row>
    <row r="25" spans="2:7" hidden="1">
      <c r="B25" s="4"/>
      <c r="C25" s="4"/>
      <c r="D25" s="4" t="s">
        <v>44</v>
      </c>
      <c r="E25" s="4" t="s">
        <v>213</v>
      </c>
      <c r="F25" s="4" t="s">
        <v>213</v>
      </c>
      <c r="G25" s="4" t="s">
        <v>198</v>
      </c>
    </row>
    <row r="27" spans="2:7">
      <c r="C27" s="6" t="s">
        <v>295</v>
      </c>
      <c r="D27" s="6"/>
    </row>
    <row r="29" spans="2:7">
      <c r="B29" s="25" t="s">
        <v>294</v>
      </c>
      <c r="C29" s="25"/>
    </row>
    <row r="30" spans="2:7">
      <c r="B30" s="5" t="s">
        <v>4</v>
      </c>
      <c r="C30" s="5" t="s">
        <v>2</v>
      </c>
    </row>
    <row r="31" spans="2:7">
      <c r="B31" s="4">
        <f>1</f>
        <v>1</v>
      </c>
      <c r="C31" s="4" t="s">
        <v>184</v>
      </c>
    </row>
    <row r="32" spans="2:7">
      <c r="B32" s="4">
        <f>B31+1</f>
        <v>2</v>
      </c>
      <c r="C32" s="4" t="s">
        <v>200</v>
      </c>
    </row>
    <row r="33" spans="2:3">
      <c r="B33" s="4">
        <f t="shared" ref="B33:B44" si="0">B32+1</f>
        <v>3</v>
      </c>
      <c r="C33" s="4" t="s">
        <v>23</v>
      </c>
    </row>
    <row r="34" spans="2:3">
      <c r="B34" s="4">
        <f t="shared" si="0"/>
        <v>4</v>
      </c>
      <c r="C34" s="4" t="s">
        <v>201</v>
      </c>
    </row>
    <row r="35" spans="2:3">
      <c r="B35" s="4">
        <f t="shared" si="0"/>
        <v>5</v>
      </c>
      <c r="C35" s="4" t="s">
        <v>25</v>
      </c>
    </row>
    <row r="36" spans="2:3">
      <c r="B36" s="4">
        <f t="shared" si="0"/>
        <v>6</v>
      </c>
      <c r="C36" s="4" t="s">
        <v>202</v>
      </c>
    </row>
    <row r="37" spans="2:3">
      <c r="B37" s="4">
        <f t="shared" si="0"/>
        <v>7</v>
      </c>
      <c r="C37" s="4" t="s">
        <v>203</v>
      </c>
    </row>
    <row r="38" spans="2:3">
      <c r="B38" s="4">
        <f t="shared" si="0"/>
        <v>8</v>
      </c>
      <c r="C38" s="4" t="s">
        <v>206</v>
      </c>
    </row>
    <row r="39" spans="2:3">
      <c r="B39" s="4">
        <f t="shared" si="0"/>
        <v>9</v>
      </c>
      <c r="C39" s="4" t="s">
        <v>207</v>
      </c>
    </row>
    <row r="40" spans="2:3">
      <c r="B40" s="4">
        <f t="shared" si="0"/>
        <v>10</v>
      </c>
      <c r="C40" s="4" t="s">
        <v>208</v>
      </c>
    </row>
    <row r="41" spans="2:3">
      <c r="B41" s="4">
        <f t="shared" si="0"/>
        <v>11</v>
      </c>
      <c r="C41" s="4" t="s">
        <v>209</v>
      </c>
    </row>
    <row r="42" spans="2:3">
      <c r="B42" s="4">
        <f t="shared" si="0"/>
        <v>12</v>
      </c>
      <c r="C42" s="4" t="s">
        <v>204</v>
      </c>
    </row>
    <row r="43" spans="2:3">
      <c r="B43" s="4">
        <f t="shared" si="0"/>
        <v>13</v>
      </c>
      <c r="C43" s="4" t="s">
        <v>205</v>
      </c>
    </row>
    <row r="44" spans="2:3">
      <c r="B44" s="4">
        <f t="shared" si="0"/>
        <v>14</v>
      </c>
      <c r="C44" s="4" t="s">
        <v>210</v>
      </c>
    </row>
  </sheetData>
  <mergeCells count="1">
    <mergeCell ref="B29:C2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42"/>
  <sheetViews>
    <sheetView showGridLines="0" topLeftCell="A26" zoomScale="90" zoomScaleNormal="90" workbookViewId="0">
      <selection activeCell="B27" sqref="B27:C42"/>
    </sheetView>
  </sheetViews>
  <sheetFormatPr defaultRowHeight="15"/>
  <cols>
    <col min="1" max="1" width="2" customWidth="1"/>
    <col min="2" max="2" width="7.5703125" bestFit="1" customWidth="1"/>
    <col min="3" max="3" width="25.28515625" bestFit="1" customWidth="1"/>
    <col min="4" max="4" width="24" bestFit="1" customWidth="1"/>
    <col min="5" max="5" width="25.140625" bestFit="1" customWidth="1"/>
    <col min="6" max="6" width="13.28515625" bestFit="1" customWidth="1"/>
    <col min="7" max="7" width="18.28515625" bestFit="1" customWidth="1"/>
    <col min="8" max="8" width="75" bestFit="1" customWidth="1"/>
  </cols>
  <sheetData>
    <row r="1" spans="2:8" hidden="1">
      <c r="C1" s="6"/>
      <c r="D1" s="6"/>
      <c r="E1" s="6"/>
    </row>
    <row r="2" spans="2:8" hidden="1"/>
    <row r="3" spans="2:8" hidden="1">
      <c r="B3" s="5" t="s">
        <v>4</v>
      </c>
      <c r="C3" s="7" t="s">
        <v>0</v>
      </c>
      <c r="D3" s="5" t="s">
        <v>1</v>
      </c>
      <c r="E3" s="5" t="s">
        <v>2</v>
      </c>
      <c r="F3" s="5" t="s">
        <v>3</v>
      </c>
      <c r="G3" s="5" t="s">
        <v>5</v>
      </c>
      <c r="H3" s="8" t="s">
        <v>224</v>
      </c>
    </row>
    <row r="4" spans="2:8" hidden="1">
      <c r="B4" s="4">
        <v>1</v>
      </c>
      <c r="C4" s="4" t="s">
        <v>6</v>
      </c>
      <c r="D4" s="4" t="s">
        <v>6</v>
      </c>
      <c r="E4" s="4" t="s">
        <v>184</v>
      </c>
      <c r="F4" s="4" t="s">
        <v>199</v>
      </c>
      <c r="G4" s="4" t="s">
        <v>214</v>
      </c>
      <c r="H4" s="4"/>
    </row>
    <row r="5" spans="2:8" hidden="1">
      <c r="B5" s="4">
        <v>2</v>
      </c>
      <c r="C5" s="4" t="s">
        <v>7</v>
      </c>
      <c r="D5" s="4" t="s">
        <v>7</v>
      </c>
      <c r="E5" s="4" t="s">
        <v>7</v>
      </c>
      <c r="F5" s="4" t="s">
        <v>212</v>
      </c>
      <c r="G5" s="4" t="s">
        <v>198</v>
      </c>
      <c r="H5" s="9" t="s">
        <v>305</v>
      </c>
    </row>
    <row r="6" spans="2:8" hidden="1">
      <c r="B6" s="4">
        <v>3</v>
      </c>
      <c r="C6" s="4" t="s">
        <v>8</v>
      </c>
      <c r="D6" s="4" t="s">
        <v>8</v>
      </c>
      <c r="E6" s="4" t="s">
        <v>185</v>
      </c>
      <c r="F6" s="4" t="s">
        <v>199</v>
      </c>
      <c r="G6" s="4" t="s">
        <v>214</v>
      </c>
      <c r="H6" s="4"/>
    </row>
    <row r="7" spans="2:8" hidden="1">
      <c r="B7" s="4">
        <v>4</v>
      </c>
      <c r="C7" s="4" t="s">
        <v>9</v>
      </c>
      <c r="D7" s="4" t="s">
        <v>9</v>
      </c>
      <c r="E7" s="4" t="s">
        <v>186</v>
      </c>
      <c r="F7" s="4" t="s">
        <v>199</v>
      </c>
      <c r="G7" s="4" t="s">
        <v>214</v>
      </c>
      <c r="H7" s="4"/>
    </row>
    <row r="8" spans="2:8" hidden="1">
      <c r="B8" s="4">
        <v>5</v>
      </c>
      <c r="C8" s="4" t="s">
        <v>10</v>
      </c>
      <c r="D8" s="4" t="s">
        <v>10</v>
      </c>
      <c r="E8" s="4" t="s">
        <v>187</v>
      </c>
      <c r="F8" s="4" t="s">
        <v>199</v>
      </c>
      <c r="G8" s="4" t="s">
        <v>198</v>
      </c>
      <c r="H8" s="9" t="s">
        <v>226</v>
      </c>
    </row>
    <row r="9" spans="2:8" hidden="1">
      <c r="B9" s="4">
        <v>6</v>
      </c>
      <c r="C9" s="4" t="s">
        <v>11</v>
      </c>
      <c r="D9" s="4" t="s">
        <v>11</v>
      </c>
      <c r="E9" s="4" t="s">
        <v>188</v>
      </c>
      <c r="F9" s="4" t="s">
        <v>212</v>
      </c>
      <c r="G9" s="4" t="s">
        <v>214</v>
      </c>
      <c r="H9" s="4"/>
    </row>
    <row r="10" spans="2:8" hidden="1">
      <c r="B10" s="4">
        <v>7</v>
      </c>
      <c r="C10" s="4" t="s">
        <v>12</v>
      </c>
      <c r="D10" s="4" t="s">
        <v>12</v>
      </c>
      <c r="E10" s="4" t="s">
        <v>189</v>
      </c>
      <c r="F10" s="4" t="s">
        <v>212</v>
      </c>
      <c r="G10" s="4" t="s">
        <v>214</v>
      </c>
      <c r="H10" s="4"/>
    </row>
    <row r="11" spans="2:8" hidden="1">
      <c r="B11" s="4">
        <v>8</v>
      </c>
      <c r="C11" s="4" t="s">
        <v>13</v>
      </c>
      <c r="D11" s="4" t="s">
        <v>13</v>
      </c>
      <c r="E11" s="4" t="s">
        <v>190</v>
      </c>
      <c r="F11" s="4" t="s">
        <v>199</v>
      </c>
      <c r="G11" s="4" t="s">
        <v>214</v>
      </c>
      <c r="H11" s="4"/>
    </row>
    <row r="12" spans="2:8" hidden="1">
      <c r="B12" s="4">
        <v>9</v>
      </c>
      <c r="C12" s="4" t="s">
        <v>14</v>
      </c>
      <c r="D12" s="4" t="s">
        <v>14</v>
      </c>
      <c r="E12" s="4" t="s">
        <v>191</v>
      </c>
      <c r="F12" s="4" t="s">
        <v>199</v>
      </c>
      <c r="G12" s="4" t="s">
        <v>214</v>
      </c>
      <c r="H12" s="4"/>
    </row>
    <row r="13" spans="2:8" hidden="1">
      <c r="B13" s="4">
        <v>10</v>
      </c>
      <c r="C13" s="4" t="s">
        <v>15</v>
      </c>
      <c r="D13" s="4" t="s">
        <v>15</v>
      </c>
      <c r="E13" s="4" t="s">
        <v>192</v>
      </c>
      <c r="F13" s="4" t="s">
        <v>199</v>
      </c>
      <c r="G13" s="4" t="s">
        <v>214</v>
      </c>
      <c r="H13" s="4"/>
    </row>
    <row r="14" spans="2:8" hidden="1">
      <c r="B14" s="4">
        <v>11</v>
      </c>
      <c r="C14" s="4" t="s">
        <v>16</v>
      </c>
      <c r="D14" s="4" t="s">
        <v>16</v>
      </c>
      <c r="E14" s="4" t="s">
        <v>193</v>
      </c>
      <c r="F14" s="4" t="s">
        <v>211</v>
      </c>
      <c r="G14" s="4" t="s">
        <v>214</v>
      </c>
      <c r="H14" s="4"/>
    </row>
    <row r="15" spans="2:8" hidden="1">
      <c r="B15" s="4">
        <v>12</v>
      </c>
      <c r="C15" s="4" t="s">
        <v>17</v>
      </c>
      <c r="D15" s="4" t="s">
        <v>17</v>
      </c>
      <c r="E15" s="4" t="s">
        <v>194</v>
      </c>
      <c r="F15" s="4" t="s">
        <v>199</v>
      </c>
      <c r="G15" s="4" t="s">
        <v>198</v>
      </c>
      <c r="H15" s="9" t="s">
        <v>225</v>
      </c>
    </row>
    <row r="16" spans="2:8" hidden="1">
      <c r="B16" s="4">
        <v>13</v>
      </c>
      <c r="C16" s="4" t="s">
        <v>18</v>
      </c>
      <c r="D16" s="4" t="s">
        <v>18</v>
      </c>
      <c r="E16" s="4" t="s">
        <v>195</v>
      </c>
      <c r="F16" s="4" t="s">
        <v>199</v>
      </c>
      <c r="G16" s="4" t="s">
        <v>214</v>
      </c>
      <c r="H16" s="4"/>
    </row>
    <row r="17" spans="2:8" hidden="1">
      <c r="B17" s="4">
        <v>14</v>
      </c>
      <c r="C17" s="4" t="s">
        <v>19</v>
      </c>
      <c r="D17" s="4" t="s">
        <v>19</v>
      </c>
      <c r="E17" s="4" t="s">
        <v>196</v>
      </c>
      <c r="F17" s="4" t="s">
        <v>212</v>
      </c>
      <c r="G17" s="4" t="s">
        <v>214</v>
      </c>
      <c r="H17" s="4"/>
    </row>
    <row r="18" spans="2:8" hidden="1">
      <c r="B18" s="4">
        <v>15</v>
      </c>
      <c r="C18" s="4" t="s">
        <v>20</v>
      </c>
      <c r="D18" s="4" t="s">
        <v>20</v>
      </c>
      <c r="E18" s="4" t="s">
        <v>197</v>
      </c>
      <c r="F18" s="4" t="s">
        <v>199</v>
      </c>
      <c r="G18" s="4" t="s">
        <v>214</v>
      </c>
      <c r="H18" s="4"/>
    </row>
    <row r="19" spans="2:8" hidden="1">
      <c r="B19" s="4"/>
      <c r="C19" s="4"/>
      <c r="D19" s="4" t="s">
        <v>35</v>
      </c>
      <c r="E19" s="4" t="s">
        <v>213</v>
      </c>
      <c r="F19" s="4" t="s">
        <v>213</v>
      </c>
      <c r="G19" s="4" t="s">
        <v>198</v>
      </c>
      <c r="H19" s="9" t="s">
        <v>227</v>
      </c>
    </row>
    <row r="20" spans="2:8" hidden="1">
      <c r="B20" s="4"/>
      <c r="C20" s="4"/>
      <c r="D20" s="4" t="s">
        <v>36</v>
      </c>
      <c r="E20" s="4" t="s">
        <v>213</v>
      </c>
      <c r="F20" s="4" t="s">
        <v>213</v>
      </c>
      <c r="G20" s="4" t="s">
        <v>198</v>
      </c>
      <c r="H20" s="9" t="s">
        <v>227</v>
      </c>
    </row>
    <row r="21" spans="2:8" hidden="1">
      <c r="B21" s="4"/>
      <c r="C21" s="4"/>
      <c r="D21" s="4" t="s">
        <v>37</v>
      </c>
      <c r="E21" s="4" t="s">
        <v>213</v>
      </c>
      <c r="F21" s="4" t="s">
        <v>213</v>
      </c>
      <c r="G21" s="4" t="s">
        <v>198</v>
      </c>
      <c r="H21" s="9" t="s">
        <v>227</v>
      </c>
    </row>
    <row r="22" spans="2:8" hidden="1">
      <c r="B22" s="4"/>
      <c r="C22" s="4"/>
      <c r="D22" s="4" t="s">
        <v>38</v>
      </c>
      <c r="E22" s="4" t="s">
        <v>213</v>
      </c>
      <c r="F22" s="4" t="s">
        <v>213</v>
      </c>
      <c r="G22" s="4" t="s">
        <v>198</v>
      </c>
      <c r="H22" s="9" t="s">
        <v>227</v>
      </c>
    </row>
    <row r="23" spans="2:8" hidden="1">
      <c r="B23" s="4"/>
      <c r="C23" s="4"/>
      <c r="D23" s="4" t="s">
        <v>39</v>
      </c>
      <c r="E23" s="4" t="s">
        <v>213</v>
      </c>
      <c r="F23" s="4" t="s">
        <v>213</v>
      </c>
      <c r="G23" s="4" t="s">
        <v>198</v>
      </c>
      <c r="H23" s="9" t="s">
        <v>227</v>
      </c>
    </row>
    <row r="24" spans="2:8" hidden="1">
      <c r="B24" s="4"/>
      <c r="C24" s="4"/>
      <c r="D24" s="4" t="s">
        <v>21</v>
      </c>
      <c r="E24" s="4" t="s">
        <v>213</v>
      </c>
      <c r="F24" s="4" t="s">
        <v>213</v>
      </c>
      <c r="G24" s="4" t="s">
        <v>198</v>
      </c>
      <c r="H24" s="9" t="s">
        <v>227</v>
      </c>
    </row>
    <row r="25" spans="2:8" hidden="1">
      <c r="B25" s="4"/>
      <c r="C25" s="4"/>
      <c r="D25" s="4" t="s">
        <v>22</v>
      </c>
      <c r="E25" s="4" t="s">
        <v>213</v>
      </c>
      <c r="F25" s="4" t="s">
        <v>213</v>
      </c>
      <c r="G25" s="4" t="s">
        <v>198</v>
      </c>
      <c r="H25" s="9" t="s">
        <v>227</v>
      </c>
    </row>
    <row r="27" spans="2:8">
      <c r="C27" s="6" t="s">
        <v>296</v>
      </c>
      <c r="D27" s="6"/>
    </row>
    <row r="29" spans="2:8">
      <c r="B29" s="25" t="s">
        <v>294</v>
      </c>
      <c r="C29" s="25"/>
    </row>
    <row r="30" spans="2:8">
      <c r="B30" s="5" t="s">
        <v>4</v>
      </c>
      <c r="C30" s="5" t="s">
        <v>2</v>
      </c>
    </row>
    <row r="31" spans="2:8">
      <c r="B31" s="4">
        <f>1</f>
        <v>1</v>
      </c>
      <c r="C31" s="4" t="s">
        <v>184</v>
      </c>
    </row>
    <row r="32" spans="2:8">
      <c r="B32" s="4">
        <f>B31+1</f>
        <v>2</v>
      </c>
      <c r="C32" s="4" t="s">
        <v>185</v>
      </c>
    </row>
    <row r="33" spans="2:3">
      <c r="B33" s="4">
        <f t="shared" ref="B33:B42" si="0">B32+1</f>
        <v>3</v>
      </c>
      <c r="C33" s="4" t="s">
        <v>186</v>
      </c>
    </row>
    <row r="34" spans="2:3">
      <c r="B34" s="4">
        <f t="shared" si="0"/>
        <v>4</v>
      </c>
      <c r="C34" s="4" t="s">
        <v>188</v>
      </c>
    </row>
    <row r="35" spans="2:3">
      <c r="B35" s="4">
        <f t="shared" si="0"/>
        <v>5</v>
      </c>
      <c r="C35" s="4" t="s">
        <v>189</v>
      </c>
    </row>
    <row r="36" spans="2:3">
      <c r="B36" s="4">
        <f t="shared" si="0"/>
        <v>6</v>
      </c>
      <c r="C36" s="4" t="s">
        <v>190</v>
      </c>
    </row>
    <row r="37" spans="2:3">
      <c r="B37" s="4">
        <f t="shared" si="0"/>
        <v>7</v>
      </c>
      <c r="C37" s="4" t="s">
        <v>191</v>
      </c>
    </row>
    <row r="38" spans="2:3">
      <c r="B38" s="4">
        <f t="shared" si="0"/>
        <v>8</v>
      </c>
      <c r="C38" s="4" t="s">
        <v>192</v>
      </c>
    </row>
    <row r="39" spans="2:3">
      <c r="B39" s="4">
        <f t="shared" si="0"/>
        <v>9</v>
      </c>
      <c r="C39" s="4" t="s">
        <v>193</v>
      </c>
    </row>
    <row r="40" spans="2:3">
      <c r="B40" s="4">
        <f t="shared" si="0"/>
        <v>10</v>
      </c>
      <c r="C40" s="4" t="s">
        <v>195</v>
      </c>
    </row>
    <row r="41" spans="2:3">
      <c r="B41" s="4">
        <f t="shared" si="0"/>
        <v>11</v>
      </c>
      <c r="C41" s="4" t="s">
        <v>196</v>
      </c>
    </row>
    <row r="42" spans="2:3">
      <c r="B42" s="4">
        <f t="shared" si="0"/>
        <v>12</v>
      </c>
      <c r="C42" s="4" t="s">
        <v>197</v>
      </c>
    </row>
  </sheetData>
  <mergeCells count="1">
    <mergeCell ref="B29:C2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R64"/>
  <sheetViews>
    <sheetView showGridLines="0" topLeftCell="A39" zoomScale="90" zoomScaleNormal="90" workbookViewId="0">
      <selection activeCell="B41" sqref="B41:C64"/>
    </sheetView>
  </sheetViews>
  <sheetFormatPr defaultRowHeight="15"/>
  <cols>
    <col min="2" max="2" width="7.5703125" bestFit="1" customWidth="1"/>
    <col min="3" max="3" width="27.28515625" bestFit="1" customWidth="1"/>
    <col min="4" max="4" width="27.28515625" customWidth="1"/>
    <col min="5" max="5" width="28.42578125" bestFit="1" customWidth="1"/>
    <col min="6" max="6" width="14.140625" bestFit="1" customWidth="1"/>
    <col min="7" max="7" width="16" bestFit="1" customWidth="1"/>
    <col min="8" max="8" width="13.28515625" bestFit="1" customWidth="1"/>
    <col min="9" max="9" width="19.28515625" bestFit="1" customWidth="1"/>
  </cols>
  <sheetData>
    <row r="1" spans="2:18" hidden="1">
      <c r="C1" s="6"/>
      <c r="D1" s="1"/>
      <c r="E1" s="6"/>
    </row>
    <row r="2" spans="2:18" hidden="1"/>
    <row r="3" spans="2:18" ht="17.25" hidden="1" customHeight="1">
      <c r="B3" s="3" t="s">
        <v>4</v>
      </c>
      <c r="C3" s="3" t="s">
        <v>0</v>
      </c>
      <c r="D3" s="3" t="s">
        <v>154</v>
      </c>
      <c r="E3" s="3" t="s">
        <v>2</v>
      </c>
      <c r="F3" s="3" t="s">
        <v>5</v>
      </c>
      <c r="G3" s="3" t="s">
        <v>229</v>
      </c>
      <c r="H3" s="3" t="s">
        <v>3</v>
      </c>
      <c r="I3" s="8" t="s">
        <v>224</v>
      </c>
      <c r="Q3" t="s">
        <v>230</v>
      </c>
      <c r="R3" s="10" t="s">
        <v>231</v>
      </c>
    </row>
    <row r="4" spans="2:18" hidden="1">
      <c r="B4" s="2">
        <v>1</v>
      </c>
      <c r="C4" s="2" t="s">
        <v>6</v>
      </c>
      <c r="D4" s="2" t="s">
        <v>6</v>
      </c>
      <c r="E4" s="2" t="s">
        <v>184</v>
      </c>
      <c r="F4" s="11" t="s">
        <v>214</v>
      </c>
      <c r="G4" s="2"/>
      <c r="H4" s="2" t="s">
        <v>232</v>
      </c>
      <c r="I4" s="2"/>
    </row>
    <row r="5" spans="2:18" hidden="1">
      <c r="B5" s="2">
        <v>2</v>
      </c>
      <c r="C5" s="2" t="s">
        <v>22</v>
      </c>
      <c r="D5" s="2" t="s">
        <v>22</v>
      </c>
      <c r="E5" s="2" t="s">
        <v>200</v>
      </c>
      <c r="F5" s="11" t="s">
        <v>214</v>
      </c>
      <c r="G5" s="2"/>
      <c r="H5" s="2" t="s">
        <v>232</v>
      </c>
      <c r="I5" s="2"/>
      <c r="Q5" t="s">
        <v>233</v>
      </c>
      <c r="R5" t="s">
        <v>234</v>
      </c>
    </row>
    <row r="6" spans="2:18" hidden="1">
      <c r="B6" s="2">
        <v>3</v>
      </c>
      <c r="C6" s="2" t="s">
        <v>23</v>
      </c>
      <c r="D6" s="2" t="s">
        <v>23</v>
      </c>
      <c r="E6" s="2" t="s">
        <v>23</v>
      </c>
      <c r="F6" s="11" t="s">
        <v>214</v>
      </c>
      <c r="G6" s="2"/>
      <c r="H6" s="2" t="s">
        <v>232</v>
      </c>
      <c r="I6" s="2"/>
    </row>
    <row r="7" spans="2:18" hidden="1">
      <c r="B7" s="2">
        <v>4</v>
      </c>
      <c r="C7" s="2" t="s">
        <v>24</v>
      </c>
      <c r="D7" s="2"/>
      <c r="E7" s="2" t="s">
        <v>201</v>
      </c>
      <c r="F7" s="11" t="s">
        <v>214</v>
      </c>
      <c r="G7" s="12" t="s">
        <v>235</v>
      </c>
      <c r="H7" s="2" t="s">
        <v>232</v>
      </c>
      <c r="I7" s="2"/>
    </row>
    <row r="8" spans="2:18" hidden="1">
      <c r="B8" s="2">
        <v>5</v>
      </c>
      <c r="C8" s="2" t="s">
        <v>155</v>
      </c>
      <c r="D8" s="2" t="s">
        <v>155</v>
      </c>
      <c r="E8" s="2" t="s">
        <v>236</v>
      </c>
      <c r="F8" s="11" t="s">
        <v>214</v>
      </c>
      <c r="G8" s="2"/>
      <c r="H8" s="2" t="s">
        <v>232</v>
      </c>
      <c r="I8" s="2"/>
    </row>
    <row r="9" spans="2:18" hidden="1">
      <c r="B9" s="2">
        <v>7</v>
      </c>
      <c r="C9" s="2" t="s">
        <v>156</v>
      </c>
      <c r="D9" s="2" t="s">
        <v>156</v>
      </c>
      <c r="E9" s="2" t="s">
        <v>156</v>
      </c>
      <c r="F9" s="11" t="s">
        <v>214</v>
      </c>
      <c r="G9" s="2"/>
      <c r="H9" s="2" t="s">
        <v>212</v>
      </c>
      <c r="I9" s="2"/>
    </row>
    <row r="10" spans="2:18" hidden="1">
      <c r="B10" s="2">
        <v>8</v>
      </c>
      <c r="C10" s="2" t="s">
        <v>157</v>
      </c>
      <c r="D10" s="2" t="s">
        <v>157</v>
      </c>
      <c r="E10" s="2" t="s">
        <v>157</v>
      </c>
      <c r="F10" s="11" t="s">
        <v>214</v>
      </c>
      <c r="G10" s="2"/>
      <c r="H10" s="2" t="s">
        <v>212</v>
      </c>
      <c r="I10" s="2"/>
    </row>
    <row r="11" spans="2:18" hidden="1">
      <c r="B11" s="2">
        <v>9</v>
      </c>
      <c r="C11" s="2" t="s">
        <v>158</v>
      </c>
      <c r="D11" s="2" t="s">
        <v>158</v>
      </c>
      <c r="E11" s="2" t="s">
        <v>237</v>
      </c>
      <c r="F11" s="11" t="s">
        <v>214</v>
      </c>
      <c r="G11" s="2"/>
      <c r="H11" s="2" t="s">
        <v>230</v>
      </c>
      <c r="I11" s="2"/>
    </row>
    <row r="12" spans="2:18" hidden="1">
      <c r="B12" s="2">
        <v>10</v>
      </c>
      <c r="C12" s="2" t="s">
        <v>159</v>
      </c>
      <c r="D12" s="2" t="s">
        <v>159</v>
      </c>
      <c r="E12" s="2" t="s">
        <v>238</v>
      </c>
      <c r="F12" s="11" t="s">
        <v>198</v>
      </c>
      <c r="G12" s="2"/>
      <c r="H12" s="2" t="s">
        <v>230</v>
      </c>
      <c r="I12" s="2"/>
    </row>
    <row r="13" spans="2:18" hidden="1">
      <c r="B13" s="2">
        <v>11</v>
      </c>
      <c r="C13" s="2" t="s">
        <v>161</v>
      </c>
      <c r="D13" s="2"/>
      <c r="E13" s="2" t="s">
        <v>239</v>
      </c>
      <c r="F13" s="11" t="s">
        <v>214</v>
      </c>
      <c r="G13" s="12" t="s">
        <v>235</v>
      </c>
      <c r="H13" s="2" t="s">
        <v>230</v>
      </c>
      <c r="I13" s="2"/>
    </row>
    <row r="14" spans="2:18" hidden="1">
      <c r="B14" s="2">
        <v>12</v>
      </c>
      <c r="C14" s="2" t="s">
        <v>163</v>
      </c>
      <c r="D14" s="2"/>
      <c r="E14" s="2" t="s">
        <v>240</v>
      </c>
      <c r="F14" s="11" t="s">
        <v>214</v>
      </c>
      <c r="G14" s="12" t="s">
        <v>235</v>
      </c>
      <c r="H14" s="2" t="s">
        <v>230</v>
      </c>
      <c r="I14" s="2"/>
    </row>
    <row r="15" spans="2:18" hidden="1">
      <c r="B15" s="2">
        <v>13</v>
      </c>
      <c r="C15" s="2" t="s">
        <v>160</v>
      </c>
      <c r="D15" s="2" t="s">
        <v>160</v>
      </c>
      <c r="E15" s="2" t="s">
        <v>241</v>
      </c>
      <c r="F15" s="11" t="s">
        <v>214</v>
      </c>
      <c r="G15" s="2"/>
      <c r="H15" s="2" t="s">
        <v>212</v>
      </c>
      <c r="I15" s="2"/>
    </row>
    <row r="16" spans="2:18" hidden="1">
      <c r="B16" s="2">
        <v>14</v>
      </c>
      <c r="C16" s="2" t="s">
        <v>162</v>
      </c>
      <c r="D16" s="2" t="s">
        <v>162</v>
      </c>
      <c r="E16" s="2" t="s">
        <v>242</v>
      </c>
      <c r="F16" s="11" t="s">
        <v>214</v>
      </c>
      <c r="G16" s="2"/>
      <c r="H16" s="2" t="s">
        <v>230</v>
      </c>
      <c r="I16" s="2"/>
    </row>
    <row r="17" spans="2:9" hidden="1">
      <c r="B17" s="2">
        <v>15</v>
      </c>
      <c r="C17" s="2" t="s">
        <v>167</v>
      </c>
      <c r="D17" s="2" t="s">
        <v>164</v>
      </c>
      <c r="E17" s="2" t="s">
        <v>243</v>
      </c>
      <c r="F17" s="11" t="s">
        <v>214</v>
      </c>
      <c r="G17" s="2"/>
      <c r="H17" s="2" t="s">
        <v>230</v>
      </c>
      <c r="I17" s="2"/>
    </row>
    <row r="18" spans="2:9" hidden="1">
      <c r="B18" s="2">
        <v>16</v>
      </c>
      <c r="C18" s="2" t="s">
        <v>166</v>
      </c>
      <c r="D18" s="2" t="s">
        <v>166</v>
      </c>
      <c r="E18" s="2" t="s">
        <v>244</v>
      </c>
      <c r="F18" s="11" t="s">
        <v>198</v>
      </c>
      <c r="G18" s="2"/>
      <c r="H18" s="2" t="s">
        <v>232</v>
      </c>
      <c r="I18" s="2"/>
    </row>
    <row r="19" spans="2:9" hidden="1">
      <c r="B19" s="2">
        <v>17</v>
      </c>
      <c r="C19" s="2" t="s">
        <v>168</v>
      </c>
      <c r="D19" s="2" t="s">
        <v>168</v>
      </c>
      <c r="E19" s="2" t="s">
        <v>245</v>
      </c>
      <c r="F19" s="11" t="s">
        <v>198</v>
      </c>
      <c r="G19" s="2"/>
      <c r="H19" s="2" t="s">
        <v>230</v>
      </c>
      <c r="I19" s="2"/>
    </row>
    <row r="20" spans="2:9" hidden="1">
      <c r="B20" s="2">
        <v>18</v>
      </c>
      <c r="C20" s="2" t="s">
        <v>169</v>
      </c>
      <c r="D20" s="2" t="s">
        <v>169</v>
      </c>
      <c r="E20" s="2" t="s">
        <v>169</v>
      </c>
      <c r="F20" s="11" t="s">
        <v>198</v>
      </c>
      <c r="G20" s="2"/>
      <c r="H20" s="2" t="s">
        <v>230</v>
      </c>
      <c r="I20" s="2"/>
    </row>
    <row r="21" spans="2:9" hidden="1">
      <c r="B21" s="2">
        <v>19</v>
      </c>
      <c r="C21" s="2" t="s">
        <v>170</v>
      </c>
      <c r="D21" s="2" t="s">
        <v>170</v>
      </c>
      <c r="E21" s="2" t="s">
        <v>246</v>
      </c>
      <c r="F21" s="11" t="s">
        <v>198</v>
      </c>
      <c r="G21" s="2"/>
      <c r="H21" s="2" t="s">
        <v>230</v>
      </c>
      <c r="I21" s="2"/>
    </row>
    <row r="22" spans="2:9" hidden="1">
      <c r="B22" s="2">
        <v>20</v>
      </c>
      <c r="C22" s="2" t="s">
        <v>171</v>
      </c>
      <c r="D22" s="2" t="s">
        <v>171</v>
      </c>
      <c r="E22" s="2" t="s">
        <v>247</v>
      </c>
      <c r="F22" s="11" t="s">
        <v>214</v>
      </c>
      <c r="G22" s="2"/>
      <c r="H22" s="2" t="s">
        <v>230</v>
      </c>
      <c r="I22" s="2"/>
    </row>
    <row r="23" spans="2:9" hidden="1">
      <c r="B23" s="2">
        <v>21</v>
      </c>
      <c r="C23" s="2" t="s">
        <v>172</v>
      </c>
      <c r="D23" s="2" t="s">
        <v>172</v>
      </c>
      <c r="E23" s="2" t="s">
        <v>248</v>
      </c>
      <c r="F23" s="11" t="s">
        <v>214</v>
      </c>
      <c r="G23" s="2"/>
      <c r="H23" s="2" t="s">
        <v>232</v>
      </c>
      <c r="I23" s="2"/>
    </row>
    <row r="24" spans="2:9" hidden="1">
      <c r="B24" s="2">
        <v>22</v>
      </c>
      <c r="C24" s="2" t="s">
        <v>174</v>
      </c>
      <c r="D24" s="2" t="s">
        <v>174</v>
      </c>
      <c r="E24" s="2" t="s">
        <v>249</v>
      </c>
      <c r="F24" s="11" t="s">
        <v>214</v>
      </c>
      <c r="G24" s="2"/>
      <c r="H24" s="2" t="s">
        <v>232</v>
      </c>
      <c r="I24" s="2"/>
    </row>
    <row r="25" spans="2:9" hidden="1">
      <c r="B25" s="2">
        <v>23</v>
      </c>
      <c r="C25" s="2" t="s">
        <v>175</v>
      </c>
      <c r="D25" s="2" t="s">
        <v>175</v>
      </c>
      <c r="E25" s="2" t="s">
        <v>250</v>
      </c>
      <c r="F25" s="11" t="s">
        <v>214</v>
      </c>
      <c r="G25" s="2"/>
      <c r="H25" s="2" t="s">
        <v>232</v>
      </c>
      <c r="I25" s="2"/>
    </row>
    <row r="26" spans="2:9" hidden="1">
      <c r="B26" s="2">
        <v>24</v>
      </c>
      <c r="C26" s="2" t="s">
        <v>176</v>
      </c>
      <c r="D26" s="2" t="s">
        <v>176</v>
      </c>
      <c r="E26" s="2" t="s">
        <v>251</v>
      </c>
      <c r="F26" s="11" t="s">
        <v>198</v>
      </c>
      <c r="G26" s="2"/>
      <c r="H26" s="2" t="s">
        <v>232</v>
      </c>
      <c r="I26" s="2"/>
    </row>
    <row r="27" spans="2:9" hidden="1">
      <c r="B27" s="2">
        <v>25</v>
      </c>
      <c r="C27" s="2" t="s">
        <v>177</v>
      </c>
      <c r="D27" s="2" t="s">
        <v>177</v>
      </c>
      <c r="E27" s="2" t="s">
        <v>252</v>
      </c>
      <c r="F27" s="11" t="s">
        <v>214</v>
      </c>
      <c r="G27" s="2"/>
      <c r="H27" s="2" t="s">
        <v>232</v>
      </c>
      <c r="I27" s="2"/>
    </row>
    <row r="28" spans="2:9" hidden="1">
      <c r="B28" s="2">
        <v>26</v>
      </c>
      <c r="C28" s="2" t="s">
        <v>178</v>
      </c>
      <c r="D28" s="2" t="s">
        <v>178</v>
      </c>
      <c r="E28" s="2" t="s">
        <v>253</v>
      </c>
      <c r="F28" s="11" t="s">
        <v>198</v>
      </c>
      <c r="G28" s="2"/>
      <c r="H28" s="2" t="s">
        <v>230</v>
      </c>
      <c r="I28" s="2"/>
    </row>
    <row r="29" spans="2:9" hidden="1">
      <c r="B29" s="2">
        <v>27</v>
      </c>
      <c r="C29" s="2" t="s">
        <v>179</v>
      </c>
      <c r="D29" s="2" t="s">
        <v>179</v>
      </c>
      <c r="E29" s="2" t="s">
        <v>254</v>
      </c>
      <c r="F29" s="11" t="s">
        <v>198</v>
      </c>
      <c r="G29" s="2"/>
      <c r="H29" s="2" t="s">
        <v>230</v>
      </c>
      <c r="I29" s="2"/>
    </row>
    <row r="30" spans="2:9" hidden="1">
      <c r="B30" s="2">
        <v>29</v>
      </c>
      <c r="C30" s="2" t="s">
        <v>180</v>
      </c>
      <c r="D30" s="2" t="s">
        <v>180</v>
      </c>
      <c r="E30" s="2" t="s">
        <v>255</v>
      </c>
      <c r="F30" s="11" t="s">
        <v>214</v>
      </c>
      <c r="G30" s="2"/>
      <c r="H30" s="2" t="s">
        <v>230</v>
      </c>
      <c r="I30" s="2"/>
    </row>
    <row r="31" spans="2:9" hidden="1">
      <c r="B31" s="2">
        <v>30</v>
      </c>
      <c r="C31" s="2" t="s">
        <v>181</v>
      </c>
      <c r="D31" s="2" t="s">
        <v>181</v>
      </c>
      <c r="E31" s="2" t="s">
        <v>256</v>
      </c>
      <c r="F31" s="11" t="s">
        <v>214</v>
      </c>
      <c r="G31" s="2"/>
      <c r="H31" s="2" t="s">
        <v>232</v>
      </c>
      <c r="I31" s="2"/>
    </row>
    <row r="32" spans="2:9" hidden="1">
      <c r="B32" s="2">
        <v>6</v>
      </c>
      <c r="C32" s="2" t="s">
        <v>7</v>
      </c>
      <c r="D32" s="2" t="s">
        <v>7</v>
      </c>
      <c r="E32" s="2" t="s">
        <v>7</v>
      </c>
      <c r="F32" s="11" t="s">
        <v>198</v>
      </c>
      <c r="G32" s="2" t="s">
        <v>257</v>
      </c>
      <c r="H32" s="2" t="s">
        <v>212</v>
      </c>
      <c r="I32" s="2"/>
    </row>
    <row r="33" spans="2:9" hidden="1">
      <c r="B33" s="2">
        <v>28</v>
      </c>
      <c r="C33" s="2" t="s">
        <v>130</v>
      </c>
      <c r="D33" s="2" t="s">
        <v>130</v>
      </c>
      <c r="E33" s="2" t="s">
        <v>258</v>
      </c>
      <c r="F33" s="11" t="s">
        <v>198</v>
      </c>
      <c r="G33" s="2" t="s">
        <v>257</v>
      </c>
      <c r="H33" s="2" t="s">
        <v>232</v>
      </c>
      <c r="I33" s="2"/>
    </row>
    <row r="34" spans="2:9" hidden="1">
      <c r="B34" s="2"/>
      <c r="C34" s="2"/>
      <c r="D34" s="2" t="s">
        <v>165</v>
      </c>
      <c r="E34" s="2"/>
      <c r="F34" s="11" t="s">
        <v>198</v>
      </c>
      <c r="G34" s="2" t="s">
        <v>259</v>
      </c>
      <c r="H34" s="2"/>
      <c r="I34" s="2"/>
    </row>
    <row r="35" spans="2:9" hidden="1">
      <c r="B35" s="2"/>
      <c r="C35" s="2"/>
      <c r="D35" s="2" t="s">
        <v>173</v>
      </c>
      <c r="E35" s="2"/>
      <c r="F35" s="11" t="s">
        <v>198</v>
      </c>
      <c r="G35" s="2" t="s">
        <v>259</v>
      </c>
      <c r="H35" s="2"/>
      <c r="I35" s="2"/>
    </row>
    <row r="36" spans="2:9" hidden="1">
      <c r="B36" s="2"/>
      <c r="C36" s="2"/>
      <c r="D36" s="2" t="s">
        <v>182</v>
      </c>
      <c r="E36" s="2"/>
      <c r="F36" s="11" t="s">
        <v>198</v>
      </c>
      <c r="G36" s="2" t="s">
        <v>259</v>
      </c>
      <c r="H36" s="2"/>
      <c r="I36" s="2"/>
    </row>
    <row r="37" spans="2:9" hidden="1">
      <c r="B37" s="2">
        <v>31</v>
      </c>
      <c r="C37" s="2"/>
      <c r="D37" s="2" t="s">
        <v>183</v>
      </c>
      <c r="E37" s="2"/>
      <c r="F37" s="11" t="s">
        <v>198</v>
      </c>
      <c r="G37" s="2" t="s">
        <v>259</v>
      </c>
      <c r="H37" s="2"/>
      <c r="I37" s="2"/>
    </row>
    <row r="38" spans="2:9" hidden="1">
      <c r="B38" s="24">
        <v>32</v>
      </c>
      <c r="C38" s="24"/>
      <c r="D38" s="24" t="s">
        <v>308</v>
      </c>
      <c r="E38" s="24"/>
      <c r="F38" s="11" t="s">
        <v>214</v>
      </c>
      <c r="G38" s="24"/>
      <c r="H38" s="24"/>
      <c r="I38" s="24"/>
    </row>
    <row r="39" spans="2:9">
      <c r="B39" s="18"/>
      <c r="C39" s="18"/>
      <c r="D39" s="18"/>
      <c r="E39" s="18"/>
      <c r="F39" s="19"/>
      <c r="G39" s="18"/>
      <c r="H39" s="18"/>
      <c r="I39" s="18"/>
    </row>
    <row r="40" spans="2:9">
      <c r="B40" s="18"/>
      <c r="D40" s="1"/>
      <c r="F40" s="19"/>
      <c r="G40" s="18"/>
      <c r="H40" s="18"/>
      <c r="I40" s="18"/>
    </row>
    <row r="41" spans="2:9">
      <c r="B41" s="6" t="s">
        <v>297</v>
      </c>
    </row>
    <row r="42" spans="2:9">
      <c r="B42" s="25" t="s">
        <v>294</v>
      </c>
      <c r="C42" s="25"/>
    </row>
    <row r="43" spans="2:9">
      <c r="B43" s="3" t="s">
        <v>4</v>
      </c>
      <c r="C43" s="3" t="s">
        <v>2</v>
      </c>
    </row>
    <row r="44" spans="2:9">
      <c r="B44" s="4">
        <f>1</f>
        <v>1</v>
      </c>
      <c r="C44" s="2" t="s">
        <v>184</v>
      </c>
    </row>
    <row r="45" spans="2:9">
      <c r="B45" s="4">
        <f>B44+1</f>
        <v>2</v>
      </c>
      <c r="C45" s="2" t="s">
        <v>200</v>
      </c>
    </row>
    <row r="46" spans="2:9">
      <c r="B46" s="4">
        <f t="shared" ref="B46:B63" si="0">B45+1</f>
        <v>3</v>
      </c>
      <c r="C46" s="2" t="s">
        <v>23</v>
      </c>
    </row>
    <row r="47" spans="2:9">
      <c r="B47" s="4">
        <f t="shared" si="0"/>
        <v>4</v>
      </c>
      <c r="C47" s="2" t="s">
        <v>201</v>
      </c>
    </row>
    <row r="48" spans="2:9">
      <c r="B48" s="4">
        <f t="shared" si="0"/>
        <v>5</v>
      </c>
      <c r="C48" s="2" t="s">
        <v>236</v>
      </c>
    </row>
    <row r="49" spans="2:3">
      <c r="B49" s="4">
        <f t="shared" si="0"/>
        <v>6</v>
      </c>
      <c r="C49" s="2" t="s">
        <v>156</v>
      </c>
    </row>
    <row r="50" spans="2:3">
      <c r="B50" s="4">
        <f t="shared" si="0"/>
        <v>7</v>
      </c>
      <c r="C50" s="2" t="s">
        <v>157</v>
      </c>
    </row>
    <row r="51" spans="2:3">
      <c r="B51" s="4">
        <f t="shared" si="0"/>
        <v>8</v>
      </c>
      <c r="C51" s="2" t="s">
        <v>237</v>
      </c>
    </row>
    <row r="52" spans="2:3">
      <c r="B52" s="4">
        <f t="shared" si="0"/>
        <v>9</v>
      </c>
      <c r="C52" s="2" t="s">
        <v>239</v>
      </c>
    </row>
    <row r="53" spans="2:3">
      <c r="B53" s="4">
        <f t="shared" si="0"/>
        <v>10</v>
      </c>
      <c r="C53" s="2" t="s">
        <v>240</v>
      </c>
    </row>
    <row r="54" spans="2:3">
      <c r="B54" s="4">
        <f t="shared" si="0"/>
        <v>11</v>
      </c>
      <c r="C54" s="2" t="s">
        <v>241</v>
      </c>
    </row>
    <row r="55" spans="2:3">
      <c r="B55" s="4">
        <f t="shared" si="0"/>
        <v>12</v>
      </c>
      <c r="C55" s="2" t="s">
        <v>242</v>
      </c>
    </row>
    <row r="56" spans="2:3">
      <c r="B56" s="4">
        <f t="shared" si="0"/>
        <v>13</v>
      </c>
      <c r="C56" s="2" t="s">
        <v>243</v>
      </c>
    </row>
    <row r="57" spans="2:3">
      <c r="B57" s="4">
        <f t="shared" si="0"/>
        <v>14</v>
      </c>
      <c r="C57" s="2" t="s">
        <v>247</v>
      </c>
    </row>
    <row r="58" spans="2:3">
      <c r="B58" s="4">
        <f t="shared" si="0"/>
        <v>15</v>
      </c>
      <c r="C58" s="2" t="s">
        <v>248</v>
      </c>
    </row>
    <row r="59" spans="2:3">
      <c r="B59" s="4">
        <f t="shared" si="0"/>
        <v>16</v>
      </c>
      <c r="C59" s="2" t="s">
        <v>249</v>
      </c>
    </row>
    <row r="60" spans="2:3">
      <c r="B60" s="4">
        <f t="shared" si="0"/>
        <v>17</v>
      </c>
      <c r="C60" s="2" t="s">
        <v>250</v>
      </c>
    </row>
    <row r="61" spans="2:3">
      <c r="B61" s="4">
        <f t="shared" si="0"/>
        <v>18</v>
      </c>
      <c r="C61" s="2" t="s">
        <v>252</v>
      </c>
    </row>
    <row r="62" spans="2:3">
      <c r="B62" s="4">
        <f t="shared" si="0"/>
        <v>19</v>
      </c>
      <c r="C62" s="2" t="s">
        <v>255</v>
      </c>
    </row>
    <row r="63" spans="2:3">
      <c r="B63" s="4">
        <f t="shared" si="0"/>
        <v>20</v>
      </c>
      <c r="C63" s="2" t="s">
        <v>256</v>
      </c>
    </row>
    <row r="64" spans="2:3">
      <c r="B64" s="4">
        <v>21</v>
      </c>
      <c r="C64" s="24" t="s">
        <v>308</v>
      </c>
    </row>
  </sheetData>
  <mergeCells count="1">
    <mergeCell ref="B42:C4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33"/>
  <sheetViews>
    <sheetView showGridLines="0" topLeftCell="A19" zoomScale="90" zoomScaleNormal="90" workbookViewId="0">
      <selection activeCell="B23" sqref="B23:C33"/>
    </sheetView>
  </sheetViews>
  <sheetFormatPr defaultRowHeight="15"/>
  <cols>
    <col min="2" max="2" width="7.5703125" bestFit="1" customWidth="1"/>
    <col min="3" max="3" width="25.42578125" customWidth="1"/>
    <col min="4" max="4" width="32" customWidth="1"/>
    <col min="5" max="5" width="43.7109375" bestFit="1" customWidth="1"/>
    <col min="6" max="6" width="14.140625" bestFit="1" customWidth="1"/>
    <col min="7" max="7" width="13.28515625" bestFit="1" customWidth="1"/>
    <col min="8" max="8" width="15.5703125" bestFit="1" customWidth="1"/>
  </cols>
  <sheetData>
    <row r="1" spans="2:8" hidden="1">
      <c r="D1" s="1"/>
    </row>
    <row r="2" spans="2:8" hidden="1"/>
    <row r="3" spans="2:8" hidden="1">
      <c r="B3" s="3" t="s">
        <v>4</v>
      </c>
      <c r="C3" s="3" t="s">
        <v>0</v>
      </c>
      <c r="D3" s="3" t="s">
        <v>1</v>
      </c>
      <c r="E3" s="3" t="s">
        <v>2</v>
      </c>
      <c r="F3" s="3" t="s">
        <v>5</v>
      </c>
      <c r="G3" s="3" t="s">
        <v>3</v>
      </c>
      <c r="H3" s="8" t="s">
        <v>224</v>
      </c>
    </row>
    <row r="4" spans="2:8" hidden="1">
      <c r="B4" s="2">
        <v>1</v>
      </c>
      <c r="C4" s="2" t="s">
        <v>6</v>
      </c>
      <c r="D4" s="2" t="s">
        <v>6</v>
      </c>
      <c r="E4" s="2" t="s">
        <v>184</v>
      </c>
      <c r="F4" s="2" t="s">
        <v>214</v>
      </c>
      <c r="G4" s="2" t="s">
        <v>232</v>
      </c>
      <c r="H4" s="2"/>
    </row>
    <row r="5" spans="2:8" hidden="1">
      <c r="B5" s="2">
        <v>2</v>
      </c>
      <c r="C5" s="2" t="s">
        <v>141</v>
      </c>
      <c r="D5" s="2" t="s">
        <v>141</v>
      </c>
      <c r="E5" s="2" t="s">
        <v>260</v>
      </c>
      <c r="F5" s="2" t="s">
        <v>214</v>
      </c>
      <c r="G5" s="2" t="s">
        <v>232</v>
      </c>
      <c r="H5" s="2"/>
    </row>
    <row r="6" spans="2:8" hidden="1">
      <c r="B6" s="2">
        <v>3</v>
      </c>
      <c r="C6" s="2" t="s">
        <v>142</v>
      </c>
      <c r="D6" s="2" t="s">
        <v>142</v>
      </c>
      <c r="E6" s="2" t="s">
        <v>261</v>
      </c>
      <c r="F6" s="2" t="s">
        <v>214</v>
      </c>
      <c r="G6" s="2" t="s">
        <v>232</v>
      </c>
      <c r="H6" s="2"/>
    </row>
    <row r="7" spans="2:8" hidden="1">
      <c r="B7" s="2">
        <v>4</v>
      </c>
      <c r="C7" s="2" t="s">
        <v>143</v>
      </c>
      <c r="D7" s="2" t="s">
        <v>143</v>
      </c>
      <c r="E7" s="2" t="s">
        <v>262</v>
      </c>
      <c r="F7" s="2" t="s">
        <v>214</v>
      </c>
      <c r="G7" s="2" t="s">
        <v>232</v>
      </c>
      <c r="H7" s="2"/>
    </row>
    <row r="8" spans="2:8" hidden="1">
      <c r="B8" s="2">
        <v>5</v>
      </c>
      <c r="C8" s="2" t="s">
        <v>7</v>
      </c>
      <c r="D8" s="2" t="s">
        <v>7</v>
      </c>
      <c r="E8" s="2" t="s">
        <v>7</v>
      </c>
      <c r="F8" s="2" t="s">
        <v>214</v>
      </c>
      <c r="G8" s="2" t="s">
        <v>212</v>
      </c>
      <c r="H8" s="2"/>
    </row>
    <row r="9" spans="2:8" hidden="1">
      <c r="B9" s="2">
        <v>6</v>
      </c>
      <c r="C9" s="2" t="s">
        <v>144</v>
      </c>
      <c r="D9" s="2" t="s">
        <v>144</v>
      </c>
      <c r="E9" s="2" t="s">
        <v>263</v>
      </c>
      <c r="F9" s="2" t="s">
        <v>214</v>
      </c>
      <c r="G9" s="2" t="s">
        <v>212</v>
      </c>
      <c r="H9" s="2"/>
    </row>
    <row r="10" spans="2:8" hidden="1">
      <c r="B10" s="2">
        <v>7</v>
      </c>
      <c r="C10" s="2" t="s">
        <v>145</v>
      </c>
      <c r="D10" s="2" t="s">
        <v>145</v>
      </c>
      <c r="E10" s="2" t="s">
        <v>264</v>
      </c>
      <c r="F10" s="2" t="s">
        <v>214</v>
      </c>
      <c r="G10" s="2" t="s">
        <v>232</v>
      </c>
      <c r="H10" s="2"/>
    </row>
    <row r="11" spans="2:8" hidden="1">
      <c r="B11" s="2">
        <v>8</v>
      </c>
      <c r="C11" s="2" t="s">
        <v>146</v>
      </c>
      <c r="D11" s="2" t="s">
        <v>146</v>
      </c>
      <c r="E11" s="2" t="s">
        <v>265</v>
      </c>
      <c r="F11" s="2" t="s">
        <v>198</v>
      </c>
      <c r="G11" s="2" t="s">
        <v>232</v>
      </c>
      <c r="H11" s="2"/>
    </row>
    <row r="12" spans="2:8" hidden="1">
      <c r="B12" s="2">
        <v>9</v>
      </c>
      <c r="C12" s="2" t="s">
        <v>148</v>
      </c>
      <c r="D12" s="2" t="s">
        <v>148</v>
      </c>
      <c r="E12" s="2" t="s">
        <v>266</v>
      </c>
      <c r="F12" s="2" t="s">
        <v>214</v>
      </c>
      <c r="G12" s="2" t="s">
        <v>212</v>
      </c>
      <c r="H12" s="2"/>
    </row>
    <row r="13" spans="2:8" hidden="1">
      <c r="B13" s="2">
        <v>10</v>
      </c>
      <c r="C13" s="2" t="s">
        <v>150</v>
      </c>
      <c r="D13" s="2" t="s">
        <v>150</v>
      </c>
      <c r="E13" s="2" t="s">
        <v>267</v>
      </c>
      <c r="F13" s="2" t="s">
        <v>214</v>
      </c>
      <c r="G13" s="2" t="s">
        <v>232</v>
      </c>
      <c r="H13" s="2"/>
    </row>
    <row r="14" spans="2:8" hidden="1">
      <c r="B14" s="2">
        <v>11</v>
      </c>
      <c r="C14" s="2" t="s">
        <v>151</v>
      </c>
      <c r="D14" s="2" t="s">
        <v>151</v>
      </c>
      <c r="E14" s="2" t="s">
        <v>268</v>
      </c>
      <c r="F14" s="2" t="s">
        <v>214</v>
      </c>
      <c r="G14" s="2" t="s">
        <v>232</v>
      </c>
      <c r="H14" s="2"/>
    </row>
    <row r="15" spans="2:8" hidden="1">
      <c r="B15" s="2">
        <v>12</v>
      </c>
      <c r="C15" s="2"/>
      <c r="D15" s="2" t="s">
        <v>147</v>
      </c>
      <c r="E15" s="2"/>
      <c r="F15" s="2" t="s">
        <v>198</v>
      </c>
      <c r="G15" s="2"/>
      <c r="H15" s="2"/>
    </row>
    <row r="16" spans="2:8" hidden="1">
      <c r="B16" s="2">
        <v>13</v>
      </c>
      <c r="C16" s="2"/>
      <c r="D16" s="2" t="s">
        <v>149</v>
      </c>
      <c r="E16" s="2"/>
      <c r="F16" s="2" t="s">
        <v>198</v>
      </c>
      <c r="G16" s="2"/>
      <c r="H16" s="2"/>
    </row>
    <row r="17" spans="2:8" hidden="1">
      <c r="B17" s="2">
        <v>14</v>
      </c>
      <c r="C17" s="2"/>
      <c r="D17" s="2" t="s">
        <v>152</v>
      </c>
      <c r="E17" s="2"/>
      <c r="F17" s="2" t="s">
        <v>198</v>
      </c>
      <c r="G17" s="2"/>
      <c r="H17" s="2"/>
    </row>
    <row r="18" spans="2:8" hidden="1">
      <c r="B18" s="2">
        <v>15</v>
      </c>
      <c r="C18" s="2"/>
      <c r="D18" s="2" t="s">
        <v>153</v>
      </c>
      <c r="E18" s="2"/>
      <c r="F18" s="2" t="s">
        <v>198</v>
      </c>
      <c r="G18" s="2"/>
      <c r="H18" s="2"/>
    </row>
    <row r="20" spans="2:8">
      <c r="C20" s="6" t="s">
        <v>299</v>
      </c>
      <c r="D20" s="1"/>
    </row>
    <row r="22" spans="2:8">
      <c r="B22" s="25" t="s">
        <v>294</v>
      </c>
      <c r="C22" s="25"/>
    </row>
    <row r="23" spans="2:8">
      <c r="B23" s="5" t="s">
        <v>4</v>
      </c>
      <c r="C23" s="5" t="s">
        <v>2</v>
      </c>
    </row>
    <row r="24" spans="2:8">
      <c r="B24" s="4">
        <f>1</f>
        <v>1</v>
      </c>
      <c r="C24" s="2" t="s">
        <v>184</v>
      </c>
    </row>
    <row r="25" spans="2:8">
      <c r="B25" s="4">
        <f>B24+1</f>
        <v>2</v>
      </c>
      <c r="C25" s="2" t="s">
        <v>260</v>
      </c>
    </row>
    <row r="26" spans="2:8">
      <c r="B26" s="4">
        <f t="shared" ref="B26:B33" si="0">B25+1</f>
        <v>3</v>
      </c>
      <c r="C26" s="2" t="s">
        <v>261</v>
      </c>
    </row>
    <row r="27" spans="2:8">
      <c r="B27" s="4">
        <f t="shared" si="0"/>
        <v>4</v>
      </c>
      <c r="C27" s="2" t="s">
        <v>262</v>
      </c>
    </row>
    <row r="28" spans="2:8">
      <c r="B28" s="4">
        <f t="shared" si="0"/>
        <v>5</v>
      </c>
      <c r="C28" s="2" t="s">
        <v>7</v>
      </c>
    </row>
    <row r="29" spans="2:8">
      <c r="B29" s="4">
        <f t="shared" si="0"/>
        <v>6</v>
      </c>
      <c r="C29" s="2" t="s">
        <v>263</v>
      </c>
    </row>
    <row r="30" spans="2:8">
      <c r="B30" s="4">
        <f t="shared" si="0"/>
        <v>7</v>
      </c>
      <c r="C30" s="2" t="s">
        <v>264</v>
      </c>
    </row>
    <row r="31" spans="2:8">
      <c r="B31" s="4">
        <f t="shared" si="0"/>
        <v>8</v>
      </c>
      <c r="C31" s="2" t="s">
        <v>266</v>
      </c>
    </row>
    <row r="32" spans="2:8">
      <c r="B32" s="4">
        <f t="shared" si="0"/>
        <v>9</v>
      </c>
      <c r="C32" s="2" t="s">
        <v>267</v>
      </c>
    </row>
    <row r="33" spans="2:3">
      <c r="B33" s="4">
        <f t="shared" si="0"/>
        <v>10</v>
      </c>
      <c r="C33" s="2" t="s">
        <v>268</v>
      </c>
    </row>
  </sheetData>
  <autoFilter ref="B3:H18"/>
  <mergeCells count="1">
    <mergeCell ref="B22:C2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72"/>
  <sheetViews>
    <sheetView showGridLines="0" zoomScale="90" zoomScaleNormal="90" workbookViewId="0">
      <selection activeCell="G1" sqref="G1"/>
    </sheetView>
  </sheetViews>
  <sheetFormatPr defaultRowHeight="15"/>
  <cols>
    <col min="1" max="1" width="2.7109375" customWidth="1"/>
    <col min="2" max="2" width="7.5703125" bestFit="1" customWidth="1"/>
    <col min="3" max="3" width="32" bestFit="1" customWidth="1"/>
    <col min="4" max="4" width="38" bestFit="1" customWidth="1"/>
    <col min="5" max="5" width="42.28515625" style="13" bestFit="1" customWidth="1"/>
    <col min="6" max="6" width="13.28515625" bestFit="1" customWidth="1"/>
    <col min="7" max="7" width="16" bestFit="1" customWidth="1"/>
    <col min="8" max="8" width="19.28515625" bestFit="1" customWidth="1"/>
  </cols>
  <sheetData>
    <row r="1" spans="2:8">
      <c r="D1" s="1"/>
    </row>
    <row r="3" spans="2:8">
      <c r="B3" s="3" t="s">
        <v>4</v>
      </c>
      <c r="C3" s="3" t="s">
        <v>0</v>
      </c>
      <c r="D3" s="3" t="s">
        <v>1</v>
      </c>
      <c r="E3" s="14" t="s">
        <v>2</v>
      </c>
      <c r="F3" s="3" t="s">
        <v>3</v>
      </c>
      <c r="G3" s="3" t="s">
        <v>5</v>
      </c>
      <c r="H3" s="8" t="s">
        <v>224</v>
      </c>
    </row>
    <row r="4" spans="2:8">
      <c r="B4" s="2">
        <v>1</v>
      </c>
      <c r="C4" s="2" t="s">
        <v>6</v>
      </c>
      <c r="D4" s="2" t="s">
        <v>6</v>
      </c>
      <c r="E4" s="15" t="s">
        <v>184</v>
      </c>
      <c r="F4" s="2" t="s">
        <v>232</v>
      </c>
      <c r="G4" s="2" t="s">
        <v>214</v>
      </c>
      <c r="H4" s="2"/>
    </row>
    <row r="5" spans="2:8">
      <c r="B5" s="2">
        <v>2</v>
      </c>
      <c r="C5" s="2" t="s">
        <v>79</v>
      </c>
      <c r="D5" s="2" t="s">
        <v>79</v>
      </c>
      <c r="E5" s="15" t="s">
        <v>269</v>
      </c>
      <c r="F5" s="2" t="s">
        <v>232</v>
      </c>
      <c r="G5" s="2" t="s">
        <v>198</v>
      </c>
      <c r="H5" s="2"/>
    </row>
    <row r="6" spans="2:8">
      <c r="B6" s="2">
        <v>3</v>
      </c>
      <c r="C6" s="2" t="s">
        <v>80</v>
      </c>
      <c r="D6" s="2" t="s">
        <v>80</v>
      </c>
      <c r="E6" s="15" t="s">
        <v>270</v>
      </c>
      <c r="F6" s="2" t="s">
        <v>232</v>
      </c>
      <c r="G6" s="2" t="s">
        <v>214</v>
      </c>
      <c r="H6" s="2"/>
    </row>
    <row r="7" spans="2:8">
      <c r="B7" s="2">
        <v>4</v>
      </c>
      <c r="C7" s="2" t="s">
        <v>81</v>
      </c>
      <c r="D7" s="2" t="s">
        <v>81</v>
      </c>
      <c r="E7" s="15" t="s">
        <v>271</v>
      </c>
      <c r="F7" s="2" t="s">
        <v>232</v>
      </c>
      <c r="G7" s="2" t="s">
        <v>214</v>
      </c>
      <c r="H7" s="2"/>
    </row>
    <row r="8" spans="2:8">
      <c r="B8" s="2">
        <v>5</v>
      </c>
      <c r="C8" s="2" t="s">
        <v>82</v>
      </c>
      <c r="D8" s="2" t="s">
        <v>272</v>
      </c>
      <c r="E8" s="16" t="s">
        <v>273</v>
      </c>
      <c r="F8" s="2" t="s">
        <v>232</v>
      </c>
      <c r="G8" s="2" t="s">
        <v>274</v>
      </c>
      <c r="H8" s="2"/>
    </row>
    <row r="9" spans="2:8">
      <c r="B9" s="2">
        <v>6</v>
      </c>
      <c r="C9" s="2" t="s">
        <v>84</v>
      </c>
      <c r="D9" s="2" t="s">
        <v>275</v>
      </c>
      <c r="E9" s="16" t="s">
        <v>276</v>
      </c>
      <c r="F9" s="2" t="s">
        <v>232</v>
      </c>
      <c r="G9" s="2" t="s">
        <v>274</v>
      </c>
      <c r="H9" s="2"/>
    </row>
    <row r="10" spans="2:8">
      <c r="B10" s="2">
        <v>7</v>
      </c>
      <c r="C10" s="2" t="s">
        <v>86</v>
      </c>
      <c r="D10" s="2" t="s">
        <v>277</v>
      </c>
      <c r="E10" s="17" t="s">
        <v>278</v>
      </c>
      <c r="F10" s="2" t="s">
        <v>232</v>
      </c>
      <c r="G10" s="2" t="s">
        <v>274</v>
      </c>
      <c r="H10" s="2"/>
    </row>
    <row r="11" spans="2:8">
      <c r="B11" s="2">
        <v>8</v>
      </c>
      <c r="C11" s="2" t="s">
        <v>88</v>
      </c>
      <c r="D11" s="2" t="s">
        <v>88</v>
      </c>
      <c r="E11" s="17" t="s">
        <v>279</v>
      </c>
      <c r="F11" s="2" t="s">
        <v>232</v>
      </c>
      <c r="G11" s="2" t="s">
        <v>274</v>
      </c>
      <c r="H11" s="2"/>
    </row>
    <row r="12" spans="2:8">
      <c r="B12" s="2">
        <v>9</v>
      </c>
      <c r="C12" s="2" t="s">
        <v>90</v>
      </c>
      <c r="D12" s="2" t="s">
        <v>90</v>
      </c>
      <c r="E12" s="15" t="s">
        <v>300</v>
      </c>
      <c r="F12" s="2" t="s">
        <v>232</v>
      </c>
      <c r="G12" s="2" t="s">
        <v>214</v>
      </c>
      <c r="H12" s="2"/>
    </row>
    <row r="13" spans="2:8">
      <c r="B13" s="2">
        <v>10</v>
      </c>
      <c r="C13" s="2" t="s">
        <v>92</v>
      </c>
      <c r="D13" s="2" t="s">
        <v>92</v>
      </c>
      <c r="E13" s="15" t="s">
        <v>280</v>
      </c>
      <c r="F13" s="2" t="s">
        <v>212</v>
      </c>
      <c r="G13" s="2" t="s">
        <v>274</v>
      </c>
      <c r="H13" s="2"/>
    </row>
    <row r="14" spans="2:8">
      <c r="B14" s="2">
        <v>11</v>
      </c>
      <c r="C14" s="2" t="s">
        <v>94</v>
      </c>
      <c r="E14" s="15" t="s">
        <v>281</v>
      </c>
      <c r="F14" s="2" t="s">
        <v>232</v>
      </c>
      <c r="G14" s="2" t="s">
        <v>214</v>
      </c>
      <c r="H14" s="2"/>
    </row>
    <row r="15" spans="2:8">
      <c r="B15" s="2">
        <v>12</v>
      </c>
      <c r="C15" s="2" t="s">
        <v>96</v>
      </c>
      <c r="E15" s="15" t="s">
        <v>301</v>
      </c>
      <c r="F15" s="2" t="s">
        <v>230</v>
      </c>
      <c r="G15" s="2" t="s">
        <v>214</v>
      </c>
      <c r="H15" s="2"/>
    </row>
    <row r="16" spans="2:8">
      <c r="B16" s="2">
        <v>13</v>
      </c>
      <c r="C16" s="2" t="s">
        <v>98</v>
      </c>
      <c r="D16" s="2" t="s">
        <v>94</v>
      </c>
      <c r="E16" s="15"/>
      <c r="F16" s="2" t="s">
        <v>232</v>
      </c>
      <c r="G16" s="2" t="s">
        <v>274</v>
      </c>
      <c r="H16" s="2"/>
    </row>
    <row r="17" spans="2:8">
      <c r="B17" s="2">
        <v>14</v>
      </c>
      <c r="C17" s="2" t="s">
        <v>100</v>
      </c>
      <c r="D17" s="2" t="s">
        <v>96</v>
      </c>
      <c r="F17" s="2" t="s">
        <v>232</v>
      </c>
      <c r="G17" s="2" t="s">
        <v>274</v>
      </c>
      <c r="H17" s="2"/>
    </row>
    <row r="18" spans="2:8">
      <c r="B18" s="2">
        <v>16</v>
      </c>
      <c r="C18" s="2"/>
      <c r="D18" s="2"/>
      <c r="E18" s="15"/>
      <c r="F18" s="2" t="s">
        <v>232</v>
      </c>
      <c r="G18" s="2" t="s">
        <v>214</v>
      </c>
      <c r="H18" s="2"/>
    </row>
    <row r="19" spans="2:8">
      <c r="B19" s="2">
        <v>17</v>
      </c>
      <c r="C19" s="2"/>
      <c r="D19" s="2" t="s">
        <v>83</v>
      </c>
      <c r="E19" s="15"/>
      <c r="F19" s="2" t="s">
        <v>232</v>
      </c>
      <c r="G19" s="2" t="s">
        <v>214</v>
      </c>
      <c r="H19" s="2"/>
    </row>
    <row r="20" spans="2:8">
      <c r="B20" s="2">
        <v>18</v>
      </c>
      <c r="C20" s="2"/>
      <c r="D20" s="2" t="s">
        <v>85</v>
      </c>
      <c r="E20" s="15" t="s">
        <v>284</v>
      </c>
      <c r="F20" s="2" t="s">
        <v>232</v>
      </c>
      <c r="G20" s="2" t="s">
        <v>214</v>
      </c>
      <c r="H20" s="2"/>
    </row>
    <row r="21" spans="2:8">
      <c r="B21" s="2">
        <v>19</v>
      </c>
      <c r="C21" s="2"/>
      <c r="D21" s="2" t="s">
        <v>87</v>
      </c>
      <c r="E21" s="15" t="s">
        <v>285</v>
      </c>
      <c r="F21" s="2" t="s">
        <v>232</v>
      </c>
      <c r="G21" s="2" t="s">
        <v>274</v>
      </c>
      <c r="H21" s="2"/>
    </row>
    <row r="22" spans="2:8">
      <c r="B22" s="2">
        <v>20</v>
      </c>
      <c r="C22" s="2"/>
      <c r="D22" s="2" t="s">
        <v>286</v>
      </c>
      <c r="E22" s="15" t="s">
        <v>287</v>
      </c>
      <c r="F22" s="2" t="s">
        <v>232</v>
      </c>
      <c r="G22" s="2" t="s">
        <v>274</v>
      </c>
      <c r="H22" s="2"/>
    </row>
    <row r="23" spans="2:8">
      <c r="B23" s="2">
        <v>21</v>
      </c>
      <c r="C23" s="2"/>
      <c r="D23" s="2" t="s">
        <v>288</v>
      </c>
      <c r="E23" s="15" t="s">
        <v>289</v>
      </c>
      <c r="F23" s="2" t="s">
        <v>232</v>
      </c>
      <c r="G23" s="2" t="s">
        <v>274</v>
      </c>
      <c r="H23" s="2"/>
    </row>
    <row r="24" spans="2:8">
      <c r="B24" s="2">
        <v>22</v>
      </c>
      <c r="C24" s="2"/>
      <c r="D24" s="2" t="s">
        <v>290</v>
      </c>
      <c r="E24" s="15" t="s">
        <v>291</v>
      </c>
      <c r="F24" s="2"/>
      <c r="G24" s="2" t="s">
        <v>198</v>
      </c>
      <c r="H24" s="2"/>
    </row>
    <row r="25" spans="2:8">
      <c r="B25" s="2">
        <v>23</v>
      </c>
      <c r="C25" s="2"/>
      <c r="D25" s="2" t="s">
        <v>104</v>
      </c>
      <c r="E25" s="15" t="s">
        <v>292</v>
      </c>
      <c r="F25" s="4"/>
      <c r="G25" s="2" t="s">
        <v>198</v>
      </c>
      <c r="H25" s="2"/>
    </row>
    <row r="26" spans="2:8">
      <c r="B26" s="2">
        <v>24</v>
      </c>
      <c r="C26" s="2"/>
      <c r="D26" s="2" t="s">
        <v>89</v>
      </c>
      <c r="E26" s="15" t="s">
        <v>293</v>
      </c>
      <c r="F26" s="2"/>
      <c r="G26" s="2" t="s">
        <v>198</v>
      </c>
      <c r="H26" s="2"/>
    </row>
    <row r="27" spans="2:8">
      <c r="B27" s="2">
        <v>25</v>
      </c>
      <c r="C27" s="2"/>
      <c r="D27" s="2" t="s">
        <v>91</v>
      </c>
      <c r="E27" s="15" t="s">
        <v>290</v>
      </c>
      <c r="F27" s="2"/>
      <c r="G27" s="2" t="s">
        <v>198</v>
      </c>
      <c r="H27" s="2"/>
    </row>
    <row r="28" spans="2:8">
      <c r="B28" s="2">
        <v>26</v>
      </c>
      <c r="C28" s="2"/>
      <c r="D28" s="2" t="s">
        <v>93</v>
      </c>
      <c r="E28" s="15"/>
      <c r="F28" s="2"/>
      <c r="G28" s="2" t="s">
        <v>198</v>
      </c>
      <c r="H28" s="2"/>
    </row>
    <row r="29" spans="2:8">
      <c r="B29" s="2">
        <v>27</v>
      </c>
      <c r="C29" s="2"/>
      <c r="D29" s="2" t="s">
        <v>95</v>
      </c>
      <c r="E29" s="15"/>
      <c r="F29" s="2"/>
      <c r="G29" s="2" t="s">
        <v>198</v>
      </c>
      <c r="H29" s="2"/>
    </row>
    <row r="30" spans="2:8">
      <c r="B30" s="2">
        <v>28</v>
      </c>
      <c r="C30" s="2"/>
      <c r="D30" s="2" t="s">
        <v>97</v>
      </c>
      <c r="E30" s="15"/>
      <c r="F30" s="2"/>
      <c r="G30" s="2" t="s">
        <v>198</v>
      </c>
      <c r="H30" s="2"/>
    </row>
    <row r="31" spans="2:8">
      <c r="B31" s="2">
        <v>29</v>
      </c>
      <c r="C31" s="2"/>
      <c r="D31" s="2" t="s">
        <v>99</v>
      </c>
      <c r="E31" s="15"/>
      <c r="F31" s="2"/>
      <c r="G31" s="2" t="s">
        <v>198</v>
      </c>
      <c r="H31" s="2"/>
    </row>
    <row r="32" spans="2:8">
      <c r="B32" s="2">
        <v>30</v>
      </c>
      <c r="C32" s="2"/>
      <c r="D32" s="2" t="s">
        <v>101</v>
      </c>
      <c r="E32" s="15"/>
      <c r="F32" s="2"/>
      <c r="G32" s="2" t="s">
        <v>198</v>
      </c>
      <c r="H32" s="2"/>
    </row>
    <row r="33" spans="2:8">
      <c r="B33" s="2">
        <v>31</v>
      </c>
      <c r="C33" s="2"/>
      <c r="D33" s="2" t="s">
        <v>102</v>
      </c>
      <c r="E33" s="15"/>
      <c r="F33" s="2"/>
      <c r="G33" s="2" t="s">
        <v>198</v>
      </c>
      <c r="H33" s="2"/>
    </row>
    <row r="34" spans="2:8">
      <c r="B34" s="2">
        <v>32</v>
      </c>
      <c r="C34" s="2"/>
      <c r="D34" s="2" t="s">
        <v>103</v>
      </c>
      <c r="E34" s="15"/>
      <c r="F34" s="2"/>
      <c r="G34" s="2" t="s">
        <v>198</v>
      </c>
      <c r="H34" s="2"/>
    </row>
    <row r="35" spans="2:8">
      <c r="B35" s="2">
        <v>33</v>
      </c>
      <c r="C35" s="2"/>
      <c r="D35" s="2" t="s">
        <v>105</v>
      </c>
      <c r="E35" s="15"/>
      <c r="F35" s="2"/>
      <c r="G35" s="2" t="s">
        <v>198</v>
      </c>
      <c r="H35" s="2"/>
    </row>
    <row r="36" spans="2:8">
      <c r="B36" s="2">
        <v>34</v>
      </c>
      <c r="C36" s="2"/>
      <c r="D36" s="2" t="s">
        <v>106</v>
      </c>
      <c r="E36" s="15"/>
      <c r="F36" s="2"/>
      <c r="G36" s="2" t="s">
        <v>198</v>
      </c>
      <c r="H36" s="2"/>
    </row>
    <row r="37" spans="2:8">
      <c r="B37" s="2">
        <v>35</v>
      </c>
      <c r="C37" s="2"/>
      <c r="D37" s="2" t="s">
        <v>107</v>
      </c>
      <c r="E37" s="15"/>
      <c r="F37" s="2"/>
      <c r="G37" s="2" t="s">
        <v>198</v>
      </c>
      <c r="H37" s="2"/>
    </row>
    <row r="38" spans="2:8">
      <c r="B38" s="2">
        <v>36</v>
      </c>
      <c r="C38" s="2"/>
      <c r="D38" s="2" t="s">
        <v>108</v>
      </c>
      <c r="E38" s="15"/>
      <c r="F38" s="2"/>
      <c r="G38" s="2" t="s">
        <v>198</v>
      </c>
      <c r="H38" s="2"/>
    </row>
    <row r="39" spans="2:8">
      <c r="B39" s="2">
        <v>37</v>
      </c>
      <c r="C39" s="2"/>
      <c r="D39" s="2" t="s">
        <v>109</v>
      </c>
      <c r="E39" s="15"/>
      <c r="F39" s="2"/>
      <c r="G39" s="2" t="s">
        <v>198</v>
      </c>
      <c r="H39" s="2"/>
    </row>
    <row r="40" spans="2:8">
      <c r="B40" s="2">
        <v>38</v>
      </c>
      <c r="C40" s="2"/>
      <c r="D40" s="2" t="s">
        <v>110</v>
      </c>
      <c r="E40" s="15"/>
      <c r="F40" s="2"/>
      <c r="G40" s="2" t="s">
        <v>198</v>
      </c>
      <c r="H40" s="2"/>
    </row>
    <row r="41" spans="2:8">
      <c r="B41" s="2">
        <v>39</v>
      </c>
      <c r="C41" s="2"/>
      <c r="D41" s="2" t="s">
        <v>111</v>
      </c>
      <c r="E41" s="15"/>
      <c r="F41" s="2"/>
      <c r="G41" s="2" t="s">
        <v>198</v>
      </c>
      <c r="H41" s="2"/>
    </row>
    <row r="42" spans="2:8">
      <c r="B42" s="2">
        <v>40</v>
      </c>
      <c r="C42" s="2"/>
      <c r="D42" s="2" t="s">
        <v>112</v>
      </c>
      <c r="E42" s="15"/>
      <c r="F42" s="2"/>
      <c r="G42" s="2" t="s">
        <v>198</v>
      </c>
      <c r="H42" s="2"/>
    </row>
    <row r="43" spans="2:8">
      <c r="B43" s="2">
        <v>41</v>
      </c>
      <c r="C43" s="2"/>
      <c r="D43" s="2" t="s">
        <v>113</v>
      </c>
      <c r="E43" s="15"/>
      <c r="F43" s="2"/>
      <c r="G43" s="2" t="s">
        <v>198</v>
      </c>
      <c r="H43" s="2"/>
    </row>
    <row r="44" spans="2:8">
      <c r="B44" s="2">
        <v>42</v>
      </c>
      <c r="C44" s="2"/>
      <c r="D44" s="2" t="s">
        <v>114</v>
      </c>
      <c r="E44" s="15"/>
      <c r="F44" s="2"/>
      <c r="G44" s="2" t="s">
        <v>198</v>
      </c>
      <c r="H44" s="2"/>
    </row>
    <row r="45" spans="2:8">
      <c r="B45" s="2">
        <v>43</v>
      </c>
      <c r="C45" s="2"/>
      <c r="D45" s="2" t="s">
        <v>115</v>
      </c>
      <c r="E45" s="15"/>
      <c r="F45" s="2"/>
      <c r="G45" s="2" t="s">
        <v>198</v>
      </c>
      <c r="H45" s="2"/>
    </row>
    <row r="46" spans="2:8">
      <c r="B46" s="2">
        <v>44</v>
      </c>
      <c r="C46" s="2"/>
      <c r="D46" s="2" t="s">
        <v>116</v>
      </c>
      <c r="E46" s="15"/>
      <c r="F46" s="2"/>
      <c r="G46" s="2" t="s">
        <v>198</v>
      </c>
      <c r="H46" s="2"/>
    </row>
    <row r="47" spans="2:8">
      <c r="B47" s="2">
        <v>45</v>
      </c>
      <c r="C47" s="2"/>
      <c r="D47" s="2" t="s">
        <v>117</v>
      </c>
      <c r="E47" s="15"/>
      <c r="F47" s="2"/>
      <c r="G47" s="2" t="s">
        <v>198</v>
      </c>
      <c r="H47" s="2"/>
    </row>
    <row r="48" spans="2:8">
      <c r="B48" s="2">
        <v>46</v>
      </c>
      <c r="C48" s="2"/>
      <c r="D48" s="2" t="s">
        <v>118</v>
      </c>
      <c r="E48" s="15"/>
      <c r="F48" s="2"/>
      <c r="G48" s="2" t="s">
        <v>198</v>
      </c>
      <c r="H48" s="2"/>
    </row>
    <row r="49" spans="2:8">
      <c r="B49" s="2">
        <v>47</v>
      </c>
      <c r="C49" s="2"/>
      <c r="D49" s="2" t="s">
        <v>119</v>
      </c>
      <c r="E49" s="15"/>
      <c r="F49" s="2"/>
      <c r="G49" s="2" t="s">
        <v>198</v>
      </c>
      <c r="H49" s="2"/>
    </row>
    <row r="50" spans="2:8">
      <c r="B50" s="2">
        <v>48</v>
      </c>
      <c r="C50" s="2"/>
      <c r="D50" s="2" t="s">
        <v>120</v>
      </c>
      <c r="E50" s="15"/>
      <c r="F50" s="2"/>
      <c r="G50" s="2" t="s">
        <v>198</v>
      </c>
      <c r="H50" s="2"/>
    </row>
    <row r="51" spans="2:8">
      <c r="B51" s="2">
        <v>49</v>
      </c>
      <c r="C51" s="2"/>
      <c r="D51" s="2" t="s">
        <v>121</v>
      </c>
      <c r="E51" s="15"/>
      <c r="F51" s="2"/>
      <c r="G51" s="2" t="s">
        <v>198</v>
      </c>
      <c r="H51" s="2"/>
    </row>
    <row r="52" spans="2:8">
      <c r="B52" s="2">
        <v>50</v>
      </c>
      <c r="C52" s="2"/>
      <c r="D52" s="2" t="s">
        <v>122</v>
      </c>
      <c r="E52" s="15"/>
      <c r="F52" s="2"/>
      <c r="G52" s="2" t="s">
        <v>198</v>
      </c>
      <c r="H52" s="2"/>
    </row>
    <row r="53" spans="2:8">
      <c r="B53" s="2">
        <v>51</v>
      </c>
      <c r="C53" s="2"/>
      <c r="D53" s="2" t="s">
        <v>123</v>
      </c>
      <c r="E53" s="15"/>
      <c r="F53" s="2"/>
      <c r="G53" s="2" t="s">
        <v>198</v>
      </c>
      <c r="H53" s="2"/>
    </row>
    <row r="54" spans="2:8">
      <c r="B54" s="2">
        <v>52</v>
      </c>
      <c r="C54" s="2"/>
      <c r="D54" s="2" t="s">
        <v>124</v>
      </c>
      <c r="E54" s="15"/>
      <c r="F54" s="2"/>
      <c r="G54" s="2" t="s">
        <v>198</v>
      </c>
      <c r="H54" s="2"/>
    </row>
    <row r="55" spans="2:8">
      <c r="B55" s="2">
        <v>53</v>
      </c>
      <c r="C55" s="2"/>
      <c r="D55" s="2" t="s">
        <v>125</v>
      </c>
      <c r="E55" s="15"/>
      <c r="F55" s="2"/>
      <c r="G55" s="2" t="s">
        <v>198</v>
      </c>
      <c r="H55" s="2"/>
    </row>
    <row r="56" spans="2:8">
      <c r="B56" s="2">
        <v>54</v>
      </c>
      <c r="C56" s="2"/>
      <c r="D56" s="2" t="s">
        <v>126</v>
      </c>
      <c r="E56" s="15"/>
      <c r="F56" s="2"/>
      <c r="G56" s="2" t="s">
        <v>198</v>
      </c>
      <c r="H56" s="2"/>
    </row>
    <row r="57" spans="2:8">
      <c r="B57" s="2">
        <v>55</v>
      </c>
      <c r="C57" s="2"/>
      <c r="D57" s="2" t="s">
        <v>127</v>
      </c>
      <c r="E57" s="15"/>
      <c r="F57" s="2"/>
      <c r="G57" s="2" t="s">
        <v>198</v>
      </c>
      <c r="H57" s="2"/>
    </row>
    <row r="58" spans="2:8">
      <c r="B58" s="2">
        <v>56</v>
      </c>
      <c r="C58" s="2"/>
      <c r="D58" s="2" t="s">
        <v>128</v>
      </c>
      <c r="E58" s="15"/>
      <c r="F58" s="2"/>
      <c r="G58" s="2" t="s">
        <v>198</v>
      </c>
      <c r="H58" s="2"/>
    </row>
    <row r="59" spans="2:8">
      <c r="B59" s="2">
        <v>57</v>
      </c>
      <c r="C59" s="2"/>
      <c r="D59" s="2" t="s">
        <v>129</v>
      </c>
      <c r="E59" s="15"/>
      <c r="F59" s="2"/>
      <c r="G59" s="2" t="s">
        <v>198</v>
      </c>
      <c r="H59" s="2"/>
    </row>
    <row r="60" spans="2:8">
      <c r="B60" s="2">
        <v>58</v>
      </c>
      <c r="C60" s="2"/>
      <c r="D60" s="2" t="s">
        <v>130</v>
      </c>
      <c r="E60" s="15"/>
      <c r="F60" s="2"/>
      <c r="G60" s="2" t="s">
        <v>198</v>
      </c>
      <c r="H60" s="2"/>
    </row>
    <row r="61" spans="2:8">
      <c r="B61" s="2">
        <v>59</v>
      </c>
      <c r="C61" s="2"/>
      <c r="D61" s="2" t="s">
        <v>131</v>
      </c>
      <c r="E61" s="15"/>
      <c r="F61" s="2"/>
      <c r="G61" s="2" t="s">
        <v>198</v>
      </c>
      <c r="H61" s="2"/>
    </row>
    <row r="62" spans="2:8">
      <c r="B62" s="2">
        <v>60</v>
      </c>
      <c r="C62" s="2"/>
      <c r="D62" s="2" t="s">
        <v>132</v>
      </c>
      <c r="E62" s="15"/>
      <c r="F62" s="2"/>
      <c r="G62" s="2" t="s">
        <v>198</v>
      </c>
      <c r="H62" s="2"/>
    </row>
    <row r="63" spans="2:8">
      <c r="B63" s="2">
        <v>61</v>
      </c>
      <c r="C63" s="4"/>
      <c r="D63" s="2" t="s">
        <v>133</v>
      </c>
      <c r="E63" s="15"/>
      <c r="F63" s="4"/>
      <c r="G63" s="2" t="s">
        <v>198</v>
      </c>
      <c r="H63" s="4"/>
    </row>
    <row r="64" spans="2:8">
      <c r="B64" s="2">
        <v>62</v>
      </c>
      <c r="C64" s="4"/>
      <c r="D64" s="2" t="s">
        <v>134</v>
      </c>
      <c r="E64" s="15"/>
      <c r="F64" s="4"/>
      <c r="G64" s="2" t="s">
        <v>198</v>
      </c>
      <c r="H64" s="4"/>
    </row>
    <row r="65" spans="2:8">
      <c r="B65" s="2">
        <v>63</v>
      </c>
      <c r="C65" s="4"/>
      <c r="D65" s="2" t="s">
        <v>135</v>
      </c>
      <c r="E65" s="15"/>
      <c r="F65" s="4"/>
      <c r="G65" s="2" t="s">
        <v>198</v>
      </c>
      <c r="H65" s="4"/>
    </row>
    <row r="66" spans="2:8">
      <c r="B66" s="2">
        <v>64</v>
      </c>
      <c r="C66" s="4"/>
      <c r="D66" s="2" t="s">
        <v>136</v>
      </c>
      <c r="E66" s="15"/>
      <c r="F66" s="4"/>
      <c r="G66" s="2" t="s">
        <v>198</v>
      </c>
      <c r="H66" s="4"/>
    </row>
    <row r="67" spans="2:8">
      <c r="B67" s="2">
        <v>65</v>
      </c>
      <c r="C67" s="4"/>
      <c r="D67" s="2" t="s">
        <v>137</v>
      </c>
      <c r="E67" s="15"/>
      <c r="F67" s="4"/>
      <c r="G67" s="2" t="s">
        <v>198</v>
      </c>
      <c r="H67" s="4"/>
    </row>
    <row r="68" spans="2:8">
      <c r="B68" s="2">
        <v>66</v>
      </c>
      <c r="C68" s="4"/>
      <c r="D68" s="2" t="s">
        <v>138</v>
      </c>
      <c r="E68" s="15"/>
      <c r="F68" s="4"/>
      <c r="G68" s="2" t="s">
        <v>198</v>
      </c>
      <c r="H68" s="4"/>
    </row>
    <row r="69" spans="2:8">
      <c r="B69" s="2">
        <v>67</v>
      </c>
      <c r="C69" s="4"/>
      <c r="D69" s="2" t="s">
        <v>139</v>
      </c>
      <c r="E69" s="15"/>
      <c r="F69" s="4"/>
      <c r="G69" s="2" t="s">
        <v>198</v>
      </c>
      <c r="H69" s="4"/>
    </row>
    <row r="70" spans="2:8">
      <c r="D70" s="2" t="s">
        <v>140</v>
      </c>
    </row>
    <row r="71" spans="2:8">
      <c r="D71" s="15" t="s">
        <v>282</v>
      </c>
    </row>
    <row r="72" spans="2:8">
      <c r="D72" s="15" t="s">
        <v>283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26"/>
  <sheetViews>
    <sheetView showGridLines="0" zoomScale="90" zoomScaleNormal="90" workbookViewId="0">
      <selection activeCell="C1" sqref="C1"/>
    </sheetView>
  </sheetViews>
  <sheetFormatPr defaultRowHeight="15"/>
  <cols>
    <col min="3" max="3" width="42.85546875" bestFit="1" customWidth="1"/>
  </cols>
  <sheetData>
    <row r="1" spans="2:4">
      <c r="C1" s="6" t="s">
        <v>302</v>
      </c>
      <c r="D1" s="1"/>
    </row>
    <row r="3" spans="2:4">
      <c r="B3" s="25" t="s">
        <v>294</v>
      </c>
      <c r="C3" s="25"/>
    </row>
    <row r="4" spans="2:4">
      <c r="B4" s="5" t="s">
        <v>4</v>
      </c>
      <c r="C4" s="5" t="s">
        <v>2</v>
      </c>
    </row>
    <row r="5" spans="2:4">
      <c r="B5" s="4">
        <f>1</f>
        <v>1</v>
      </c>
      <c r="C5" s="15" t="s">
        <v>184</v>
      </c>
    </row>
    <row r="6" spans="2:4">
      <c r="B6" s="4">
        <f>B5+1</f>
        <v>2</v>
      </c>
      <c r="C6" s="15" t="s">
        <v>269</v>
      </c>
    </row>
    <row r="7" spans="2:4">
      <c r="B7" s="4">
        <f>B6+1</f>
        <v>3</v>
      </c>
      <c r="C7" s="15" t="s">
        <v>270</v>
      </c>
    </row>
    <row r="8" spans="2:4">
      <c r="B8" s="4">
        <f t="shared" ref="B8:B26" si="0">B7+1</f>
        <v>4</v>
      </c>
      <c r="C8" s="15" t="s">
        <v>271</v>
      </c>
    </row>
    <row r="9" spans="2:4">
      <c r="B9" s="4">
        <f t="shared" si="0"/>
        <v>5</v>
      </c>
      <c r="C9" s="16" t="s">
        <v>273</v>
      </c>
    </row>
    <row r="10" spans="2:4">
      <c r="B10" s="4">
        <f t="shared" si="0"/>
        <v>6</v>
      </c>
      <c r="C10" s="16" t="s">
        <v>276</v>
      </c>
    </row>
    <row r="11" spans="2:4">
      <c r="B11" s="4">
        <f t="shared" si="0"/>
        <v>7</v>
      </c>
      <c r="C11" s="17" t="s">
        <v>278</v>
      </c>
    </row>
    <row r="12" spans="2:4">
      <c r="B12" s="4">
        <f t="shared" si="0"/>
        <v>8</v>
      </c>
      <c r="C12" s="17" t="s">
        <v>279</v>
      </c>
    </row>
    <row r="13" spans="2:4">
      <c r="B13" s="4">
        <f t="shared" si="0"/>
        <v>9</v>
      </c>
      <c r="C13" s="15" t="s">
        <v>300</v>
      </c>
    </row>
    <row r="14" spans="2:4">
      <c r="B14" s="4">
        <f t="shared" si="0"/>
        <v>10</v>
      </c>
      <c r="C14" s="15" t="s">
        <v>280</v>
      </c>
    </row>
    <row r="15" spans="2:4">
      <c r="B15" s="4">
        <f>B14+1</f>
        <v>11</v>
      </c>
      <c r="C15" s="15" t="s">
        <v>301</v>
      </c>
    </row>
    <row r="16" spans="2:4">
      <c r="B16" s="4">
        <f>B15+1</f>
        <v>12</v>
      </c>
      <c r="C16" s="15" t="s">
        <v>284</v>
      </c>
    </row>
    <row r="17" spans="2:4">
      <c r="B17" s="4">
        <f t="shared" si="0"/>
        <v>13</v>
      </c>
      <c r="C17" s="15" t="s">
        <v>285</v>
      </c>
    </row>
    <row r="18" spans="2:4">
      <c r="B18" s="4">
        <f t="shared" si="0"/>
        <v>14</v>
      </c>
      <c r="C18" s="22" t="s">
        <v>287</v>
      </c>
    </row>
    <row r="19" spans="2:4">
      <c r="B19" s="4">
        <f t="shared" si="0"/>
        <v>15</v>
      </c>
      <c r="C19" s="22" t="s">
        <v>289</v>
      </c>
    </row>
    <row r="20" spans="2:4">
      <c r="B20" s="4">
        <f t="shared" si="0"/>
        <v>16</v>
      </c>
      <c r="C20" s="22" t="s">
        <v>291</v>
      </c>
    </row>
    <row r="21" spans="2:4">
      <c r="B21" s="4">
        <f t="shared" si="0"/>
        <v>17</v>
      </c>
      <c r="C21" s="21" t="s">
        <v>292</v>
      </c>
    </row>
    <row r="22" spans="2:4">
      <c r="B22" s="4">
        <f t="shared" si="0"/>
        <v>18</v>
      </c>
      <c r="C22" s="21" t="s">
        <v>293</v>
      </c>
    </row>
    <row r="23" spans="2:4">
      <c r="B23" s="4">
        <f t="shared" si="0"/>
        <v>19</v>
      </c>
      <c r="C23" s="21" t="s">
        <v>290</v>
      </c>
    </row>
    <row r="24" spans="2:4">
      <c r="B24" s="4">
        <f t="shared" si="0"/>
        <v>20</v>
      </c>
      <c r="C24" s="20" t="s">
        <v>303</v>
      </c>
      <c r="D24" s="23" t="s">
        <v>304</v>
      </c>
    </row>
    <row r="25" spans="2:4">
      <c r="B25" s="4">
        <f t="shared" si="0"/>
        <v>21</v>
      </c>
      <c r="C25" s="21" t="s">
        <v>307</v>
      </c>
    </row>
    <row r="26" spans="2:4">
      <c r="B26" s="4">
        <f t="shared" si="0"/>
        <v>22</v>
      </c>
      <c r="C26" s="21" t="s">
        <v>309</v>
      </c>
    </row>
  </sheetData>
  <mergeCells count="1">
    <mergeCell ref="B3:C3"/>
  </mergeCells>
  <pageMargins left="0.7" right="0.7" top="0.75" bottom="0.75" header="0.3" footer="0.3"/>
  <pageSetup paperSize="9" orientation="portrait" r:id="rId1"/>
</worksheet>
</file>

<file path=docProps/CustomMKOP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KProdID">
    <vt:lpwstr>ZMOutlook</vt:lpwstr>
  </property>
  <property fmtid="{D5CDD505-2E9C-101B-9397-08002B2CF9AE}" pid="3" name="SizeBefore">
    <vt:lpwstr>33003</vt:lpwstr>
  </property>
  <property fmtid="{D5CDD505-2E9C-101B-9397-08002B2CF9AE}" pid="4" name="OptimizationTime">
    <vt:lpwstr>20170711_1511</vt:lpwstr>
  </property>
</Propertie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Non Retail Data</vt:lpstr>
      <vt:lpstr>Default</vt:lpstr>
      <vt:lpstr>Guarantee</vt:lpstr>
      <vt:lpstr>Facility</vt:lpstr>
      <vt:lpstr>Rating</vt:lpstr>
      <vt:lpstr>Customer_demo_old</vt:lpstr>
      <vt:lpstr>Customer_Demo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QNB User</dc:creator>
  <cp:lastModifiedBy>Vishal Kumar</cp:lastModifiedBy>
  <dcterms:created xsi:type="dcterms:W3CDTF">2017-05-16T11:09:01Z</dcterms:created>
  <dcterms:modified xsi:type="dcterms:W3CDTF">2017-06-21T12:50:02Z</dcterms:modified>
</cp:coreProperties>
</file>